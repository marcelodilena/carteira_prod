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309ABD0A-0691-47A9-87BA-7F4E93FA3BA2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 NOV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DIVERSOS'!$A$1:$K$53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8" i="9" l="1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<sst xmlns="http://schemas.openxmlformats.org/spreadsheetml/2006/main" count="3447" uniqueCount="193">
  <si>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</si>
  <si>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</si>
  <si>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</si>
  <si>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</si>
  <si>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</si>
  <si>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</si>
  <si>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</si>
  <si>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</si>
  <si>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</si>
  <si>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</si>
  <si>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</si>
  <si>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</si>
  <si>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</si>
  <si>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</si>
  <si>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</si>
  <si>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</si>
  <si>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</si>
  <si>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</si>
  <si>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</si>
  <si>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</si>
  <si>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</si>
  <si>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</si>
  <si>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</si>
  <si>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</si>
  <si>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</si>
  <si>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</si>
  <si>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</si>
  <si>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</si>
  <si>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</si>
  <si>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</si>
  <si>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</si>
  <si>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</si>
  <si>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</si>
  <si>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</si>
  <si>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</si>
  <si>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</si>
  <si>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</si>
  <si>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</si>
  <si>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</si>
  <si>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</si>
  <si>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</si>
  <si>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</si>
  <si>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</si>
  <si>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</si>
  <si>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</si>
  <si>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</si>
  <si>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</si>
  <si>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</si>
  <si>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</si>
  <si>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</si>
  <si>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</si>
  <si>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</si>
  <si>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</si>
  <si>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</si>
  <si>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</si>
  <si>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</si>
  <si>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</si>
  <si>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</si>
  <si>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</si>
  <si>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</si>
  <si>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</si>
  <si>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</si>
  <si>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</si>
  <si>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</si>
  <si>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</si>
  <si>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</si>
  <si>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</si>
  <si>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</si>
  <si>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</si>
  <si>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</si>
  <si>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</si>
  <si>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</si>
  <si>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</si>
  <si>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</si>
  <si>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</si>
  <si>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</si>
  <si>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</si>
  <si>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</si>
  <si>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</si>
  <si>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</si>
  <si>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</si>
  <si>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</si>
  <si>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</si>
  <si>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</si>
  <si>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</si>
  <si>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</si>
  <si>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</si>
  <si>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</si>
  <si>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</si>
  <si>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</si>
  <si>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</si>
  <si>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</si>
  <si>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</si>
  <si>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</si>
  <si>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</si>
  <si>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</si>
  <si>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</si>
  <si>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</si>
  <si>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</si>
  <si>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</si>
  <si>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</si>
  <si>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</si>
  <si>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</si>
  <si>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</si>
  <si>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</si>
  <si>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</si>
  <si>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</si>
  <si>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</si>
  <si>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</si>
  <si>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</si>
  <si>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</si>
  <si>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</si>
  <si>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</si>
  <si>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</si>
  <si>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</si>
  <si>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</si>
  <si>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</si>
  <si>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</si>
  <si>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</si>
  <si>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</si>
  <si>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</si>
  <si>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</si>
  <si>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</si>
  <si>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</si>
  <si>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</si>
  <si>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</si>
  <si>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</si>
  <si>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</si>
  <si>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Prazo Contratual</t>
  </si>
  <si>
    <t>Fusão</t>
  </si>
  <si>
    <t>Prazo Fundição
(Desbaste)</t>
  </si>
  <si>
    <t>Prazo Usinagem
(Desbaste)</t>
  </si>
  <si>
    <t>Prazo Fundição
(Acabamento)</t>
  </si>
  <si>
    <t>Prazo Usinagem
(Acabamento)</t>
  </si>
  <si>
    <t>Status
Usinagem</t>
  </si>
  <si>
    <t>Recurso
Orçado</t>
  </si>
  <si>
    <t>Metso Brasil Indústria e Comércio Ltda.</t>
  </si>
  <si>
    <t>CABEÇA MP800 FUND. C/ DESB. (1042472704)</t>
  </si>
  <si>
    <t>Sim</t>
  </si>
  <si>
    <t>Zanini Renk Equipamentos Industriais Ltda.</t>
  </si>
  <si>
    <t>ENGRENAGEM FUND. S/ USIN. (02.243.02001)</t>
  </si>
  <si>
    <t>ANEL DE AJUSTE HP500/HP600E FUND. C/ USIN. EM DESB. (N12504019-099)</t>
  </si>
  <si>
    <t>GE Energias Renovaveis Ltda</t>
  </si>
  <si>
    <t>CUBO DO ROTOR FUND. C/ USIN. ACAB. + PINTURA + INPEÇÃO 3D (25203702MEI32-201F - EHL-001532-OS01MT01)</t>
  </si>
  <si>
    <t>ANEL GUIA FUND. C/ USIN. ACAB. + PINTURA (25203702MEI32-201F - EHL-001532-OS01MT01)</t>
  </si>
  <si>
    <t>ALAVANCA FUND. C/ USIN. ACAB. + PINTURA (25203702MEI33-201F - EHL-001532-OS01MT01)</t>
  </si>
  <si>
    <t>CRUZETA FUND. C/ USIN. ACAB. + PINTURA + INPEÇÃO 3D (25203702MEI33-204F - EHL-001532-OS01MT01)</t>
  </si>
  <si>
    <t>Siemens Energy Brasil Ltda</t>
  </si>
  <si>
    <t>CARCAÇA INFERIOR FUND. C/ USIN. (0.12.413.144.0)</t>
  </si>
  <si>
    <t>CAPA DA ARANHA ROCK BOX FUND. C/ USIN. ACAB. (17-403-103-001)</t>
  </si>
  <si>
    <t>BOJO MP1000 C/ DESBASTE (1020059611)</t>
  </si>
  <si>
    <t>CARCAÇA SUPERIOR FUND. C/ USIN. (0.12.413.145.0)</t>
  </si>
  <si>
    <t>BOJO MP1000 C/ DESB. (1020059612)</t>
  </si>
  <si>
    <t>CABECA MP1000 C/ DESBASTE (MM0240710)</t>
  </si>
  <si>
    <t>CABECA HP800 FUND. C/ DESB. (1042472608)</t>
  </si>
  <si>
    <t>Não</t>
  </si>
  <si>
    <t>Rhinus Indústria de Máquinas e Equipamentos LTDA</t>
  </si>
  <si>
    <t>PILÃO 5000 - RH7000-5 FUND. C/ USIN. ACABAMENTO</t>
  </si>
  <si>
    <t>PILÃO EXTRA 2000 FUND. C/ USIN. ACABAMENTO</t>
  </si>
  <si>
    <t>Piacentini &amp; Cia. Ltda.</t>
  </si>
  <si>
    <t>CORPO GARGANTA DE ALIMENTAÇÃO FUND. S/ USIN. (0303030202001218940)</t>
  </si>
  <si>
    <t>CORPO GARGANTA DE DESCARGA FUND. S/ USIN. (0303030202001218940)</t>
  </si>
  <si>
    <t>CAPA DA ARANHA. C/ USIN. FINAL (MM1617642)</t>
  </si>
  <si>
    <t>PIETRO BORGO &amp; CIA</t>
  </si>
  <si>
    <t>ANEL FUND. C/ USIN. EM DESBASTE 720 × DIÂM. 620 × 470 MM)</t>
  </si>
  <si>
    <t>ANEL FUND. C/ USIN. EM DESBASTE (690 × DIÂM. 630 × 525 MM)</t>
  </si>
  <si>
    <t>IMPERIO EXTRUSAO DE ALUMINIO LTDA</t>
  </si>
  <si>
    <t>CILINDRO PRINCIPAL FUND. C/ USIN. EM DESBASTE (6332 PRENSA P5-C)</t>
  </si>
  <si>
    <t>Superior Industries do Brasil Ltda.</t>
  </si>
  <si>
    <t>REVESTIMENTO MOVEL,18%MN, 30X55 FUND. C/ USIN. NA FACE 130MM (50-3055M181-1)</t>
  </si>
  <si>
    <t>REVESTIMENTO FIXO,18%MN, 30X55 FUND. C/ USIN. NA FACE 130MM (50-3055S181-1)</t>
  </si>
  <si>
    <t>REVESTIMENTO MOVEL,18%MN, 30X42FUND. C/ USIN. NA FACE 120MM (50-3042M181-1)</t>
  </si>
  <si>
    <t>REVESTIMENTO FIXO,18%MN, 30X42FUND. C/ USIN. NA FACE 120MM (50-3042S181-1)</t>
  </si>
  <si>
    <t>ANEL AJUSTE HP800 C/ DESB. (1061877931)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</si>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</sst>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09" totalsRowShown="0" headerRowDxfId="110" dataDxfId="109">
  <autoFilter ref="A1:AI109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91" totalsRowShown="0" headerRowDxfId="73" dataDxfId="72">
  <autoFilter ref="A1:V9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52" totalsRowShown="0" headerRowDxfId="21" dataDxfId="20">
  <autoFilter ref="A1:T52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09"/>
  <sheetViews>
    <sheetView tabSelected="1" view="pageBreakPreview" zoomScaleNormal="100" zoomScaleSheetLayoutView="100" workbookViewId="0">
      <selection activeCell="A15" sqref="A15:XFD15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9" t="s">
        <v>7</v>
      </c>
      <c r="B1" s="39" t="s">
        <v>1</v>
      </c>
      <c r="C1" s="39" t="s">
        <v>0</v>
      </c>
      <c r="D1" s="39" t="s">
        <v>22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2</v>
      </c>
      <c r="J1" s="40" t="s">
        <v>67</v>
      </c>
      <c r="K1" s="40" t="s">
        <v>32</v>
      </c>
      <c r="L1" s="40" t="s">
        <v>20</v>
      </c>
      <c r="M1" s="40" t="s">
        <v>66</v>
      </c>
      <c r="N1" s="40" t="s">
        <v>68</v>
      </c>
      <c r="O1" s="40" t="s">
        <v>65</v>
      </c>
      <c r="P1" s="40" t="s">
        <v>33</v>
      </c>
      <c r="Q1" s="40" t="s">
        <v>21</v>
      </c>
      <c r="R1" s="40" t="s">
        <v>42</v>
      </c>
      <c r="S1" s="32" t="s">
        <v>109</v>
      </c>
      <c r="T1" s="40" t="s">
        <v>84</v>
      </c>
      <c r="U1" s="40" t="s">
        <v>79</v>
      </c>
      <c r="V1" s="40" t="s">
        <v>80</v>
      </c>
      <c r="W1" s="40" t="s">
        <v>27</v>
      </c>
      <c r="X1" s="40" t="s">
        <v>86</v>
      </c>
      <c r="Y1" s="40" t="s">
        <v>83</v>
      </c>
      <c r="Z1" s="40" t="s">
        <v>87</v>
      </c>
      <c r="AA1" s="40" t="s">
        <v>88</v>
      </c>
      <c r="AB1" s="40" t="s">
        <v>89</v>
      </c>
      <c r="AC1" s="40" t="s">
        <v>60</v>
      </c>
      <c r="AD1" s="40" t="s">
        <v>73</v>
      </c>
      <c r="AE1" s="41" t="s">
        <v>26</v>
      </c>
      <c r="AF1" s="41" t="s">
        <v>81</v>
      </c>
      <c r="AG1" s="41" t="s">
        <v>82</v>
      </c>
      <c r="AH1" s="41" t="s">
        <v>29</v>
      </c>
      <c r="AI1" s="41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2">
        <f>WEEKNUM(Tabela1[[#This Row],[Prazo
Fundido]])</f>
        <v>23</v>
      </c>
      <c r="L2" s="11">
        <v>46175</v>
      </c>
      <c r="M2" s="16">
        <v>46213</v>
      </c>
      <c r="N2" s="42">
        <f ca="1">Tabela1[[#This Row],[Prazo
Entrega]]-TODAY()</f>
        <v>17</v>
      </c>
      <c r="O2" s="42" t="str">
        <f t="shared" ref="O2:O33" ca="1" si="0">IF(N2&lt;0,"ATRASADO",IF(N2&lt;=15,"ATENÇÃO","NO PRAZO"))</f>
        <v>NO PRAZO</v>
      </c>
      <c r="P2" s="42">
        <f>WEEKNUM(Tabela1[[#This Row],[Prazo
Entrega]],1)</f>
        <v>28</v>
      </c>
      <c r="R2" s="10" t="s">
        <v>43</v>
      </c>
      <c r="S2" s="43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72</v>
      </c>
      <c r="Z2" s="10" t="s">
        <v>72</v>
      </c>
      <c r="AA2" s="10" t="s">
        <v>72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4">
        <v>24</v>
      </c>
      <c r="AF2" s="44">
        <f>Tabela1[[#This Row],[Plainar
Facear]]+1</f>
        <v>25</v>
      </c>
      <c r="AG2" s="44" t="s">
        <v>28</v>
      </c>
      <c r="AH2" s="44">
        <f>Tabela1[[#This Row],[Serrar2]]+1</f>
        <v>26</v>
      </c>
      <c r="AI2" s="44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2">
        <f>WEEKNUM(Tabela1[[#This Row],[Prazo
Fundido]])</f>
        <v>23</v>
      </c>
      <c r="L3" s="11">
        <v>46192</v>
      </c>
      <c r="M3" s="16">
        <v>46213</v>
      </c>
      <c r="N3" s="42">
        <f ca="1">Tabela1[[#This Row],[Prazo
Entrega]]-TODAY()</f>
        <v>17</v>
      </c>
      <c r="O3" s="42" t="str">
        <f t="shared" ca="1" si="0"/>
        <v>NO PRAZO</v>
      </c>
      <c r="P3" s="42">
        <f>WEEKNUM(Tabela1[[#This Row],[Prazo
Entrega]],1)</f>
        <v>28</v>
      </c>
      <c r="R3" s="10" t="s">
        <v>43</v>
      </c>
      <c r="S3" s="43" t="s">
        <v>69</v>
      </c>
      <c r="T3" s="16" t="s">
        <v>69</v>
      </c>
      <c r="U3" s="10" t="s">
        <v>72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AG. USINAGEM</v>
      </c>
      <c r="AE3" s="44">
        <v>24</v>
      </c>
      <c r="AF3" s="44">
        <f>Tabela1[[#This Row],[Plainar
Facear]]+1</f>
        <v>25</v>
      </c>
      <c r="AG3" s="44" t="s">
        <v>28</v>
      </c>
      <c r="AH3" s="44">
        <f>Tabela1[[#This Row],[Serrar2]]+1</f>
        <v>26</v>
      </c>
      <c r="AI3" s="44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2">
        <f>WEEKNUM(Tabela1[[#This Row],[Prazo
Fundido]])</f>
        <v>23</v>
      </c>
      <c r="L4" s="11">
        <v>46192</v>
      </c>
      <c r="M4" s="16">
        <v>46213</v>
      </c>
      <c r="N4" s="42">
        <f ca="1">Tabela1[[#This Row],[Prazo
Entrega]]-TODAY()</f>
        <v>17</v>
      </c>
      <c r="O4" s="42" t="str">
        <f t="shared" ca="1" si="0"/>
        <v>NO PRAZO</v>
      </c>
      <c r="P4" s="42">
        <f>WEEKNUM(Tabela1[[#This Row],[Prazo
Entrega]],1)</f>
        <v>28</v>
      </c>
      <c r="R4" s="10" t="s">
        <v>43</v>
      </c>
      <c r="S4" s="43" t="s">
        <v>69</v>
      </c>
      <c r="T4" s="16" t="s">
        <v>69</v>
      </c>
      <c r="U4" s="10" t="s">
        <v>72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AG. USINAGEM</v>
      </c>
      <c r="AE4" s="44">
        <v>24</v>
      </c>
      <c r="AF4" s="44">
        <f>Tabela1[[#This Row],[Plainar
Facear]]+1</f>
        <v>25</v>
      </c>
      <c r="AG4" s="44" t="s">
        <v>28</v>
      </c>
      <c r="AH4" s="44">
        <f>Tabela1[[#This Row],[Serrar2]]+1</f>
        <v>26</v>
      </c>
      <c r="AI4" s="44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2">
        <f>WEEKNUM(Tabela1[[#This Row],[Prazo
Fundido]])</f>
        <v>23</v>
      </c>
      <c r="L5" s="11">
        <v>46192</v>
      </c>
      <c r="M5" s="16">
        <v>46213</v>
      </c>
      <c r="N5" s="42">
        <f ca="1">Tabela1[[#This Row],[Prazo
Entrega]]-TODAY()</f>
        <v>17</v>
      </c>
      <c r="O5" s="42" t="str">
        <f t="shared" ca="1" si="0"/>
        <v>NO PRAZO</v>
      </c>
      <c r="P5" s="42">
        <f>WEEKNUM(Tabela1[[#This Row],[Prazo
Entrega]],1)</f>
        <v>28</v>
      </c>
      <c r="R5" s="10" t="s">
        <v>43</v>
      </c>
      <c r="S5" s="43" t="s">
        <v>69</v>
      </c>
      <c r="T5" s="16" t="s">
        <v>69</v>
      </c>
      <c r="U5" s="10" t="s">
        <v>72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AG. USINAGEM</v>
      </c>
      <c r="AE5" s="44">
        <v>24</v>
      </c>
      <c r="AF5" s="44">
        <f>Tabela1[[#This Row],[Plainar
Facear]]+1</f>
        <v>25</v>
      </c>
      <c r="AG5" s="44" t="s">
        <v>28</v>
      </c>
      <c r="AH5" s="44">
        <f>Tabela1[[#This Row],[Serrar2]]+1</f>
        <v>26</v>
      </c>
      <c r="AI5" s="44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2">
        <f>WEEKNUM(Tabela1[[#This Row],[Prazo
Fundido]])</f>
        <v>23</v>
      </c>
      <c r="L6" s="11">
        <v>46192</v>
      </c>
      <c r="M6" s="16">
        <v>46213</v>
      </c>
      <c r="N6" s="42">
        <f ca="1">Tabela1[[#This Row],[Prazo
Entrega]]-TODAY()</f>
        <v>17</v>
      </c>
      <c r="O6" s="42" t="str">
        <f t="shared" ca="1" si="0"/>
        <v>NO PRAZO</v>
      </c>
      <c r="P6" s="42">
        <f>WEEKNUM(Tabela1[[#This Row],[Prazo
Entrega]],1)</f>
        <v>28</v>
      </c>
      <c r="R6" s="10" t="s">
        <v>43</v>
      </c>
      <c r="S6" s="43" t="s">
        <v>69</v>
      </c>
      <c r="T6" s="16" t="s">
        <v>69</v>
      </c>
      <c r="U6" s="10" t="s">
        <v>72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AG. USINAGEM</v>
      </c>
      <c r="AE6" s="44">
        <v>24</v>
      </c>
      <c r="AF6" s="44">
        <f>Tabela1[[#This Row],[Plainar
Facear]]+1</f>
        <v>25</v>
      </c>
      <c r="AG6" s="44" t="s">
        <v>28</v>
      </c>
      <c r="AH6" s="44">
        <f>Tabela1[[#This Row],[Serrar2]]+1</f>
        <v>26</v>
      </c>
      <c r="AI6" s="44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2">
        <f>WEEKNUM(Tabela1[[#This Row],[Prazo
Fundido]])</f>
        <v>23</v>
      </c>
      <c r="L7" s="11">
        <v>46188</v>
      </c>
      <c r="M7" s="16">
        <v>46213</v>
      </c>
      <c r="N7" s="42">
        <f ca="1">Tabela1[[#This Row],[Prazo
Entrega]]-TODAY()</f>
        <v>17</v>
      </c>
      <c r="O7" s="42" t="str">
        <f t="shared" ca="1" si="0"/>
        <v>NO PRAZO</v>
      </c>
      <c r="P7" s="42">
        <f>WEEKNUM(Tabela1[[#This Row],[Prazo
Entrega]],1)</f>
        <v>28</v>
      </c>
      <c r="R7" s="10" t="s">
        <v>43</v>
      </c>
      <c r="S7" s="43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4">
        <v>24</v>
      </c>
      <c r="AF7" s="44">
        <f>Tabela1[[#This Row],[Plainar
Facear]]+1</f>
        <v>25</v>
      </c>
      <c r="AG7" s="44" t="s">
        <v>28</v>
      </c>
      <c r="AH7" s="44">
        <f>Tabela1[[#This Row],[Serrar2]]+1</f>
        <v>26</v>
      </c>
      <c r="AI7" s="44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2">
        <f>WEEKNUM(Tabela1[[#This Row],[Prazo
Fundido]])</f>
        <v>23</v>
      </c>
      <c r="L8" s="11">
        <v>46171</v>
      </c>
      <c r="M8" s="16">
        <v>46213</v>
      </c>
      <c r="N8" s="42">
        <f ca="1">Tabela1[[#This Row],[Prazo
Entrega]]-TODAY()</f>
        <v>17</v>
      </c>
      <c r="O8" s="42" t="str">
        <f t="shared" ca="1" si="0"/>
        <v>NO PRAZO</v>
      </c>
      <c r="P8" s="42">
        <f>WEEKNUM(Tabela1[[#This Row],[Prazo
Entrega]],1)</f>
        <v>28</v>
      </c>
      <c r="R8" s="10" t="s">
        <v>43</v>
      </c>
      <c r="S8" s="43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72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4">
        <v>23</v>
      </c>
      <c r="AF8" s="44">
        <f>Tabela1[[#This Row],[Plainar
Facear]]+1</f>
        <v>24</v>
      </c>
      <c r="AG8" s="44" t="s">
        <v>28</v>
      </c>
      <c r="AH8" s="44">
        <f>Tabela1[[#This Row],[Serrar2]]+1</f>
        <v>25</v>
      </c>
      <c r="AI8" s="44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2">
        <f>WEEKNUM(Tabela1[[#This Row],[Prazo
Fundido]])</f>
        <v>23</v>
      </c>
      <c r="L9" s="11">
        <v>46171</v>
      </c>
      <c r="M9" s="16">
        <v>46213</v>
      </c>
      <c r="N9" s="42">
        <f ca="1">Tabela1[[#This Row],[Prazo
Entrega]]-TODAY()</f>
        <v>17</v>
      </c>
      <c r="O9" s="42" t="str">
        <f t="shared" ca="1" si="0"/>
        <v>NO PRAZO</v>
      </c>
      <c r="P9" s="42">
        <f>WEEKNUM(Tabela1[[#This Row],[Prazo
Entrega]],1)</f>
        <v>28</v>
      </c>
      <c r="R9" s="10" t="s">
        <v>43</v>
      </c>
      <c r="S9" s="43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72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4">
        <v>23</v>
      </c>
      <c r="AF9" s="44">
        <f>Tabela1[[#This Row],[Plainar
Facear]]+1</f>
        <v>24</v>
      </c>
      <c r="AG9" s="44" t="s">
        <v>28</v>
      </c>
      <c r="AH9" s="44">
        <f>Tabela1[[#This Row],[Serrar2]]+1</f>
        <v>25</v>
      </c>
      <c r="AI9" s="44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2">
        <f>WEEKNUM(Tabela1[[#This Row],[Prazo
Fundido]])</f>
        <v>23</v>
      </c>
      <c r="L10" s="11">
        <v>46171</v>
      </c>
      <c r="M10" s="16">
        <v>46213</v>
      </c>
      <c r="N10" s="42">
        <f ca="1">Tabela1[[#This Row],[Prazo
Entrega]]-TODAY()</f>
        <v>17</v>
      </c>
      <c r="O10" s="42" t="str">
        <f t="shared" ca="1" si="0"/>
        <v>NO PRAZO</v>
      </c>
      <c r="P10" s="42">
        <f>WEEKNUM(Tabela1[[#This Row],[Prazo
Entrega]],1)</f>
        <v>28</v>
      </c>
      <c r="R10" s="10" t="s">
        <v>43</v>
      </c>
      <c r="S10" s="43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72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4">
        <v>23</v>
      </c>
      <c r="AF10" s="44">
        <f>Tabela1[[#This Row],[Plainar
Facear]]+1</f>
        <v>24</v>
      </c>
      <c r="AG10" s="44" t="s">
        <v>28</v>
      </c>
      <c r="AH10" s="44">
        <f>Tabela1[[#This Row],[Serrar2]]+1</f>
        <v>25</v>
      </c>
      <c r="AI10" s="44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2">
        <f>WEEKNUM(Tabela1[[#This Row],[Prazo
Fundido]])</f>
        <v>23</v>
      </c>
      <c r="L11" s="11">
        <v>46171</v>
      </c>
      <c r="M11" s="16">
        <v>46213</v>
      </c>
      <c r="N11" s="42">
        <f ca="1">Tabela1[[#This Row],[Prazo
Entrega]]-TODAY()</f>
        <v>17</v>
      </c>
      <c r="O11" s="42" t="str">
        <f t="shared" ca="1" si="0"/>
        <v>NO PRAZO</v>
      </c>
      <c r="P11" s="42">
        <f>WEEKNUM(Tabela1[[#This Row],[Prazo
Entrega]],1)</f>
        <v>28</v>
      </c>
      <c r="R11" s="10" t="s">
        <v>43</v>
      </c>
      <c r="S11" s="43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72</v>
      </c>
      <c r="AA11" s="10" t="s">
        <v>72</v>
      </c>
      <c r="AB11" s="10" t="s">
        <v>72</v>
      </c>
      <c r="AC11" s="10" t="str">
        <f t="shared" si="1"/>
        <v>EM USINAGEM</v>
      </c>
      <c r="AE11" s="44">
        <v>23</v>
      </c>
      <c r="AF11" s="44">
        <f>Tabela1[[#This Row],[Plainar
Facear]]+1</f>
        <v>24</v>
      </c>
      <c r="AG11" s="44" t="s">
        <v>28</v>
      </c>
      <c r="AH11" s="44">
        <f>Tabela1[[#This Row],[Serrar2]]+1</f>
        <v>25</v>
      </c>
      <c r="AI11" s="44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2">
        <f>WEEKNUM(Tabela1[[#This Row],[Prazo
Fundido]])</f>
        <v>23</v>
      </c>
      <c r="L12" s="11">
        <v>46192</v>
      </c>
      <c r="M12" s="16">
        <v>46220</v>
      </c>
      <c r="N12" s="42">
        <f ca="1">Tabela1[[#This Row],[Prazo
Entrega]]-TODAY()</f>
        <v>24</v>
      </c>
      <c r="O12" s="42" t="str">
        <f t="shared" ca="1" si="0"/>
        <v>NO PRAZO</v>
      </c>
      <c r="P12" s="42">
        <f>WEEKNUM(Tabela1[[#This Row],[Prazo
Entrega]],1)</f>
        <v>29</v>
      </c>
      <c r="R12" s="10" t="s">
        <v>43</v>
      </c>
      <c r="S12" s="43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4">
        <v>26</v>
      </c>
      <c r="AF12" s="44">
        <f>Tabela1[[#This Row],[Plainar
Facear]]+1</f>
        <v>27</v>
      </c>
      <c r="AG12" s="44" t="s">
        <v>28</v>
      </c>
      <c r="AH12" s="44">
        <f>Tabela1[[#This Row],[Serrar2]]+1</f>
        <v>28</v>
      </c>
      <c r="AI12" s="44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2">
        <f>WEEKNUM(Tabela1[[#This Row],[Prazo
Fundido]])</f>
        <v>23</v>
      </c>
      <c r="L13" s="11">
        <v>46192</v>
      </c>
      <c r="M13" s="16">
        <v>46220</v>
      </c>
      <c r="N13" s="42">
        <f ca="1">Tabela1[[#This Row],[Prazo
Entrega]]-TODAY()</f>
        <v>24</v>
      </c>
      <c r="O13" s="42" t="str">
        <f t="shared" ca="1" si="0"/>
        <v>NO PRAZO</v>
      </c>
      <c r="P13" s="42">
        <f>WEEKNUM(Tabela1[[#This Row],[Prazo
Entrega]],1)</f>
        <v>29</v>
      </c>
      <c r="R13" s="10" t="s">
        <v>43</v>
      </c>
      <c r="S13" s="43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4">
        <v>26</v>
      </c>
      <c r="AF13" s="44">
        <f>Tabela1[[#This Row],[Plainar
Facear]]+1</f>
        <v>27</v>
      </c>
      <c r="AG13" s="44" t="s">
        <v>28</v>
      </c>
      <c r="AH13" s="44">
        <f>Tabela1[[#This Row],[Serrar2]]+1</f>
        <v>28</v>
      </c>
      <c r="AI13" s="44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2">
        <f>WEEKNUM(Tabela1[[#This Row],[Prazo
Fundido]])</f>
        <v>23</v>
      </c>
      <c r="L14" s="11">
        <v>46189</v>
      </c>
      <c r="M14" s="16">
        <v>46220</v>
      </c>
      <c r="N14" s="42">
        <f ca="1">Tabela1[[#This Row],[Prazo
Entrega]]-TODAY()</f>
        <v>24</v>
      </c>
      <c r="O14" s="42" t="str">
        <f t="shared" ca="1" si="0"/>
        <v>NO PRAZO</v>
      </c>
      <c r="P14" s="42">
        <f>WEEKNUM(Tabela1[[#This Row],[Prazo
Entrega]],1)</f>
        <v>29</v>
      </c>
      <c r="R14" s="10" t="s">
        <v>43</v>
      </c>
      <c r="S14" s="43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4">
        <v>26</v>
      </c>
      <c r="AF14" s="44">
        <f>Tabela1[[#This Row],[Plainar
Facear]]+1</f>
        <v>27</v>
      </c>
      <c r="AG14" s="44" t="s">
        <v>28</v>
      </c>
      <c r="AH14" s="44">
        <f>Tabela1[[#This Row],[Serrar2]]+1</f>
        <v>28</v>
      </c>
      <c r="AI14" s="44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2">
        <f>WEEKNUM(Tabela1[[#This Row],[Prazo
Fundido]])</f>
        <v>23</v>
      </c>
      <c r="L15" s="11">
        <v>46175</v>
      </c>
      <c r="M15" s="16">
        <v>46220</v>
      </c>
      <c r="N15" s="42">
        <f ca="1">Tabela1[[#This Row],[Prazo
Entrega]]-TODAY()</f>
        <v>24</v>
      </c>
      <c r="O15" s="42" t="str">
        <f t="shared" ca="1" si="0"/>
        <v>NO PRAZO</v>
      </c>
      <c r="P15" s="42">
        <f>WEEKNUM(Tabela1[[#This Row],[Prazo
Entrega]],1)</f>
        <v>29</v>
      </c>
      <c r="R15" s="10" t="s">
        <v>43</v>
      </c>
      <c r="S15" s="43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4">
        <v>26</v>
      </c>
      <c r="AF15" s="44">
        <f>Tabela1[[#This Row],[Plainar
Facear]]+1</f>
        <v>27</v>
      </c>
      <c r="AG15" s="44" t="s">
        <v>28</v>
      </c>
      <c r="AH15" s="44">
        <f>Tabela1[[#This Row],[Serrar2]]+1</f>
        <v>28</v>
      </c>
      <c r="AI15" s="44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2">
        <f>WEEKNUM(Tabela1[[#This Row],[Prazo
Fundido]])</f>
        <v>23</v>
      </c>
      <c r="L16" s="11">
        <v>46175</v>
      </c>
      <c r="M16" s="16">
        <v>46220</v>
      </c>
      <c r="N16" s="42">
        <f ca="1">Tabela1[[#This Row],[Prazo
Entrega]]-TODAY()</f>
        <v>24</v>
      </c>
      <c r="O16" s="42" t="str">
        <f t="shared" ca="1" si="0"/>
        <v>NO PRAZO</v>
      </c>
      <c r="P16" s="42">
        <f>WEEKNUM(Tabela1[[#This Row],[Prazo
Entrega]],1)</f>
        <v>29</v>
      </c>
      <c r="R16" s="10" t="s">
        <v>43</v>
      </c>
      <c r="S16" s="43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85</v>
      </c>
      <c r="AA16" s="10" t="s">
        <v>72</v>
      </c>
      <c r="AB16" s="10" t="s">
        <v>72</v>
      </c>
      <c r="AC16" s="10" t="str">
        <f t="shared" si="1"/>
        <v>EM USINAGEM</v>
      </c>
      <c r="AE16" s="44">
        <v>26</v>
      </c>
      <c r="AF16" s="44">
        <f>Tabela1[[#This Row],[Plainar
Facear]]+1</f>
        <v>27</v>
      </c>
      <c r="AG16" s="44" t="s">
        <v>28</v>
      </c>
      <c r="AH16" s="44">
        <f>Tabela1[[#This Row],[Serrar2]]+1</f>
        <v>28</v>
      </c>
      <c r="AI16" s="44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2">
        <f>WEEKNUM(Tabela1[[#This Row],[Prazo
Fundido]])</f>
        <v>24</v>
      </c>
      <c r="L17" s="11">
        <v>46175</v>
      </c>
      <c r="M17" s="16">
        <v>46220</v>
      </c>
      <c r="N17" s="42">
        <f ca="1">Tabela1[[#This Row],[Prazo
Entrega]]-TODAY()</f>
        <v>24</v>
      </c>
      <c r="O17" s="42" t="str">
        <f t="shared" ca="1" si="0"/>
        <v>NO PRAZO</v>
      </c>
      <c r="P17" s="42">
        <f>WEEKNUM(Tabela1[[#This Row],[Prazo
Entrega]],1)</f>
        <v>29</v>
      </c>
      <c r="R17" s="10" t="s">
        <v>43</v>
      </c>
      <c r="S17" s="43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72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4">
        <v>26</v>
      </c>
      <c r="AF17" s="44">
        <f>Tabela1[[#This Row],[Plainar
Facear]]+1</f>
        <v>27</v>
      </c>
      <c r="AG17" s="44" t="s">
        <v>28</v>
      </c>
      <c r="AH17" s="44">
        <f>Tabela1[[#This Row],[Serrar2]]+1</f>
        <v>28</v>
      </c>
      <c r="AI17" s="44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2">
        <f>WEEKNUM(Tabela1[[#This Row],[Prazo
Fundido]])</f>
        <v>24</v>
      </c>
      <c r="L18" s="11">
        <v>46175</v>
      </c>
      <c r="M18" s="16">
        <v>46220</v>
      </c>
      <c r="N18" s="42">
        <f ca="1">Tabela1[[#This Row],[Prazo
Entrega]]-TODAY()</f>
        <v>24</v>
      </c>
      <c r="O18" s="42" t="str">
        <f t="shared" ca="1" si="0"/>
        <v>NO PRAZO</v>
      </c>
      <c r="P18" s="42">
        <f>WEEKNUM(Tabela1[[#This Row],[Prazo
Entrega]],1)</f>
        <v>29</v>
      </c>
      <c r="R18" s="10" t="s">
        <v>43</v>
      </c>
      <c r="S18" s="43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4">
        <v>26</v>
      </c>
      <c r="AF18" s="44">
        <f>Tabela1[[#This Row],[Plainar
Facear]]+1</f>
        <v>27</v>
      </c>
      <c r="AG18" s="44" t="s">
        <v>28</v>
      </c>
      <c r="AH18" s="44">
        <f>Tabela1[[#This Row],[Serrar2]]+1</f>
        <v>28</v>
      </c>
      <c r="AI18" s="44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2">
        <f>WEEKNUM(Tabela1[[#This Row],[Prazo
Fundido]])</f>
        <v>24</v>
      </c>
      <c r="L19" s="11">
        <v>46175</v>
      </c>
      <c r="M19" s="16">
        <v>46220</v>
      </c>
      <c r="N19" s="42">
        <f ca="1">Tabela1[[#This Row],[Prazo
Entrega]]-TODAY()</f>
        <v>24</v>
      </c>
      <c r="O19" s="42" t="str">
        <f t="shared" ca="1" si="0"/>
        <v>NO PRAZO</v>
      </c>
      <c r="P19" s="42">
        <f>WEEKNUM(Tabela1[[#This Row],[Prazo
Entrega]],1)</f>
        <v>29</v>
      </c>
      <c r="R19" s="10" t="s">
        <v>43</v>
      </c>
      <c r="S19" s="43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85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4">
        <v>26</v>
      </c>
      <c r="AF19" s="44">
        <f>Tabela1[[#This Row],[Plainar
Facear]]+1</f>
        <v>27</v>
      </c>
      <c r="AG19" s="44" t="s">
        <v>28</v>
      </c>
      <c r="AH19" s="44">
        <f>Tabela1[[#This Row],[Serrar2]]+1</f>
        <v>28</v>
      </c>
      <c r="AI19" s="44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2">
        <f>WEEKNUM(Tabela1[[#This Row],[Prazo
Fundido]])</f>
        <v>24</v>
      </c>
      <c r="M20" s="16">
        <v>46220</v>
      </c>
      <c r="N20" s="42">
        <f ca="1">Tabela1[[#This Row],[Prazo
Entrega]]-TODAY()</f>
        <v>24</v>
      </c>
      <c r="O20" s="42" t="str">
        <f t="shared" ca="1" si="0"/>
        <v>NO PRAZO</v>
      </c>
      <c r="P20" s="42">
        <f>WEEKNUM(Tabela1[[#This Row],[Prazo
Entrega]],1)</f>
        <v>29</v>
      </c>
      <c r="R20" s="10" t="s">
        <v>43</v>
      </c>
      <c r="S20" s="43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4">
        <v>26</v>
      </c>
      <c r="AF20" s="44">
        <f>Tabela1[[#This Row],[Plainar
Facear]]+1</f>
        <v>27</v>
      </c>
      <c r="AG20" s="44" t="s">
        <v>28</v>
      </c>
      <c r="AH20" s="44">
        <f>Tabela1[[#This Row],[Serrar2]]+1</f>
        <v>28</v>
      </c>
      <c r="AI20" s="44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2">
        <f>WEEKNUM(Tabela1[[#This Row],[Prazo
Fundido]])</f>
        <v>24</v>
      </c>
      <c r="M21" s="16">
        <v>46220</v>
      </c>
      <c r="N21" s="42">
        <f ca="1">Tabela1[[#This Row],[Prazo
Entrega]]-TODAY()</f>
        <v>24</v>
      </c>
      <c r="O21" s="42" t="str">
        <f t="shared" ca="1" si="0"/>
        <v>NO PRAZO</v>
      </c>
      <c r="P21" s="42">
        <f>WEEKNUM(Tabela1[[#This Row],[Prazo
Entrega]],1)</f>
        <v>29</v>
      </c>
      <c r="R21" s="10" t="s">
        <v>43</v>
      </c>
      <c r="S21" s="43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4">
        <v>26</v>
      </c>
      <c r="AF21" s="44">
        <f>Tabela1[[#This Row],[Plainar
Facear]]+1</f>
        <v>27</v>
      </c>
      <c r="AG21" s="44" t="s">
        <v>28</v>
      </c>
      <c r="AH21" s="44">
        <f>Tabela1[[#This Row],[Serrar2]]+1</f>
        <v>28</v>
      </c>
      <c r="AI21" s="44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2">
        <f>WEEKNUM(Tabela1[[#This Row],[Prazo
Fundido]])</f>
        <v>24</v>
      </c>
      <c r="L22" s="11">
        <v>46189</v>
      </c>
      <c r="M22" s="16">
        <v>46227</v>
      </c>
      <c r="N22" s="42">
        <f ca="1">Tabela1[[#This Row],[Prazo
Entrega]]-TODAY()</f>
        <v>31</v>
      </c>
      <c r="O22" s="42" t="str">
        <f t="shared" ca="1" si="0"/>
        <v>NO PRAZO</v>
      </c>
      <c r="P22" s="42">
        <f>WEEKNUM(Tabela1[[#This Row],[Prazo
Entrega]],1)</f>
        <v>30</v>
      </c>
      <c r="R22" s="10" t="s">
        <v>43</v>
      </c>
      <c r="S22" s="43">
        <v>46203</v>
      </c>
      <c r="T22" s="16" t="s">
        <v>72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4">
        <v>25</v>
      </c>
      <c r="AF22" s="44">
        <f>Tabela1[[#This Row],[Plainar
Facear]]+1</f>
        <v>26</v>
      </c>
      <c r="AG22" s="44" t="s">
        <v>28</v>
      </c>
      <c r="AH22" s="44">
        <f>Tabela1[[#This Row],[Serrar2]]+1</f>
        <v>27</v>
      </c>
      <c r="AI22" s="44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2">
        <f>WEEKNUM(Tabela1[[#This Row],[Prazo
Fundido]])</f>
        <v>24</v>
      </c>
      <c r="L23" s="11">
        <v>46190</v>
      </c>
      <c r="M23" s="16">
        <v>46227</v>
      </c>
      <c r="N23" s="42">
        <f ca="1">Tabela1[[#This Row],[Prazo
Entrega]]-TODAY()</f>
        <v>31</v>
      </c>
      <c r="O23" s="42" t="str">
        <f t="shared" ca="1" si="0"/>
        <v>NO PRAZO</v>
      </c>
      <c r="P23" s="42">
        <f>WEEKNUM(Tabela1[[#This Row],[Prazo
Entrega]],1)</f>
        <v>30</v>
      </c>
      <c r="Q23" s="11"/>
      <c r="R23" s="10" t="s">
        <v>43</v>
      </c>
      <c r="S23" s="43">
        <v>46203</v>
      </c>
      <c r="T23" s="16" t="s">
        <v>72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4">
        <v>25</v>
      </c>
      <c r="AF23" s="44">
        <f>Tabela1[[#This Row],[Plainar
Facear]]+1</f>
        <v>26</v>
      </c>
      <c r="AG23" s="44" t="s">
        <v>28</v>
      </c>
      <c r="AH23" s="44">
        <f>Tabela1[[#This Row],[Serrar2]]+1</f>
        <v>27</v>
      </c>
      <c r="AI23" s="44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2">
        <f>WEEKNUM(Tabela1[[#This Row],[Prazo
Fundido]])</f>
        <v>25</v>
      </c>
      <c r="L24" s="11">
        <v>46184</v>
      </c>
      <c r="M24" s="16">
        <v>46210</v>
      </c>
      <c r="N24" s="42">
        <f ca="1">Tabela1[[#This Row],[Prazo
Entrega]]-TODAY()</f>
        <v>14</v>
      </c>
      <c r="O24" s="42" t="str">
        <f t="shared" ca="1" si="0"/>
        <v>ATENÇÃO</v>
      </c>
      <c r="P24" s="42">
        <f>WEEKNUM(Tabela1[[#This Row],[Prazo
Entrega]],1)</f>
        <v>28</v>
      </c>
      <c r="R24" s="10" t="s">
        <v>43</v>
      </c>
      <c r="S24" s="43" t="s">
        <v>69</v>
      </c>
      <c r="T24" s="16" t="s">
        <v>69</v>
      </c>
      <c r="U24" s="10" t="s">
        <v>69</v>
      </c>
      <c r="V24" s="10" t="s">
        <v>72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4">
        <v>25</v>
      </c>
      <c r="AF24" s="44">
        <f>Tabela1[[#This Row],[Plainar
Facear]]+1</f>
        <v>26</v>
      </c>
      <c r="AG24" s="44" t="s">
        <v>28</v>
      </c>
      <c r="AH24" s="44">
        <f>Tabela1[[#This Row],[Serrar2]]+1</f>
        <v>27</v>
      </c>
      <c r="AI24" s="44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2">
        <f>WEEKNUM(Tabela1[[#This Row],[Prazo
Fundido]])</f>
        <v>25</v>
      </c>
      <c r="L25" s="11">
        <v>46184</v>
      </c>
      <c r="M25" s="16">
        <v>46210</v>
      </c>
      <c r="N25" s="42">
        <f ca="1">Tabela1[[#This Row],[Prazo
Entrega]]-TODAY()</f>
        <v>14</v>
      </c>
      <c r="O25" s="42" t="str">
        <f t="shared" ca="1" si="0"/>
        <v>ATENÇÃO</v>
      </c>
      <c r="P25" s="42">
        <f>WEEKNUM(Tabela1[[#This Row],[Prazo
Entrega]],1)</f>
        <v>28</v>
      </c>
      <c r="R25" s="10" t="s">
        <v>43</v>
      </c>
      <c r="S25" s="43" t="s">
        <v>69</v>
      </c>
      <c r="T25" s="16" t="s">
        <v>69</v>
      </c>
      <c r="U25" s="10" t="s">
        <v>69</v>
      </c>
      <c r="V25" s="10" t="s">
        <v>72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4">
        <v>25</v>
      </c>
      <c r="AF25" s="44">
        <f>Tabela1[[#This Row],[Plainar
Facear]]+1</f>
        <v>26</v>
      </c>
      <c r="AG25" s="44" t="s">
        <v>28</v>
      </c>
      <c r="AH25" s="44">
        <f>Tabela1[[#This Row],[Serrar2]]+1</f>
        <v>27</v>
      </c>
      <c r="AI25" s="44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2">
        <f>WEEKNUM(Tabela1[[#This Row],[Prazo
Fundido]])</f>
        <v>25</v>
      </c>
      <c r="L26" s="11">
        <v>46184</v>
      </c>
      <c r="M26" s="16">
        <v>46210</v>
      </c>
      <c r="N26" s="42">
        <f ca="1">Tabela1[[#This Row],[Prazo
Entrega]]-TODAY()</f>
        <v>14</v>
      </c>
      <c r="O26" s="42" t="str">
        <f t="shared" ca="1" si="0"/>
        <v>ATENÇÃO</v>
      </c>
      <c r="P26" s="42">
        <f>WEEKNUM(Tabela1[[#This Row],[Prazo
Entrega]],1)</f>
        <v>28</v>
      </c>
      <c r="R26" s="10" t="s">
        <v>43</v>
      </c>
      <c r="S26" s="43" t="s">
        <v>69</v>
      </c>
      <c r="T26" s="16" t="s">
        <v>69</v>
      </c>
      <c r="U26" s="10" t="s">
        <v>85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4">
        <v>25</v>
      </c>
      <c r="AF26" s="44">
        <f>Tabela1[[#This Row],[Plainar
Facear]]+1</f>
        <v>26</v>
      </c>
      <c r="AG26" s="44" t="s">
        <v>28</v>
      </c>
      <c r="AH26" s="44">
        <f>Tabela1[[#This Row],[Serrar2]]+1</f>
        <v>27</v>
      </c>
      <c r="AI26" s="44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2">
        <f>WEEKNUM(Tabela1[[#This Row],[Prazo
Fundido]])</f>
        <v>25</v>
      </c>
      <c r="L27" s="11">
        <v>46184</v>
      </c>
      <c r="M27" s="16">
        <v>46210</v>
      </c>
      <c r="N27" s="42">
        <f ca="1">Tabela1[[#This Row],[Prazo
Entrega]]-TODAY()</f>
        <v>14</v>
      </c>
      <c r="O27" s="42" t="str">
        <f t="shared" ca="1" si="0"/>
        <v>ATENÇÃO</v>
      </c>
      <c r="P27" s="42">
        <f>WEEKNUM(Tabela1[[#This Row],[Prazo
Entrega]],1)</f>
        <v>28</v>
      </c>
      <c r="R27" s="10" t="s">
        <v>43</v>
      </c>
      <c r="S27" s="43" t="s">
        <v>69</v>
      </c>
      <c r="T27" s="16" t="s">
        <v>69</v>
      </c>
      <c r="U27" s="10" t="s">
        <v>85</v>
      </c>
      <c r="V27" s="10" t="s">
        <v>72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4">
        <v>25</v>
      </c>
      <c r="AF27" s="44">
        <f>Tabela1[[#This Row],[Plainar
Facear]]+1</f>
        <v>26</v>
      </c>
      <c r="AG27" s="44" t="s">
        <v>28</v>
      </c>
      <c r="AH27" s="44">
        <f>Tabela1[[#This Row],[Serrar2]]+1</f>
        <v>27</v>
      </c>
      <c r="AI27" s="44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2">
        <f>WEEKNUM(Tabela1[[#This Row],[Prazo
Fundido]])</f>
        <v>25</v>
      </c>
      <c r="L28" s="11">
        <v>46184</v>
      </c>
      <c r="M28" s="16">
        <v>46210</v>
      </c>
      <c r="N28" s="42">
        <f ca="1">Tabela1[[#This Row],[Prazo
Entrega]]-TODAY()</f>
        <v>14</v>
      </c>
      <c r="O28" s="42" t="str">
        <f t="shared" ca="1" si="0"/>
        <v>ATENÇÃO</v>
      </c>
      <c r="P28" s="42">
        <f>WEEKNUM(Tabela1[[#This Row],[Prazo
Entrega]],1)</f>
        <v>28</v>
      </c>
      <c r="R28" s="10" t="s">
        <v>43</v>
      </c>
      <c r="S28" s="43" t="s">
        <v>69</v>
      </c>
      <c r="T28" s="16" t="s">
        <v>69</v>
      </c>
      <c r="U28" s="10" t="s">
        <v>85</v>
      </c>
      <c r="V28" s="10" t="s">
        <v>72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4">
        <v>25</v>
      </c>
      <c r="AF28" s="44">
        <f>Tabela1[[#This Row],[Plainar
Facear]]+1</f>
        <v>26</v>
      </c>
      <c r="AG28" s="44" t="s">
        <v>28</v>
      </c>
      <c r="AH28" s="44">
        <f>Tabela1[[#This Row],[Serrar2]]+1</f>
        <v>27</v>
      </c>
      <c r="AI28" s="44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2">
        <f>WEEKNUM(Tabela1[[#This Row],[Prazo
Fundido]])</f>
        <v>25</v>
      </c>
      <c r="L29" s="11">
        <v>46184</v>
      </c>
      <c r="M29" s="16">
        <v>46210</v>
      </c>
      <c r="N29" s="42">
        <f ca="1">Tabela1[[#This Row],[Prazo
Entrega]]-TODAY()</f>
        <v>14</v>
      </c>
      <c r="O29" s="42" t="str">
        <f t="shared" ca="1" si="0"/>
        <v>ATENÇÃO</v>
      </c>
      <c r="P29" s="42">
        <f>WEEKNUM(Tabela1[[#This Row],[Prazo
Entrega]],1)</f>
        <v>28</v>
      </c>
      <c r="R29" s="10" t="s">
        <v>43</v>
      </c>
      <c r="S29" s="43" t="s">
        <v>69</v>
      </c>
      <c r="T29" s="16" t="s">
        <v>69</v>
      </c>
      <c r="U29" s="10" t="s">
        <v>85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4">
        <v>25</v>
      </c>
      <c r="AF29" s="44">
        <f>Tabela1[[#This Row],[Plainar
Facear]]+1</f>
        <v>26</v>
      </c>
      <c r="AG29" s="44" t="s">
        <v>28</v>
      </c>
      <c r="AH29" s="44">
        <f>Tabela1[[#This Row],[Serrar2]]+1</f>
        <v>27</v>
      </c>
      <c r="AI29" s="44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2">
        <f>WEEKNUM(Tabela1[[#This Row],[Prazo
Fundido]])</f>
        <v>24</v>
      </c>
      <c r="L30" s="11">
        <v>46192</v>
      </c>
      <c r="M30" s="16">
        <v>46227</v>
      </c>
      <c r="N30" s="42">
        <f ca="1">Tabela1[[#This Row],[Prazo
Entrega]]-TODAY()</f>
        <v>31</v>
      </c>
      <c r="O30" s="42" t="str">
        <f t="shared" ca="1" si="0"/>
        <v>NO PRAZO</v>
      </c>
      <c r="P30" s="42">
        <f>WEEKNUM(Tabela1[[#This Row],[Prazo
Entrega]],1)</f>
        <v>30</v>
      </c>
      <c r="R30" s="10" t="s">
        <v>43</v>
      </c>
      <c r="S30" s="43">
        <v>46203</v>
      </c>
      <c r="T30" s="16" t="s">
        <v>72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4">
        <v>27</v>
      </c>
      <c r="AF30" s="44">
        <f>Tabela1[[#This Row],[Plainar
Facear]]+1</f>
        <v>28</v>
      </c>
      <c r="AG30" s="44" t="s">
        <v>28</v>
      </c>
      <c r="AH30" s="44">
        <f>Tabela1[[#This Row],[Serrar2]]+1</f>
        <v>29</v>
      </c>
      <c r="AI30" s="44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2">
        <f>WEEKNUM(Tabela1[[#This Row],[Prazo
Fundido]])</f>
        <v>24</v>
      </c>
      <c r="L31" s="11">
        <v>46175</v>
      </c>
      <c r="M31" s="16">
        <v>46227</v>
      </c>
      <c r="N31" s="42">
        <f ca="1">Tabela1[[#This Row],[Prazo
Entrega]]-TODAY()</f>
        <v>31</v>
      </c>
      <c r="O31" s="42" t="str">
        <f t="shared" ca="1" si="0"/>
        <v>NO PRAZO</v>
      </c>
      <c r="P31" s="42">
        <f>WEEKNUM(Tabela1[[#This Row],[Prazo
Entrega]],1)</f>
        <v>30</v>
      </c>
      <c r="R31" s="10" t="s">
        <v>43</v>
      </c>
      <c r="S31" s="43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72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4">
        <v>27</v>
      </c>
      <c r="AF31" s="44">
        <f>Tabela1[[#This Row],[Plainar
Facear]]+1</f>
        <v>28</v>
      </c>
      <c r="AG31" s="44" t="s">
        <v>28</v>
      </c>
      <c r="AH31" s="44">
        <f>Tabela1[[#This Row],[Serrar2]]+1</f>
        <v>29</v>
      </c>
      <c r="AI31" s="44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2">
        <f>WEEKNUM(Tabela1[[#This Row],[Prazo
Fundido]])</f>
        <v>24</v>
      </c>
      <c r="L32" s="11">
        <v>46175</v>
      </c>
      <c r="M32" s="16">
        <v>46227</v>
      </c>
      <c r="N32" s="42">
        <f ca="1">Tabela1[[#This Row],[Prazo
Entrega]]-TODAY()</f>
        <v>31</v>
      </c>
      <c r="O32" s="42" t="str">
        <f t="shared" ca="1" si="0"/>
        <v>NO PRAZO</v>
      </c>
      <c r="P32" s="42">
        <f>WEEKNUM(Tabela1[[#This Row],[Prazo
Entrega]],1)</f>
        <v>30</v>
      </c>
      <c r="R32" s="10" t="s">
        <v>43</v>
      </c>
      <c r="S32" s="43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4">
        <v>27</v>
      </c>
      <c r="AF32" s="44">
        <f>Tabela1[[#This Row],[Plainar
Facear]]+1</f>
        <v>28</v>
      </c>
      <c r="AG32" s="44" t="s">
        <v>28</v>
      </c>
      <c r="AH32" s="44">
        <f>Tabela1[[#This Row],[Serrar2]]+1</f>
        <v>29</v>
      </c>
      <c r="AI32" s="44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2">
        <f>WEEKNUM(Tabela1[[#This Row],[Prazo
Fundido]])</f>
        <v>24</v>
      </c>
      <c r="L33" s="11">
        <v>46175</v>
      </c>
      <c r="M33" s="16">
        <v>46227</v>
      </c>
      <c r="N33" s="42">
        <f ca="1">Tabela1[[#This Row],[Prazo
Entrega]]-TODAY()</f>
        <v>31</v>
      </c>
      <c r="O33" s="42" t="str">
        <f t="shared" ca="1" si="0"/>
        <v>NO PRAZO</v>
      </c>
      <c r="P33" s="42">
        <f>WEEKNUM(Tabela1[[#This Row],[Prazo
Entrega]],1)</f>
        <v>30</v>
      </c>
      <c r="R33" s="10" t="s">
        <v>43</v>
      </c>
      <c r="S33" s="43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4">
        <v>27</v>
      </c>
      <c r="AF33" s="44">
        <f>Tabela1[[#This Row],[Plainar
Facear]]+1</f>
        <v>28</v>
      </c>
      <c r="AG33" s="44" t="s">
        <v>28</v>
      </c>
      <c r="AH33" s="44">
        <f>Tabela1[[#This Row],[Serrar2]]+1</f>
        <v>29</v>
      </c>
      <c r="AI33" s="44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2">
        <f>WEEKNUM(Tabela1[[#This Row],[Prazo
Fundido]])</f>
        <v>24</v>
      </c>
      <c r="L34" s="11">
        <v>46175</v>
      </c>
      <c r="M34" s="16">
        <v>46227</v>
      </c>
      <c r="N34" s="42">
        <f ca="1">Tabela1[[#This Row],[Prazo
Entrega]]-TODAY()</f>
        <v>31</v>
      </c>
      <c r="O34" s="42" t="str">
        <f t="shared" ref="O34:O65" ca="1" si="2">IF(N34&lt;0,"ATRASADO",IF(N34&lt;=15,"ATENÇÃO","NO PRAZO"))</f>
        <v>NO PRAZO</v>
      </c>
      <c r="P34" s="42">
        <f>WEEKNUM(Tabela1[[#This Row],[Prazo
Entrega]],1)</f>
        <v>30</v>
      </c>
      <c r="R34" s="10" t="s">
        <v>43</v>
      </c>
      <c r="S34" s="43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4">
        <v>27</v>
      </c>
      <c r="AF34" s="44">
        <f>Tabela1[[#This Row],[Plainar
Facear]]+1</f>
        <v>28</v>
      </c>
      <c r="AG34" s="44" t="s">
        <v>28</v>
      </c>
      <c r="AH34" s="44">
        <f>Tabela1[[#This Row],[Serrar2]]+1</f>
        <v>29</v>
      </c>
      <c r="AI34" s="44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2">
        <f>WEEKNUM(Tabela1[[#This Row],[Prazo
Fundido]])</f>
        <v>24</v>
      </c>
      <c r="L35" s="11">
        <v>46175</v>
      </c>
      <c r="M35" s="16">
        <v>46227</v>
      </c>
      <c r="N35" s="42">
        <f ca="1">Tabela1[[#This Row],[Prazo
Entrega]]-TODAY()</f>
        <v>31</v>
      </c>
      <c r="O35" s="42" t="str">
        <f t="shared" ca="1" si="2"/>
        <v>NO PRAZO</v>
      </c>
      <c r="P35" s="42">
        <f>WEEKNUM(Tabela1[[#This Row],[Prazo
Entrega]],1)</f>
        <v>30</v>
      </c>
      <c r="R35" s="10" t="s">
        <v>43</v>
      </c>
      <c r="S35" s="43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4">
        <v>27</v>
      </c>
      <c r="AF35" s="44">
        <f>Tabela1[[#This Row],[Plainar
Facear]]+1</f>
        <v>28</v>
      </c>
      <c r="AG35" s="44" t="s">
        <v>28</v>
      </c>
      <c r="AH35" s="44">
        <f>Tabela1[[#This Row],[Serrar2]]+1</f>
        <v>29</v>
      </c>
      <c r="AI35" s="44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2">
        <f>WEEKNUM(Tabela1[[#This Row],[Prazo
Fundido]])</f>
        <v>24</v>
      </c>
      <c r="L36" s="11">
        <v>46189</v>
      </c>
      <c r="M36" s="16">
        <v>46227</v>
      </c>
      <c r="N36" s="42">
        <f ca="1">Tabela1[[#This Row],[Prazo
Entrega]]-TODAY()</f>
        <v>31</v>
      </c>
      <c r="O36" s="42" t="str">
        <f t="shared" ca="1" si="2"/>
        <v>NO PRAZO</v>
      </c>
      <c r="P36" s="42">
        <f>WEEKNUM(Tabela1[[#This Row],[Prazo
Entrega]],1)</f>
        <v>30</v>
      </c>
      <c r="R36" s="10" t="s">
        <v>43</v>
      </c>
      <c r="S36" s="43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4">
        <v>27</v>
      </c>
      <c r="AF36" s="44">
        <f>Tabela1[[#This Row],[Plainar
Facear]]+1</f>
        <v>28</v>
      </c>
      <c r="AG36" s="44" t="s">
        <v>28</v>
      </c>
      <c r="AH36" s="44">
        <f>Tabela1[[#This Row],[Serrar2]]+1</f>
        <v>29</v>
      </c>
      <c r="AI36" s="44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2">
        <f>WEEKNUM(Tabela1[[#This Row],[Prazo
Fundido]])</f>
        <v>24</v>
      </c>
      <c r="L37" s="16">
        <v>46192</v>
      </c>
      <c r="M37" s="16">
        <v>46227</v>
      </c>
      <c r="N37" s="42">
        <f ca="1">Tabela1[[#This Row],[Prazo
Entrega]]-TODAY()</f>
        <v>31</v>
      </c>
      <c r="O37" s="42" t="str">
        <f t="shared" ca="1" si="2"/>
        <v>NO PRAZO</v>
      </c>
      <c r="P37" s="42">
        <f>WEEKNUM(Tabela1[[#This Row],[Prazo
Entrega]],1)</f>
        <v>30</v>
      </c>
      <c r="R37" s="10" t="s">
        <v>43</v>
      </c>
      <c r="S37" s="43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4">
        <v>27</v>
      </c>
      <c r="AF37" s="44">
        <f>Tabela1[[#This Row],[Plainar
Facear]]+1</f>
        <v>28</v>
      </c>
      <c r="AG37" s="44" t="s">
        <v>28</v>
      </c>
      <c r="AH37" s="44">
        <f>Tabela1[[#This Row],[Serrar2]]+1</f>
        <v>29</v>
      </c>
      <c r="AI37" s="44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2">
        <f>WEEKNUM(Tabela1[[#This Row],[Prazo
Fundido]])</f>
        <v>25</v>
      </c>
      <c r="L38" s="11">
        <v>46175</v>
      </c>
      <c r="M38" s="16">
        <v>46234</v>
      </c>
      <c r="N38" s="42">
        <f ca="1">Tabela1[[#This Row],[Prazo
Entrega]]-TODAY()</f>
        <v>38</v>
      </c>
      <c r="O38" s="42" t="str">
        <f t="shared" ca="1" si="2"/>
        <v>NO PRAZO</v>
      </c>
      <c r="P38" s="42">
        <f>WEEKNUM(Tabela1[[#This Row],[Prazo
Entrega]],1)</f>
        <v>31</v>
      </c>
      <c r="R38" s="10" t="s">
        <v>43</v>
      </c>
      <c r="S38" s="43">
        <v>46203</v>
      </c>
      <c r="T38" s="16" t="s">
        <v>72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4">
        <v>27</v>
      </c>
      <c r="AF38" s="44">
        <f>Tabela1[[#This Row],[Plainar
Facear]]+1</f>
        <v>28</v>
      </c>
      <c r="AG38" s="44" t="s">
        <v>28</v>
      </c>
      <c r="AH38" s="44">
        <f>Tabela1[[#This Row],[Serrar2]]+1</f>
        <v>29</v>
      </c>
      <c r="AI38" s="44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2">
        <f>WEEKNUM(Tabela1[[#This Row],[Prazo
Fundido]])</f>
        <v>25</v>
      </c>
      <c r="M39" s="16">
        <v>46234</v>
      </c>
      <c r="N39" s="42">
        <f ca="1">Tabela1[[#This Row],[Prazo
Entrega]]-TODAY()</f>
        <v>38</v>
      </c>
      <c r="O39" s="42" t="str">
        <f t="shared" ca="1" si="2"/>
        <v>NO PRAZO</v>
      </c>
      <c r="P39" s="42">
        <f>WEEKNUM(Tabela1[[#This Row],[Prazo
Entrega]],1)</f>
        <v>31</v>
      </c>
      <c r="R39" s="10" t="s">
        <v>43</v>
      </c>
      <c r="S39" s="43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4">
        <v>27</v>
      </c>
      <c r="AF39" s="44">
        <f>Tabela1[[#This Row],[Plainar
Facear]]+1</f>
        <v>28</v>
      </c>
      <c r="AG39" s="44" t="s">
        <v>28</v>
      </c>
      <c r="AH39" s="44">
        <f>Tabela1[[#This Row],[Serrar2]]+1</f>
        <v>29</v>
      </c>
      <c r="AI39" s="44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2">
        <f>WEEKNUM(Tabela1[[#This Row],[Prazo
Fundido]])</f>
        <v>25</v>
      </c>
      <c r="M40" s="16">
        <v>46234</v>
      </c>
      <c r="N40" s="42">
        <f ca="1">Tabela1[[#This Row],[Prazo
Entrega]]-TODAY()</f>
        <v>38</v>
      </c>
      <c r="O40" s="42" t="str">
        <f t="shared" ca="1" si="2"/>
        <v>NO PRAZO</v>
      </c>
      <c r="P40" s="42">
        <f>WEEKNUM(Tabela1[[#This Row],[Prazo
Entrega]],1)</f>
        <v>31</v>
      </c>
      <c r="R40" s="10" t="s">
        <v>43</v>
      </c>
      <c r="S40" s="43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4">
        <v>28</v>
      </c>
      <c r="AF40" s="44">
        <f>Tabela1[[#This Row],[Plainar
Facear]]+1</f>
        <v>29</v>
      </c>
      <c r="AG40" s="44" t="s">
        <v>28</v>
      </c>
      <c r="AH40" s="44">
        <f>Tabela1[[#This Row],[Serrar2]]+1</f>
        <v>30</v>
      </c>
      <c r="AI40" s="44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2">
        <f>WEEKNUM(Tabela1[[#This Row],[Prazo
Fundido]])</f>
        <v>25</v>
      </c>
      <c r="L41" s="11">
        <v>46175</v>
      </c>
      <c r="M41" s="16">
        <v>46234</v>
      </c>
      <c r="N41" s="42">
        <f ca="1">Tabela1[[#This Row],[Prazo
Entrega]]-TODAY()</f>
        <v>38</v>
      </c>
      <c r="O41" s="42" t="str">
        <f t="shared" ca="1" si="2"/>
        <v>NO PRAZO</v>
      </c>
      <c r="P41" s="42">
        <f>WEEKNUM(Tabela1[[#This Row],[Prazo
Entrega]],1)</f>
        <v>31</v>
      </c>
      <c r="R41" s="10" t="s">
        <v>43</v>
      </c>
      <c r="S41" s="43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4">
        <v>28</v>
      </c>
      <c r="AF41" s="44">
        <f>Tabela1[[#This Row],[Plainar
Facear]]+1</f>
        <v>29</v>
      </c>
      <c r="AG41" s="44" t="s">
        <v>28</v>
      </c>
      <c r="AH41" s="44">
        <f>Tabela1[[#This Row],[Serrar2]]+1</f>
        <v>30</v>
      </c>
      <c r="AI41" s="44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2">
        <f>WEEKNUM(Tabela1[[#This Row],[Prazo
Fundido]])</f>
        <v>25</v>
      </c>
      <c r="L42" s="11">
        <v>46175</v>
      </c>
      <c r="M42" s="16">
        <v>46234</v>
      </c>
      <c r="N42" s="42">
        <f ca="1">Tabela1[[#This Row],[Prazo
Entrega]]-TODAY()</f>
        <v>38</v>
      </c>
      <c r="O42" s="42" t="str">
        <f t="shared" ca="1" si="2"/>
        <v>NO PRAZO</v>
      </c>
      <c r="P42" s="42">
        <f>WEEKNUM(Tabela1[[#This Row],[Prazo
Entrega]],1)</f>
        <v>31</v>
      </c>
      <c r="R42" s="10" t="s">
        <v>43</v>
      </c>
      <c r="S42" s="43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4">
        <v>28</v>
      </c>
      <c r="AF42" s="44">
        <f>Tabela1[[#This Row],[Plainar
Facear]]+1</f>
        <v>29</v>
      </c>
      <c r="AG42" s="44" t="s">
        <v>28</v>
      </c>
      <c r="AH42" s="44">
        <f>Tabela1[[#This Row],[Serrar2]]+1</f>
        <v>30</v>
      </c>
      <c r="AI42" s="44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2">
        <f>WEEKNUM(Tabela1[[#This Row],[Prazo
Fundido]])</f>
        <v>25</v>
      </c>
      <c r="L43" s="11">
        <v>46192</v>
      </c>
      <c r="M43" s="16">
        <v>46234</v>
      </c>
      <c r="N43" s="42">
        <f ca="1">Tabela1[[#This Row],[Prazo
Entrega]]-TODAY()</f>
        <v>38</v>
      </c>
      <c r="O43" s="42" t="str">
        <f t="shared" ca="1" si="2"/>
        <v>NO PRAZO</v>
      </c>
      <c r="P43" s="42">
        <f>WEEKNUM(Tabela1[[#This Row],[Prazo
Entrega]],1)</f>
        <v>31</v>
      </c>
      <c r="R43" s="10" t="s">
        <v>43</v>
      </c>
      <c r="S43" s="43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4">
        <v>28</v>
      </c>
      <c r="AF43" s="44">
        <f>Tabela1[[#This Row],[Plainar
Facear]]+1</f>
        <v>29</v>
      </c>
      <c r="AG43" s="44" t="s">
        <v>28</v>
      </c>
      <c r="AH43" s="44">
        <f>Tabela1[[#This Row],[Serrar2]]+1</f>
        <v>30</v>
      </c>
      <c r="AI43" s="44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2">
        <f>WEEKNUM(Tabela1[[#This Row],[Prazo
Fundido]])</f>
        <v>25</v>
      </c>
      <c r="M44" s="16">
        <v>46234</v>
      </c>
      <c r="N44" s="42">
        <f ca="1">Tabela1[[#This Row],[Prazo
Entrega]]-TODAY()</f>
        <v>38</v>
      </c>
      <c r="O44" s="42" t="str">
        <f t="shared" ca="1" si="2"/>
        <v>NO PRAZO</v>
      </c>
      <c r="P44" s="42">
        <f>WEEKNUM(Tabela1[[#This Row],[Prazo
Entrega]],1)</f>
        <v>31</v>
      </c>
      <c r="R44" s="10" t="s">
        <v>43</v>
      </c>
      <c r="S44" s="43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4">
        <v>28</v>
      </c>
      <c r="AF44" s="44">
        <f>Tabela1[[#This Row],[Plainar
Facear]]+1</f>
        <v>29</v>
      </c>
      <c r="AG44" s="44" t="s">
        <v>28</v>
      </c>
      <c r="AH44" s="44">
        <f>Tabela1[[#This Row],[Serrar2]]+1</f>
        <v>30</v>
      </c>
      <c r="AI44" s="44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2">
        <f>WEEKNUM(Tabela1[[#This Row],[Prazo
Fundido]])</f>
        <v>25</v>
      </c>
      <c r="L45" s="11">
        <v>46188</v>
      </c>
      <c r="M45" s="16">
        <v>46234</v>
      </c>
      <c r="N45" s="42">
        <f ca="1">Tabela1[[#This Row],[Prazo
Entrega]]-TODAY()</f>
        <v>38</v>
      </c>
      <c r="O45" s="42" t="str">
        <f t="shared" ca="1" si="2"/>
        <v>NO PRAZO</v>
      </c>
      <c r="P45" s="42">
        <f>WEEKNUM(Tabela1[[#This Row],[Prazo
Entrega]],1)</f>
        <v>31</v>
      </c>
      <c r="R45" s="10" t="s">
        <v>43</v>
      </c>
      <c r="S45" s="43">
        <v>46203</v>
      </c>
      <c r="T45" s="16" t="s">
        <v>72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4">
        <v>28</v>
      </c>
      <c r="AF45" s="44">
        <f>Tabela1[[#This Row],[Plainar
Facear]]+1</f>
        <v>29</v>
      </c>
      <c r="AG45" s="44" t="s">
        <v>28</v>
      </c>
      <c r="AH45" s="44">
        <f>Tabela1[[#This Row],[Serrar2]]+1</f>
        <v>30</v>
      </c>
      <c r="AI45" s="44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2">
        <f>WEEKNUM(Tabela1[[#This Row],[Prazo
Fundido]])</f>
        <v>25</v>
      </c>
      <c r="L46" s="11">
        <v>46189</v>
      </c>
      <c r="M46" s="16">
        <v>46234</v>
      </c>
      <c r="N46" s="42">
        <f ca="1">Tabela1[[#This Row],[Prazo
Entrega]]-TODAY()</f>
        <v>38</v>
      </c>
      <c r="O46" s="42" t="str">
        <f t="shared" ca="1" si="2"/>
        <v>NO PRAZO</v>
      </c>
      <c r="P46" s="42">
        <f>WEEKNUM(Tabela1[[#This Row],[Prazo
Entrega]],1)</f>
        <v>31</v>
      </c>
      <c r="R46" s="10" t="s">
        <v>43</v>
      </c>
      <c r="S46" s="43">
        <v>46203</v>
      </c>
      <c r="T46" s="16" t="s">
        <v>72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4">
        <v>28</v>
      </c>
      <c r="AF46" s="44">
        <f>Tabela1[[#This Row],[Plainar
Facear]]+1</f>
        <v>29</v>
      </c>
      <c r="AG46" s="44" t="s">
        <v>28</v>
      </c>
      <c r="AH46" s="44">
        <f>Tabela1[[#This Row],[Serrar2]]+1</f>
        <v>30</v>
      </c>
      <c r="AI46" s="44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2">
        <f>WEEKNUM(Tabela1[[#This Row],[Prazo
Fundido]])</f>
        <v>25</v>
      </c>
      <c r="L47" s="10" t="s">
        <v>64</v>
      </c>
      <c r="M47" s="16">
        <v>46234</v>
      </c>
      <c r="N47" s="42">
        <f ca="1">Tabela1[[#This Row],[Prazo
Entrega]]-TODAY()</f>
        <v>38</v>
      </c>
      <c r="O47" s="42" t="str">
        <f t="shared" ca="1" si="2"/>
        <v>NO PRAZO</v>
      </c>
      <c r="P47" s="42">
        <f>WEEKNUM(Tabela1[[#This Row],[Prazo
Entrega]],1)</f>
        <v>31</v>
      </c>
      <c r="R47" s="10" t="s">
        <v>43</v>
      </c>
      <c r="S47" s="43">
        <v>46203</v>
      </c>
      <c r="T47" s="16" t="s">
        <v>72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4">
        <v>28</v>
      </c>
      <c r="AF47" s="44">
        <f>Tabela1[[#This Row],[Plainar
Facear]]+1</f>
        <v>29</v>
      </c>
      <c r="AG47" s="44" t="s">
        <v>28</v>
      </c>
      <c r="AH47" s="44">
        <f>Tabela1[[#This Row],[Serrar2]]+1</f>
        <v>30</v>
      </c>
      <c r="AI47" s="44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2">
        <f>WEEKNUM(Tabela1[[#This Row],[Prazo
Fundido]])</f>
        <v>25</v>
      </c>
      <c r="M48" s="16">
        <v>46241</v>
      </c>
      <c r="N48" s="42">
        <f ca="1">Tabela1[[#This Row],[Prazo
Entrega]]-TODAY()</f>
        <v>45</v>
      </c>
      <c r="O48" s="42" t="str">
        <f t="shared" ca="1" si="2"/>
        <v>NO PRAZO</v>
      </c>
      <c r="P48" s="42">
        <f>WEEKNUM(Tabela1[[#This Row],[Prazo
Entrega]],1)</f>
        <v>32</v>
      </c>
      <c r="R48" s="10" t="s">
        <v>43</v>
      </c>
      <c r="S48" s="43">
        <v>46203</v>
      </c>
      <c r="T48" s="16" t="s">
        <v>72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4">
        <v>28</v>
      </c>
      <c r="AF48" s="44">
        <f>Tabela1[[#This Row],[Plainar
Facear]]+1</f>
        <v>29</v>
      </c>
      <c r="AG48" s="44" t="s">
        <v>28</v>
      </c>
      <c r="AH48" s="44">
        <f>Tabela1[[#This Row],[Serrar2]]+1</f>
        <v>30</v>
      </c>
      <c r="AI48" s="44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2">
        <f>WEEKNUM(Tabela1[[#This Row],[Prazo
Fundido]])</f>
        <v>25</v>
      </c>
      <c r="L49" s="11">
        <v>46175</v>
      </c>
      <c r="M49" s="16">
        <v>46241</v>
      </c>
      <c r="N49" s="42">
        <f ca="1">Tabela1[[#This Row],[Prazo
Entrega]]-TODAY()</f>
        <v>45</v>
      </c>
      <c r="O49" s="42" t="str">
        <f t="shared" ca="1" si="2"/>
        <v>NO PRAZO</v>
      </c>
      <c r="P49" s="42">
        <f>WEEKNUM(Tabela1[[#This Row],[Prazo
Entrega]],1)</f>
        <v>32</v>
      </c>
      <c r="R49" s="10" t="s">
        <v>43</v>
      </c>
      <c r="S49" s="43">
        <v>46203</v>
      </c>
      <c r="T49" s="16" t="s">
        <v>72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4">
        <v>28</v>
      </c>
      <c r="AF49" s="44">
        <f>Tabela1[[#This Row],[Plainar
Facear]]+1</f>
        <v>29</v>
      </c>
      <c r="AG49" s="44" t="s">
        <v>28</v>
      </c>
      <c r="AH49" s="44">
        <f>Tabela1[[#This Row],[Serrar2]]+1</f>
        <v>30</v>
      </c>
      <c r="AI49" s="44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2">
        <f>WEEKNUM(Tabela1[[#This Row],[Prazo
Fundido]])</f>
        <v>25</v>
      </c>
      <c r="L50" s="11">
        <v>46175</v>
      </c>
      <c r="M50" s="16">
        <v>46241</v>
      </c>
      <c r="N50" s="42">
        <f ca="1">Tabela1[[#This Row],[Prazo
Entrega]]-TODAY()</f>
        <v>45</v>
      </c>
      <c r="O50" s="42" t="str">
        <f t="shared" ca="1" si="2"/>
        <v>NO PRAZO</v>
      </c>
      <c r="P50" s="42">
        <f>WEEKNUM(Tabela1[[#This Row],[Prazo
Entrega]],1)</f>
        <v>32</v>
      </c>
      <c r="R50" s="10" t="s">
        <v>43</v>
      </c>
      <c r="S50" s="43">
        <v>46203</v>
      </c>
      <c r="T50" s="16" t="s">
        <v>72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4">
        <v>29</v>
      </c>
      <c r="AF50" s="44">
        <f>Tabela1[[#This Row],[Plainar
Facear]]+1</f>
        <v>30</v>
      </c>
      <c r="AG50" s="44" t="s">
        <v>28</v>
      </c>
      <c r="AH50" s="44">
        <f>Tabela1[[#This Row],[Serrar2]]+1</f>
        <v>31</v>
      </c>
      <c r="AI50" s="44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2">
        <f>WEEKNUM(Tabela1[[#This Row],[Prazo
Fundido]])</f>
        <v>25</v>
      </c>
      <c r="L51" s="11">
        <v>46192</v>
      </c>
      <c r="M51" s="16">
        <v>46241</v>
      </c>
      <c r="N51" s="42">
        <f ca="1">Tabela1[[#This Row],[Prazo
Entrega]]-TODAY()</f>
        <v>45</v>
      </c>
      <c r="O51" s="42" t="str">
        <f t="shared" ca="1" si="2"/>
        <v>NO PRAZO</v>
      </c>
      <c r="P51" s="42">
        <f>WEEKNUM(Tabela1[[#This Row],[Prazo
Entrega]],1)</f>
        <v>32</v>
      </c>
      <c r="R51" s="10" t="s">
        <v>43</v>
      </c>
      <c r="S51" s="43">
        <v>46203</v>
      </c>
      <c r="T51" s="16" t="s">
        <v>72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4">
        <v>29</v>
      </c>
      <c r="AF51" s="44">
        <f>Tabela1[[#This Row],[Plainar
Facear]]+1</f>
        <v>30</v>
      </c>
      <c r="AG51" s="44" t="s">
        <v>28</v>
      </c>
      <c r="AH51" s="44">
        <f>Tabela1[[#This Row],[Serrar2]]+1</f>
        <v>31</v>
      </c>
      <c r="AI51" s="44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2">
        <f>WEEKNUM(Tabela1[[#This Row],[Prazo
Fundido]])</f>
        <v>25</v>
      </c>
      <c r="L52" s="11">
        <v>46183</v>
      </c>
      <c r="M52" s="16">
        <v>46241</v>
      </c>
      <c r="N52" s="42">
        <f ca="1">Tabela1[[#This Row],[Prazo
Entrega]]-TODAY()</f>
        <v>45</v>
      </c>
      <c r="O52" s="42" t="str">
        <f t="shared" ca="1" si="2"/>
        <v>NO PRAZO</v>
      </c>
      <c r="P52" s="42">
        <f>WEEKNUM(Tabela1[[#This Row],[Prazo
Entrega]],1)</f>
        <v>32</v>
      </c>
      <c r="R52" s="10" t="s">
        <v>43</v>
      </c>
      <c r="S52" s="43">
        <v>46203</v>
      </c>
      <c r="T52" s="16" t="s">
        <v>72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4">
        <v>29</v>
      </c>
      <c r="AF52" s="44">
        <f>Tabela1[[#This Row],[Plainar
Facear]]+1</f>
        <v>30</v>
      </c>
      <c r="AG52" s="44" t="s">
        <v>28</v>
      </c>
      <c r="AH52" s="44">
        <f>Tabela1[[#This Row],[Serrar2]]+1</f>
        <v>31</v>
      </c>
      <c r="AI52" s="44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2">
        <f>WEEKNUM(Tabela1[[#This Row],[Prazo
Fundido]])</f>
        <v>26</v>
      </c>
      <c r="L53" s="11">
        <v>46189</v>
      </c>
      <c r="M53" s="16">
        <v>46241</v>
      </c>
      <c r="N53" s="42">
        <f ca="1">Tabela1[[#This Row],[Prazo
Entrega]]-TODAY()</f>
        <v>45</v>
      </c>
      <c r="O53" s="42" t="str">
        <f t="shared" ca="1" si="2"/>
        <v>NO PRAZO</v>
      </c>
      <c r="P53" s="42">
        <f>WEEKNUM(Tabela1[[#This Row],[Prazo
Entrega]],1)</f>
        <v>32</v>
      </c>
      <c r="R53" s="10" t="s">
        <v>43</v>
      </c>
      <c r="S53" s="43">
        <v>46203</v>
      </c>
      <c r="T53" s="16" t="s">
        <v>72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4">
        <v>29</v>
      </c>
      <c r="AF53" s="44">
        <f>Tabela1[[#This Row],[Plainar
Facear]]+1</f>
        <v>30</v>
      </c>
      <c r="AG53" s="44" t="s">
        <v>28</v>
      </c>
      <c r="AH53" s="44">
        <f>Tabela1[[#This Row],[Serrar2]]+1</f>
        <v>31</v>
      </c>
      <c r="AI53" s="44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2">
        <f>WEEKNUM(Tabela1[[#This Row],[Prazo
Fundido]])</f>
        <v>26</v>
      </c>
      <c r="M54" s="16">
        <v>46241</v>
      </c>
      <c r="N54" s="42">
        <f ca="1">Tabela1[[#This Row],[Prazo
Entrega]]-TODAY()</f>
        <v>45</v>
      </c>
      <c r="O54" s="42" t="str">
        <f t="shared" ca="1" si="2"/>
        <v>NO PRAZO</v>
      </c>
      <c r="P54" s="42">
        <f>WEEKNUM(Tabela1[[#This Row],[Prazo
Entrega]],1)</f>
        <v>32</v>
      </c>
      <c r="R54" s="10" t="s">
        <v>43</v>
      </c>
      <c r="S54" s="43">
        <v>46203</v>
      </c>
      <c r="T54" s="16" t="s">
        <v>72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4">
        <v>29</v>
      </c>
      <c r="AF54" s="44">
        <f>Tabela1[[#This Row],[Plainar
Facear]]+1</f>
        <v>30</v>
      </c>
      <c r="AG54" s="44" t="s">
        <v>28</v>
      </c>
      <c r="AH54" s="44">
        <f>Tabela1[[#This Row],[Serrar2]]+1</f>
        <v>31</v>
      </c>
      <c r="AI54" s="44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2">
        <f>WEEKNUM(Tabela1[[#This Row],[Prazo
Fundido]])</f>
        <v>26</v>
      </c>
      <c r="M55" s="16">
        <v>46241</v>
      </c>
      <c r="N55" s="42">
        <f ca="1">Tabela1[[#This Row],[Prazo
Entrega]]-TODAY()</f>
        <v>45</v>
      </c>
      <c r="O55" s="42" t="str">
        <f t="shared" ca="1" si="2"/>
        <v>NO PRAZO</v>
      </c>
      <c r="P55" s="42">
        <f>WEEKNUM(Tabela1[[#This Row],[Prazo
Entrega]],1)</f>
        <v>32</v>
      </c>
      <c r="R55" s="10" t="s">
        <v>43</v>
      </c>
      <c r="S55" s="43">
        <v>46203</v>
      </c>
      <c r="T55" s="16" t="s">
        <v>72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4">
        <v>29</v>
      </c>
      <c r="AF55" s="44">
        <f>Tabela1[[#This Row],[Plainar
Facear]]+1</f>
        <v>30</v>
      </c>
      <c r="AG55" s="44" t="s">
        <v>28</v>
      </c>
      <c r="AH55" s="44">
        <f>Tabela1[[#This Row],[Serrar2]]+1</f>
        <v>31</v>
      </c>
      <c r="AI55" s="44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2">
        <f>WEEKNUM(Tabela1[[#This Row],[Prazo
Fundido]])</f>
        <v>26</v>
      </c>
      <c r="M56" s="16">
        <v>46241</v>
      </c>
      <c r="N56" s="42">
        <f ca="1">Tabela1[[#This Row],[Prazo
Entrega]]-TODAY()</f>
        <v>45</v>
      </c>
      <c r="O56" s="42" t="str">
        <f t="shared" ca="1" si="2"/>
        <v>NO PRAZO</v>
      </c>
      <c r="P56" s="42">
        <f>WEEKNUM(Tabela1[[#This Row],[Prazo
Entrega]],1)</f>
        <v>32</v>
      </c>
      <c r="R56" s="10" t="s">
        <v>43</v>
      </c>
      <c r="S56" s="43">
        <v>46203</v>
      </c>
      <c r="T56" s="16" t="s">
        <v>72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4">
        <v>29</v>
      </c>
      <c r="AF56" s="44">
        <f>Tabela1[[#This Row],[Plainar
Facear]]+1</f>
        <v>30</v>
      </c>
      <c r="AG56" s="44" t="s">
        <v>28</v>
      </c>
      <c r="AH56" s="44">
        <f>Tabela1[[#This Row],[Serrar2]]+1</f>
        <v>31</v>
      </c>
      <c r="AI56" s="44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2">
        <f>WEEKNUM(Tabela1[[#This Row],[Prazo
Fundido]])</f>
        <v>26</v>
      </c>
      <c r="M57" s="16">
        <v>46241</v>
      </c>
      <c r="N57" s="42">
        <f ca="1">Tabela1[[#This Row],[Prazo
Entrega]]-TODAY()</f>
        <v>45</v>
      </c>
      <c r="O57" s="42" t="str">
        <f t="shared" ca="1" si="2"/>
        <v>NO PRAZO</v>
      </c>
      <c r="P57" s="42">
        <f>WEEKNUM(Tabela1[[#This Row],[Prazo
Entrega]],1)</f>
        <v>32</v>
      </c>
      <c r="R57" s="10" t="s">
        <v>43</v>
      </c>
      <c r="S57" s="43">
        <v>46203</v>
      </c>
      <c r="T57" s="16" t="s">
        <v>72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4">
        <v>29</v>
      </c>
      <c r="AF57" s="44">
        <f>Tabela1[[#This Row],[Plainar
Facear]]+1</f>
        <v>30</v>
      </c>
      <c r="AG57" s="44" t="s">
        <v>28</v>
      </c>
      <c r="AH57" s="44">
        <f>Tabela1[[#This Row],[Serrar2]]+1</f>
        <v>31</v>
      </c>
      <c r="AI57" s="44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2">
        <f>WEEKNUM(Tabela1[[#This Row],[Prazo
Fundido]])</f>
        <v>26</v>
      </c>
      <c r="L58" s="11">
        <v>46190</v>
      </c>
      <c r="M58" s="16">
        <v>46248</v>
      </c>
      <c r="N58" s="42">
        <f ca="1">Tabela1[[#This Row],[Prazo
Entrega]]-TODAY()</f>
        <v>52</v>
      </c>
      <c r="O58" s="42" t="str">
        <f t="shared" ca="1" si="2"/>
        <v>NO PRAZO</v>
      </c>
      <c r="P58" s="42">
        <f>WEEKNUM(Tabela1[[#This Row],[Prazo
Entrega]],1)</f>
        <v>33</v>
      </c>
      <c r="Q58" s="11"/>
      <c r="R58" s="10" t="s">
        <v>43</v>
      </c>
      <c r="S58" s="43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4">
        <v>29</v>
      </c>
      <c r="AF58" s="44">
        <f>Tabela1[[#This Row],[Plainar
Facear]]+1</f>
        <v>30</v>
      </c>
      <c r="AG58" s="44" t="s">
        <v>28</v>
      </c>
      <c r="AH58" s="44">
        <f>Tabela1[[#This Row],[Serrar2]]+1</f>
        <v>31</v>
      </c>
      <c r="AI58" s="44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2">
        <f>WEEKNUM(Tabela1[[#This Row],[Prazo
Fundido]])</f>
        <v>26</v>
      </c>
      <c r="L59" s="11">
        <v>46188</v>
      </c>
      <c r="M59" s="16">
        <v>46248</v>
      </c>
      <c r="N59" s="42">
        <f ca="1">Tabela1[[#This Row],[Prazo
Entrega]]-TODAY()</f>
        <v>52</v>
      </c>
      <c r="O59" s="42" t="str">
        <f t="shared" ca="1" si="2"/>
        <v>NO PRAZO</v>
      </c>
      <c r="P59" s="42">
        <f>WEEKNUM(Tabela1[[#This Row],[Prazo
Entrega]],1)</f>
        <v>33</v>
      </c>
      <c r="R59" s="10" t="s">
        <v>43</v>
      </c>
      <c r="S59" s="43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4">
        <v>29</v>
      </c>
      <c r="AF59" s="44">
        <f>Tabela1[[#This Row],[Plainar
Facear]]+1</f>
        <v>30</v>
      </c>
      <c r="AG59" s="44" t="s">
        <v>28</v>
      </c>
      <c r="AH59" s="44">
        <f>Tabela1[[#This Row],[Serrar2]]+1</f>
        <v>31</v>
      </c>
      <c r="AI59" s="44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2">
        <f>WEEKNUM(Tabela1[[#This Row],[Prazo
Fundido]])</f>
        <v>25</v>
      </c>
      <c r="M60" s="16">
        <v>46234</v>
      </c>
      <c r="N60" s="42">
        <f ca="1">Tabela1[[#This Row],[Prazo
Entrega]]-TODAY()</f>
        <v>38</v>
      </c>
      <c r="O60" s="42" t="str">
        <f t="shared" ca="1" si="2"/>
        <v>NO PRAZO</v>
      </c>
      <c r="P60" s="42">
        <f>WEEKNUM(Tabela1[[#This Row],[Prazo
Entrega]],1)</f>
        <v>31</v>
      </c>
      <c r="R60" s="10" t="s">
        <v>43</v>
      </c>
      <c r="S60" s="43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4">
        <v>30</v>
      </c>
      <c r="AF60" s="44" t="s">
        <v>28</v>
      </c>
      <c r="AG60" s="44" t="s">
        <v>28</v>
      </c>
      <c r="AH60" s="44" t="s">
        <v>28</v>
      </c>
      <c r="AI60" s="44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2">
        <f>WEEKNUM(Tabela1[[#This Row],[Prazo
Fundido]])</f>
        <v>25</v>
      </c>
      <c r="M61" s="16">
        <v>46234</v>
      </c>
      <c r="N61" s="42">
        <f ca="1">Tabela1[[#This Row],[Prazo
Entrega]]-TODAY()</f>
        <v>38</v>
      </c>
      <c r="O61" s="42" t="str">
        <f t="shared" ca="1" si="2"/>
        <v>NO PRAZO</v>
      </c>
      <c r="P61" s="42">
        <f>WEEKNUM(Tabela1[[#This Row],[Prazo
Entrega]],1)</f>
        <v>31</v>
      </c>
      <c r="R61" s="10" t="s">
        <v>43</v>
      </c>
      <c r="S61" s="43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4">
        <v>30</v>
      </c>
      <c r="AF61" s="44" t="s">
        <v>28</v>
      </c>
      <c r="AG61" s="44" t="s">
        <v>28</v>
      </c>
      <c r="AH61" s="44" t="s">
        <v>28</v>
      </c>
      <c r="AI61" s="44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2">
        <f>WEEKNUM(Tabela1[[#This Row],[Prazo
Fundido]])</f>
        <v>25</v>
      </c>
      <c r="M62" s="16">
        <v>46234</v>
      </c>
      <c r="N62" s="42">
        <f ca="1">Tabela1[[#This Row],[Prazo
Entrega]]-TODAY()</f>
        <v>38</v>
      </c>
      <c r="O62" s="42" t="str">
        <f t="shared" ca="1" si="2"/>
        <v>NO PRAZO</v>
      </c>
      <c r="P62" s="42">
        <f>WEEKNUM(Tabela1[[#This Row],[Prazo
Entrega]],1)</f>
        <v>31</v>
      </c>
      <c r="R62" s="10" t="s">
        <v>43</v>
      </c>
      <c r="S62" s="43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FUNDIDO</v>
      </c>
      <c r="AE62" s="44">
        <v>30</v>
      </c>
      <c r="AF62" s="44" t="s">
        <v>28</v>
      </c>
      <c r="AG62" s="44" t="s">
        <v>28</v>
      </c>
      <c r="AH62" s="44" t="s">
        <v>28</v>
      </c>
      <c r="AI62" s="44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2">
        <f>WEEKNUM(Tabela1[[#This Row],[Prazo
Fundido]])</f>
        <v>25</v>
      </c>
      <c r="M63" s="16">
        <v>46234</v>
      </c>
      <c r="N63" s="42">
        <f ca="1">Tabela1[[#This Row],[Prazo
Entrega]]-TODAY()</f>
        <v>38</v>
      </c>
      <c r="O63" s="42" t="str">
        <f t="shared" ca="1" si="2"/>
        <v>NO PRAZO</v>
      </c>
      <c r="P63" s="42">
        <f>WEEKNUM(Tabela1[[#This Row],[Prazo
Entrega]],1)</f>
        <v>31</v>
      </c>
      <c r="R63" s="10" t="s">
        <v>43</v>
      </c>
      <c r="S63" s="43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FUNDIDO</v>
      </c>
      <c r="AE63" s="44">
        <v>30</v>
      </c>
      <c r="AF63" s="44" t="s">
        <v>28</v>
      </c>
      <c r="AG63" s="44" t="s">
        <v>28</v>
      </c>
      <c r="AH63" s="44" t="s">
        <v>28</v>
      </c>
      <c r="AI63" s="44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2">
        <f>WEEKNUM(Tabela1[[#This Row],[Prazo
Fundido]])</f>
        <v>25</v>
      </c>
      <c r="M64" s="16">
        <v>46234</v>
      </c>
      <c r="N64" s="42">
        <f ca="1">Tabela1[[#This Row],[Prazo
Entrega]]-TODAY()</f>
        <v>38</v>
      </c>
      <c r="O64" s="42" t="str">
        <f t="shared" ca="1" si="2"/>
        <v>NO PRAZO</v>
      </c>
      <c r="P64" s="42">
        <f>WEEKNUM(Tabela1[[#This Row],[Prazo
Entrega]],1)</f>
        <v>31</v>
      </c>
      <c r="R64" s="10" t="s">
        <v>43</v>
      </c>
      <c r="S64" s="43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FUNDIDO</v>
      </c>
      <c r="AE64" s="44">
        <v>30</v>
      </c>
      <c r="AF64" s="44" t="s">
        <v>28</v>
      </c>
      <c r="AG64" s="44" t="s">
        <v>28</v>
      </c>
      <c r="AH64" s="44" t="s">
        <v>28</v>
      </c>
      <c r="AI64" s="44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2">
        <f>WEEKNUM(Tabela1[[#This Row],[Prazo
Fundido]])</f>
        <v>25</v>
      </c>
      <c r="M65" s="16">
        <v>46234</v>
      </c>
      <c r="N65" s="42">
        <f ca="1">Tabela1[[#This Row],[Prazo
Entrega]]-TODAY()</f>
        <v>38</v>
      </c>
      <c r="O65" s="42" t="str">
        <f t="shared" ca="1" si="2"/>
        <v>NO PRAZO</v>
      </c>
      <c r="P65" s="42">
        <f>WEEKNUM(Tabela1[[#This Row],[Prazo
Entrega]],1)</f>
        <v>31</v>
      </c>
      <c r="R65" s="10" t="s">
        <v>43</v>
      </c>
      <c r="S65" s="43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4">
        <v>30</v>
      </c>
      <c r="AF65" s="44" t="s">
        <v>28</v>
      </c>
      <c r="AG65" s="44" t="s">
        <v>28</v>
      </c>
      <c r="AH65" s="44" t="s">
        <v>28</v>
      </c>
      <c r="AI65" s="44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2">
        <f>WEEKNUM(Tabela1[[#This Row],[Prazo
Fundido]])</f>
        <v>25</v>
      </c>
      <c r="M66" s="16">
        <v>46234</v>
      </c>
      <c r="N66" s="42">
        <f ca="1">Tabela1[[#This Row],[Prazo
Entrega]]-TODAY()</f>
        <v>38</v>
      </c>
      <c r="O66" s="42" t="str">
        <f t="shared" ref="O66:O89" ca="1" si="4">IF(N66&lt;0,"ATRASADO",IF(N66&lt;=15,"ATENÇÃO","NO PRAZO"))</f>
        <v>NO PRAZO</v>
      </c>
      <c r="P66" s="42">
        <f>WEEKNUM(Tabela1[[#This Row],[Prazo
Entrega]],1)</f>
        <v>31</v>
      </c>
      <c r="R66" s="10" t="s">
        <v>43</v>
      </c>
      <c r="S66" s="43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FUNDIDO</v>
      </c>
      <c r="AE66" s="44">
        <v>30</v>
      </c>
      <c r="AF66" s="44" t="s">
        <v>28</v>
      </c>
      <c r="AG66" s="44" t="s">
        <v>28</v>
      </c>
      <c r="AH66" s="44" t="s">
        <v>28</v>
      </c>
      <c r="AI66" s="44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2">
        <f>WEEKNUM(Tabela1[[#This Row],[Prazo
Fundido]])</f>
        <v>26</v>
      </c>
      <c r="M67" s="16">
        <v>46248</v>
      </c>
      <c r="N67" s="42">
        <f ca="1">Tabela1[[#This Row],[Prazo
Entrega]]-TODAY()</f>
        <v>52</v>
      </c>
      <c r="O67" s="42" t="str">
        <f t="shared" ca="1" si="4"/>
        <v>NO PRAZO</v>
      </c>
      <c r="P67" s="42">
        <f>WEEKNUM(Tabela1[[#This Row],[Prazo
Entrega]],1)</f>
        <v>33</v>
      </c>
      <c r="R67" s="10" t="s">
        <v>43</v>
      </c>
      <c r="S67" s="43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4">
        <v>30</v>
      </c>
      <c r="AF67" s="44">
        <f>Tabela1[[#This Row],[Plainar
Facear]]+1</f>
        <v>31</v>
      </c>
      <c r="AG67" s="44" t="s">
        <v>28</v>
      </c>
      <c r="AH67" s="44">
        <f>Tabela1[[#This Row],[Serrar2]]+1</f>
        <v>32</v>
      </c>
      <c r="AI67" s="44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2">
        <f>WEEKNUM(Tabela1[[#This Row],[Prazo
Fundido]])</f>
        <v>26</v>
      </c>
      <c r="L68" s="11">
        <v>46189</v>
      </c>
      <c r="M68" s="16">
        <v>46248</v>
      </c>
      <c r="N68" s="42">
        <f ca="1">Tabela1[[#This Row],[Prazo
Entrega]]-TODAY()</f>
        <v>52</v>
      </c>
      <c r="O68" s="42" t="str">
        <f t="shared" ca="1" si="4"/>
        <v>NO PRAZO</v>
      </c>
      <c r="P68" s="42">
        <f>WEEKNUM(Tabela1[[#This Row],[Prazo
Entrega]],1)</f>
        <v>33</v>
      </c>
      <c r="R68" s="10" t="s">
        <v>43</v>
      </c>
      <c r="S68" s="43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4">
        <v>30</v>
      </c>
      <c r="AF68" s="44">
        <f>Tabela1[[#This Row],[Plainar
Facear]]+1</f>
        <v>31</v>
      </c>
      <c r="AG68" s="44" t="s">
        <v>28</v>
      </c>
      <c r="AH68" s="44">
        <f>Tabela1[[#This Row],[Serrar2]]+1</f>
        <v>32</v>
      </c>
      <c r="AI68" s="44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2">
        <f>WEEKNUM(Tabela1[[#This Row],[Prazo
Fundido]])</f>
        <v>28</v>
      </c>
      <c r="M69" s="16">
        <v>46255</v>
      </c>
      <c r="N69" s="42">
        <f ca="1">Tabela1[[#This Row],[Prazo
Entrega]]-TODAY()</f>
        <v>59</v>
      </c>
      <c r="O69" s="42" t="str">
        <f t="shared" ca="1" si="4"/>
        <v>NO PRAZO</v>
      </c>
      <c r="P69" s="42">
        <f>WEEKNUM(Tabela1[[#This Row],[Prazo
Entrega]],1)</f>
        <v>34</v>
      </c>
      <c r="R69" s="10" t="s">
        <v>43</v>
      </c>
      <c r="S69" s="43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4">
        <v>30</v>
      </c>
      <c r="AF69" s="44">
        <f>Tabela1[[#This Row],[Plainar
Facear]]+1</f>
        <v>31</v>
      </c>
      <c r="AG69" s="44" t="s">
        <v>28</v>
      </c>
      <c r="AH69" s="44">
        <f>Tabela1[[#This Row],[Serrar2]]+1</f>
        <v>32</v>
      </c>
      <c r="AI69" s="44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2">
        <f>WEEKNUM(Tabela1[[#This Row],[Prazo
Fundido]])</f>
        <v>28</v>
      </c>
      <c r="M70" s="16">
        <v>46255</v>
      </c>
      <c r="N70" s="42">
        <f ca="1">Tabela1[[#This Row],[Prazo
Entrega]]-TODAY()</f>
        <v>59</v>
      </c>
      <c r="O70" s="42" t="str">
        <f t="shared" ca="1" si="4"/>
        <v>NO PRAZO</v>
      </c>
      <c r="P70" s="42">
        <f>WEEKNUM(Tabela1[[#This Row],[Prazo
Entrega]],1)</f>
        <v>34</v>
      </c>
      <c r="R70" s="10" t="s">
        <v>43</v>
      </c>
      <c r="S70" s="43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4">
        <v>31</v>
      </c>
      <c r="AF70" s="44">
        <f>Tabela1[[#This Row],[Plainar
Facear]]+1</f>
        <v>32</v>
      </c>
      <c r="AG70" s="44" t="s">
        <v>28</v>
      </c>
      <c r="AH70" s="44">
        <f>Tabela1[[#This Row],[Serrar2]]+1</f>
        <v>33</v>
      </c>
      <c r="AI70" s="44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2">
        <f>WEEKNUM(Tabela1[[#This Row],[Prazo
Fundido]])</f>
        <v>28</v>
      </c>
      <c r="M71" s="16">
        <v>46255</v>
      </c>
      <c r="N71" s="42">
        <f ca="1">Tabela1[[#This Row],[Prazo
Entrega]]-TODAY()</f>
        <v>59</v>
      </c>
      <c r="O71" s="42" t="str">
        <f t="shared" ca="1" si="4"/>
        <v>NO PRAZO</v>
      </c>
      <c r="P71" s="42">
        <f>WEEKNUM(Tabela1[[#This Row],[Prazo
Entrega]],1)</f>
        <v>34</v>
      </c>
      <c r="R71" s="10" t="s">
        <v>43</v>
      </c>
      <c r="S71" s="43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4">
        <v>31</v>
      </c>
      <c r="AF71" s="44">
        <f>Tabela1[[#This Row],[Plainar
Facear]]+1</f>
        <v>32</v>
      </c>
      <c r="AG71" s="44" t="s">
        <v>28</v>
      </c>
      <c r="AH71" s="44">
        <f>Tabela1[[#This Row],[Serrar2]]+1</f>
        <v>33</v>
      </c>
      <c r="AI71" s="44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2">
        <f>WEEKNUM(Tabela1[[#This Row],[Prazo
Fundido]])</f>
        <v>28</v>
      </c>
      <c r="M72" s="16">
        <v>46255</v>
      </c>
      <c r="N72" s="42">
        <f ca="1">Tabela1[[#This Row],[Prazo
Entrega]]-TODAY()</f>
        <v>59</v>
      </c>
      <c r="O72" s="42" t="str">
        <f t="shared" ca="1" si="4"/>
        <v>NO PRAZO</v>
      </c>
      <c r="P72" s="42">
        <f>WEEKNUM(Tabela1[[#This Row],[Prazo
Entrega]],1)</f>
        <v>34</v>
      </c>
      <c r="R72" s="10" t="s">
        <v>43</v>
      </c>
      <c r="S72" s="43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4">
        <v>31</v>
      </c>
      <c r="AF72" s="44">
        <f>Tabela1[[#This Row],[Plainar
Facear]]+1</f>
        <v>32</v>
      </c>
      <c r="AG72" s="44" t="s">
        <v>28</v>
      </c>
      <c r="AH72" s="44">
        <f>Tabela1[[#This Row],[Serrar2]]+1</f>
        <v>33</v>
      </c>
      <c r="AI72" s="44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2">
        <f>WEEKNUM(Tabela1[[#This Row],[Prazo
Fundido]])</f>
        <v>28</v>
      </c>
      <c r="M73" s="16">
        <v>46255</v>
      </c>
      <c r="N73" s="42">
        <f ca="1">Tabela1[[#This Row],[Prazo
Entrega]]-TODAY()</f>
        <v>59</v>
      </c>
      <c r="O73" s="42" t="str">
        <f t="shared" ca="1" si="4"/>
        <v>NO PRAZO</v>
      </c>
      <c r="P73" s="42">
        <f>WEEKNUM(Tabela1[[#This Row],[Prazo
Entrega]],1)</f>
        <v>34</v>
      </c>
      <c r="R73" s="10" t="s">
        <v>43</v>
      </c>
      <c r="S73" s="43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4">
        <v>31</v>
      </c>
      <c r="AF73" s="44">
        <f>Tabela1[[#This Row],[Plainar
Facear]]+1</f>
        <v>32</v>
      </c>
      <c r="AG73" s="44" t="s">
        <v>28</v>
      </c>
      <c r="AH73" s="44">
        <f>Tabela1[[#This Row],[Serrar2]]+1</f>
        <v>33</v>
      </c>
      <c r="AI73" s="44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2">
        <f>WEEKNUM(Tabela1[[#This Row],[Prazo
Fundido]])</f>
        <v>28</v>
      </c>
      <c r="M74" s="16">
        <v>46255</v>
      </c>
      <c r="N74" s="42">
        <f ca="1">Tabela1[[#This Row],[Prazo
Entrega]]-TODAY()</f>
        <v>59</v>
      </c>
      <c r="O74" s="42" t="str">
        <f t="shared" ca="1" si="4"/>
        <v>NO PRAZO</v>
      </c>
      <c r="P74" s="42">
        <f>WEEKNUM(Tabela1[[#This Row],[Prazo
Entrega]],1)</f>
        <v>34</v>
      </c>
      <c r="R74" s="10" t="s">
        <v>43</v>
      </c>
      <c r="S74" s="43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4">
        <v>31</v>
      </c>
      <c r="AF74" s="44">
        <f>Tabela1[[#This Row],[Plainar
Facear]]+1</f>
        <v>32</v>
      </c>
      <c r="AG74" s="44" t="s">
        <v>28</v>
      </c>
      <c r="AH74" s="44">
        <f>Tabela1[[#This Row],[Serrar2]]+1</f>
        <v>33</v>
      </c>
      <c r="AI74" s="44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2">
        <f>WEEKNUM(Tabela1[[#This Row],[Prazo
Fundido]])</f>
        <v>31</v>
      </c>
      <c r="M75" s="16">
        <v>46259</v>
      </c>
      <c r="N75" s="42">
        <f ca="1">Tabela1[[#This Row],[Prazo
Entrega]]-TODAY()</f>
        <v>63</v>
      </c>
      <c r="O75" s="42" t="str">
        <f t="shared" ca="1" si="4"/>
        <v>NO PRAZO</v>
      </c>
      <c r="P75" s="42">
        <f>WEEKNUM(Tabela1[[#This Row],[Prazo
Entrega]],1)</f>
        <v>35</v>
      </c>
      <c r="R75" s="10" t="s">
        <v>43</v>
      </c>
      <c r="S75" s="43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4">
        <v>31</v>
      </c>
      <c r="AF75" s="44">
        <f>Tabela1[[#This Row],[Plainar
Facear]]+1</f>
        <v>32</v>
      </c>
      <c r="AG75" s="44" t="s">
        <v>28</v>
      </c>
      <c r="AH75" s="44">
        <f>Tabela1[[#This Row],[Serrar2]]+1</f>
        <v>33</v>
      </c>
      <c r="AI75" s="44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2">
        <f>WEEKNUM(Tabela1[[#This Row],[Prazo
Fundido]])</f>
        <v>31</v>
      </c>
      <c r="M76" s="16">
        <v>46259</v>
      </c>
      <c r="N76" s="42">
        <f ca="1">Tabela1[[#This Row],[Prazo
Entrega]]-TODAY()</f>
        <v>63</v>
      </c>
      <c r="O76" s="42" t="str">
        <f t="shared" ca="1" si="4"/>
        <v>NO PRAZO</v>
      </c>
      <c r="P76" s="42">
        <f>WEEKNUM(Tabela1[[#This Row],[Prazo
Entrega]],1)</f>
        <v>35</v>
      </c>
      <c r="R76" s="10" t="s">
        <v>43</v>
      </c>
      <c r="S76" s="43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4">
        <v>31</v>
      </c>
      <c r="AF76" s="44">
        <f>Tabela1[[#This Row],[Plainar
Facear]]+1</f>
        <v>32</v>
      </c>
      <c r="AG76" s="44" t="s">
        <v>28</v>
      </c>
      <c r="AH76" s="44">
        <f>Tabela1[[#This Row],[Serrar2]]+1</f>
        <v>33</v>
      </c>
      <c r="AI76" s="44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2">
        <f>WEEKNUM(Tabela1[[#This Row],[Prazo
Fundido]])</f>
        <v>31</v>
      </c>
      <c r="M77" s="16">
        <v>46259</v>
      </c>
      <c r="N77" s="42">
        <f ca="1">Tabela1[[#This Row],[Prazo
Entrega]]-TODAY()</f>
        <v>63</v>
      </c>
      <c r="O77" s="42" t="str">
        <f t="shared" ca="1" si="4"/>
        <v>NO PRAZO</v>
      </c>
      <c r="P77" s="42">
        <f>WEEKNUM(Tabela1[[#This Row],[Prazo
Entrega]],1)</f>
        <v>35</v>
      </c>
      <c r="R77" s="10" t="s">
        <v>43</v>
      </c>
      <c r="S77" s="43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4">
        <v>31</v>
      </c>
      <c r="AF77" s="44">
        <f>Tabela1[[#This Row],[Plainar
Facear]]+1</f>
        <v>32</v>
      </c>
      <c r="AG77" s="44" t="s">
        <v>28</v>
      </c>
      <c r="AH77" s="44">
        <f>Tabela1[[#This Row],[Serrar2]]+1</f>
        <v>33</v>
      </c>
      <c r="AI77" s="44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2">
        <f>WEEKNUM(Tabela1[[#This Row],[Prazo
Fundido]])</f>
        <v>31</v>
      </c>
      <c r="M78" s="16">
        <v>46235</v>
      </c>
      <c r="N78" s="42">
        <f ca="1">Tabela1[[#This Row],[Prazo
Entrega]]-TODAY()</f>
        <v>39</v>
      </c>
      <c r="O78" s="42" t="str">
        <f t="shared" ca="1" si="4"/>
        <v>NO PRAZO</v>
      </c>
      <c r="P78" s="42">
        <f>WEEKNUM(Tabela1[[#This Row],[Prazo
Entrega]],1)</f>
        <v>31</v>
      </c>
      <c r="R78" s="10" t="s">
        <v>45</v>
      </c>
      <c r="S78" s="43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5">
        <v>0</v>
      </c>
      <c r="AF78" s="46">
        <v>0</v>
      </c>
      <c r="AG78" s="46">
        <v>0</v>
      </c>
      <c r="AH78" s="46">
        <v>0</v>
      </c>
      <c r="AI78" s="47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2">
        <f>WEEKNUM(Tabela1[[#This Row],[Prazo
Fundido]])</f>
        <v>40</v>
      </c>
      <c r="M79" s="16">
        <v>46295</v>
      </c>
      <c r="N79" s="42">
        <f ca="1">Tabela1[[#This Row],[Prazo
Entrega]]-TODAY()</f>
        <v>99</v>
      </c>
      <c r="O79" s="42" t="str">
        <f t="shared" ca="1" si="4"/>
        <v>NO PRAZO</v>
      </c>
      <c r="P79" s="42">
        <f>WEEKNUM(Tabela1[[#This Row],[Prazo
Entrega]],1)</f>
        <v>40</v>
      </c>
      <c r="R79" s="10" t="s">
        <v>45</v>
      </c>
      <c r="S79" s="43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5">
        <v>0</v>
      </c>
      <c r="AF79" s="46">
        <v>0</v>
      </c>
      <c r="AG79" s="46">
        <v>0</v>
      </c>
      <c r="AH79" s="46">
        <v>0</v>
      </c>
      <c r="AI79" s="47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2">
        <f>WEEKNUM(Tabela1[[#This Row],[Prazo
Fundido]])</f>
        <v>31</v>
      </c>
      <c r="M80" s="16">
        <v>46235</v>
      </c>
      <c r="N80" s="42">
        <f ca="1">Tabela1[[#This Row],[Prazo
Entrega]]-TODAY()</f>
        <v>39</v>
      </c>
      <c r="O80" s="42" t="str">
        <f t="shared" ca="1" si="4"/>
        <v>NO PRAZO</v>
      </c>
      <c r="P80" s="42">
        <f>WEEKNUM(Tabela1[[#This Row],[Prazo
Entrega]],1)</f>
        <v>31</v>
      </c>
      <c r="R80" s="10" t="s">
        <v>45</v>
      </c>
      <c r="S80" s="43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5">
        <v>0</v>
      </c>
      <c r="AF80" s="46">
        <v>0</v>
      </c>
      <c r="AG80" s="46">
        <v>0</v>
      </c>
      <c r="AH80" s="46">
        <v>0</v>
      </c>
      <c r="AI80" s="47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2">
        <f>WEEKNUM(Tabela1[[#This Row],[Prazo
Fundido]])</f>
        <v>36</v>
      </c>
      <c r="M81" s="16">
        <v>46266</v>
      </c>
      <c r="N81" s="42">
        <f ca="1">Tabela1[[#This Row],[Prazo
Entrega]]-TODAY()</f>
        <v>70</v>
      </c>
      <c r="O81" s="42" t="str">
        <f t="shared" ca="1" si="4"/>
        <v>NO PRAZO</v>
      </c>
      <c r="P81" s="42">
        <f>WEEKNUM(Tabela1[[#This Row],[Prazo
Entrega]],1)</f>
        <v>36</v>
      </c>
      <c r="R81" s="10" t="s">
        <v>45</v>
      </c>
      <c r="S81" s="43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5">
        <v>0</v>
      </c>
      <c r="AF81" s="46">
        <v>0</v>
      </c>
      <c r="AG81" s="46">
        <v>0</v>
      </c>
      <c r="AH81" s="46">
        <v>0</v>
      </c>
      <c r="AI81" s="47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2">
        <f>WEEKNUM(Tabela1[[#This Row],[Prazo
Fundido]])</f>
        <v>36</v>
      </c>
      <c r="M82" s="16">
        <v>46266</v>
      </c>
      <c r="N82" s="42">
        <f ca="1">Tabela1[[#This Row],[Prazo
Entrega]]-TODAY()</f>
        <v>70</v>
      </c>
      <c r="O82" s="42" t="str">
        <f t="shared" ca="1" si="4"/>
        <v>NO PRAZO</v>
      </c>
      <c r="P82" s="42">
        <f>WEEKNUM(Tabela1[[#This Row],[Prazo
Entrega]],1)</f>
        <v>36</v>
      </c>
      <c r="R82" s="10" t="s">
        <v>45</v>
      </c>
      <c r="S82" s="43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5">
        <v>0</v>
      </c>
      <c r="AF82" s="46">
        <v>0</v>
      </c>
      <c r="AG82" s="46">
        <v>0</v>
      </c>
      <c r="AH82" s="46">
        <v>0</v>
      </c>
      <c r="AI82" s="47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2">
        <f>WEEKNUM(Tabela1[[#This Row],[Prazo
Fundido]])</f>
        <v>40</v>
      </c>
      <c r="M83" s="16">
        <v>46295</v>
      </c>
      <c r="N83" s="42">
        <f ca="1">Tabela1[[#This Row],[Prazo
Entrega]]-TODAY()</f>
        <v>99</v>
      </c>
      <c r="O83" s="42" t="str">
        <f t="shared" ca="1" si="4"/>
        <v>NO PRAZO</v>
      </c>
      <c r="P83" s="42">
        <f>WEEKNUM(Tabela1[[#This Row],[Prazo
Entrega]],1)</f>
        <v>40</v>
      </c>
      <c r="R83" s="10" t="s">
        <v>45</v>
      </c>
      <c r="S83" s="43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5">
        <v>0</v>
      </c>
      <c r="AF83" s="46">
        <v>0</v>
      </c>
      <c r="AG83" s="46">
        <v>0</v>
      </c>
      <c r="AH83" s="46">
        <v>0</v>
      </c>
      <c r="AI83" s="47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2">
        <f>WEEKNUM(Tabela1[[#This Row],[Prazo
Fundido]])</f>
        <v>30</v>
      </c>
      <c r="M84" s="16">
        <v>46310</v>
      </c>
      <c r="N84" s="42">
        <f ca="1">Tabela1[[#This Row],[Prazo
Entrega]]-TODAY()</f>
        <v>114</v>
      </c>
      <c r="O84" s="42" t="str">
        <f t="shared" ca="1" si="4"/>
        <v>NO PRAZO</v>
      </c>
      <c r="P84" s="42">
        <f>WEEKNUM(Tabela1[[#This Row],[Prazo
Entrega]],1)</f>
        <v>42</v>
      </c>
      <c r="R84" s="10" t="s">
        <v>43</v>
      </c>
      <c r="S84" s="43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4">
        <v>32</v>
      </c>
      <c r="AF84" s="44">
        <f>Tabela1[[#This Row],[Plainar
Facear]]+1</f>
        <v>33</v>
      </c>
      <c r="AG84" s="44">
        <f>Tabela1[[#This Row],[Serrar2]]+1</f>
        <v>34</v>
      </c>
      <c r="AH84" s="44">
        <f>Tabela1[[#This Row],[Solda
Dura2]]+1</f>
        <v>35</v>
      </c>
      <c r="AI84" s="44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2">
        <f>WEEKNUM(Tabela1[[#This Row],[Prazo
Fundido]])</f>
        <v>30</v>
      </c>
      <c r="M85" s="16">
        <v>46310</v>
      </c>
      <c r="N85" s="42">
        <f ca="1">Tabela1[[#This Row],[Prazo
Entrega]]-TODAY()</f>
        <v>114</v>
      </c>
      <c r="O85" s="42" t="str">
        <f t="shared" ca="1" si="4"/>
        <v>NO PRAZO</v>
      </c>
      <c r="P85" s="42">
        <f>WEEKNUM(Tabela1[[#This Row],[Prazo
Entrega]],1)</f>
        <v>42</v>
      </c>
      <c r="R85" s="10" t="s">
        <v>43</v>
      </c>
      <c r="S85" s="43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4">
        <v>32</v>
      </c>
      <c r="AF85" s="44">
        <f>Tabela1[[#This Row],[Plainar
Facear]]+1</f>
        <v>33</v>
      </c>
      <c r="AG85" s="44">
        <f>Tabela1[[#This Row],[Serrar2]]+1</f>
        <v>34</v>
      </c>
      <c r="AH85" s="44">
        <f>Tabela1[[#This Row],[Solda
Dura2]]+1</f>
        <v>35</v>
      </c>
      <c r="AI85" s="44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2">
        <f>WEEKNUM(Tabela1[[#This Row],[Prazo
Fundido]])</f>
        <v>30</v>
      </c>
      <c r="M86" s="16">
        <v>46310</v>
      </c>
      <c r="N86" s="42">
        <f ca="1">Tabela1[[#This Row],[Prazo
Entrega]]-TODAY()</f>
        <v>114</v>
      </c>
      <c r="O86" s="42" t="str">
        <f t="shared" ca="1" si="4"/>
        <v>NO PRAZO</v>
      </c>
      <c r="P86" s="42">
        <f>WEEKNUM(Tabela1[[#This Row],[Prazo
Entrega]],1)</f>
        <v>42</v>
      </c>
      <c r="R86" s="10" t="s">
        <v>43</v>
      </c>
      <c r="S86" s="43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4">
        <v>32</v>
      </c>
      <c r="AF86" s="44">
        <f>Tabela1[[#This Row],[Plainar
Facear]]+1</f>
        <v>33</v>
      </c>
      <c r="AG86" s="44">
        <f>Tabela1[[#This Row],[Serrar2]]+1</f>
        <v>34</v>
      </c>
      <c r="AH86" s="44">
        <f>Tabela1[[#This Row],[Solda
Dura2]]+1</f>
        <v>35</v>
      </c>
      <c r="AI86" s="44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2">
        <f>WEEKNUM(Tabela1[[#This Row],[Prazo
Fundido]])</f>
        <v>30</v>
      </c>
      <c r="M87" s="16">
        <v>46310</v>
      </c>
      <c r="N87" s="42">
        <f ca="1">Tabela1[[#This Row],[Prazo
Entrega]]-TODAY()</f>
        <v>114</v>
      </c>
      <c r="O87" s="42" t="str">
        <f t="shared" ca="1" si="4"/>
        <v>NO PRAZO</v>
      </c>
      <c r="P87" s="42">
        <f>WEEKNUM(Tabela1[[#This Row],[Prazo
Entrega]],1)</f>
        <v>42</v>
      </c>
      <c r="R87" s="10" t="s">
        <v>43</v>
      </c>
      <c r="S87" s="43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4">
        <v>32</v>
      </c>
      <c r="AF87" s="44">
        <f>Tabela1[[#This Row],[Plainar
Facear]]+1</f>
        <v>33</v>
      </c>
      <c r="AG87" s="44">
        <f>Tabela1[[#This Row],[Serrar2]]+1</f>
        <v>34</v>
      </c>
      <c r="AH87" s="44">
        <f>Tabela1[[#This Row],[Solda
Dura2]]+1</f>
        <v>35</v>
      </c>
      <c r="AI87" s="44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2">
        <f>WEEKNUM(Tabela1[[#This Row],[Prazo
Fundido]])</f>
        <v>30</v>
      </c>
      <c r="M88" s="16">
        <v>46310</v>
      </c>
      <c r="N88" s="42">
        <f ca="1">Tabela1[[#This Row],[Prazo
Entrega]]-TODAY()</f>
        <v>114</v>
      </c>
      <c r="O88" s="42" t="str">
        <f t="shared" ca="1" si="4"/>
        <v>NO PRAZO</v>
      </c>
      <c r="P88" s="42">
        <f>WEEKNUM(Tabela1[[#This Row],[Prazo
Entrega]],1)</f>
        <v>42</v>
      </c>
      <c r="R88" s="10" t="s">
        <v>43</v>
      </c>
      <c r="S88" s="43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4">
        <v>32</v>
      </c>
      <c r="AF88" s="44">
        <f>Tabela1[[#This Row],[Plainar
Facear]]+1</f>
        <v>33</v>
      </c>
      <c r="AG88" s="44">
        <f>Tabela1[[#This Row],[Serrar2]]+1</f>
        <v>34</v>
      </c>
      <c r="AH88" s="44">
        <f>Tabela1[[#This Row],[Solda
Dura2]]+1</f>
        <v>35</v>
      </c>
      <c r="AI88" s="44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2">
        <f>WEEKNUM(Tabela1[[#This Row],[Prazo
Fundido]])</f>
        <v>30</v>
      </c>
      <c r="M89" s="16">
        <v>46310</v>
      </c>
      <c r="N89" s="42">
        <f ca="1">Tabela1[[#This Row],[Prazo
Entrega]]-TODAY()</f>
        <v>114</v>
      </c>
      <c r="O89" s="42" t="str">
        <f t="shared" ca="1" si="4"/>
        <v>NO PRAZO</v>
      </c>
      <c r="P89" s="42">
        <f>WEEKNUM(Tabela1[[#This Row],[Prazo
Entrega]],1)</f>
        <v>42</v>
      </c>
      <c r="R89" s="10" t="s">
        <v>43</v>
      </c>
      <c r="S89" s="43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4">
        <v>32</v>
      </c>
      <c r="AF89" s="44">
        <f>Tabela1[[#This Row],[Plainar
Facear]]+1</f>
        <v>33</v>
      </c>
      <c r="AG89" s="44">
        <f>Tabela1[[#This Row],[Serrar2]]+1</f>
        <v>34</v>
      </c>
      <c r="AH89" s="44">
        <f>Tabela1[[#This Row],[Solda
Dura2]]+1</f>
        <v>35</v>
      </c>
      <c r="AI89" s="44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2">
        <f>WEEKNUM(Tabela1[[#This Row],[Prazo
Fundido]])</f>
        <v>34</v>
      </c>
      <c r="M90" s="16">
        <v>46281</v>
      </c>
      <c r="N90" s="42">
        <f ca="1">Tabela1[[#This Row],[Prazo
Entrega]]-TODAY()</f>
        <v>85</v>
      </c>
      <c r="O90" s="42" t="str">
        <f t="shared" ref="O90:O94" ca="1" si="6">IF(N90&lt;0,"ATRASADO",IF(N90&lt;=15,"ATENÇÃO","NO PRAZO"))</f>
        <v>NO PRAZO</v>
      </c>
      <c r="P90" s="42">
        <f>WEEKNUM(Tabela1[[#This Row],[Prazo
Entrega]],1)</f>
        <v>38</v>
      </c>
      <c r="R90" s="10" t="s">
        <v>43</v>
      </c>
      <c r="S90" s="43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5">
        <v>33</v>
      </c>
      <c r="AF90" s="46">
        <v>34</v>
      </c>
      <c r="AG90" s="46">
        <v>35</v>
      </c>
      <c r="AH90" s="46">
        <v>36</v>
      </c>
      <c r="AI90" s="47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2">
        <f>WEEKNUM(Tabela1[[#This Row],[Prazo
Fundido]])</f>
        <v>34</v>
      </c>
      <c r="M91" s="16">
        <v>46281</v>
      </c>
      <c r="N91" s="42">
        <f ca="1">Tabela1[[#This Row],[Prazo
Entrega]]-TODAY()</f>
        <v>85</v>
      </c>
      <c r="O91" s="42" t="str">
        <f t="shared" ca="1" si="6"/>
        <v>NO PRAZO</v>
      </c>
      <c r="P91" s="42">
        <f>WEEKNUM(Tabela1[[#This Row],[Prazo
Entrega]],1)</f>
        <v>38</v>
      </c>
      <c r="R91" s="10" t="s">
        <v>43</v>
      </c>
      <c r="S91" s="43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5">
        <v>33</v>
      </c>
      <c r="AF91" s="46">
        <v>34</v>
      </c>
      <c r="AG91" s="46">
        <v>35</v>
      </c>
      <c r="AH91" s="46">
        <v>36</v>
      </c>
      <c r="AI91" s="47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2">
        <f>WEEKNUM(Tabela1[[#This Row],[Prazo
Fundido]])</f>
        <v>34</v>
      </c>
      <c r="M92" s="16">
        <v>46281</v>
      </c>
      <c r="N92" s="42">
        <f ca="1">Tabela1[[#This Row],[Prazo
Entrega]]-TODAY()</f>
        <v>85</v>
      </c>
      <c r="O92" s="42" t="str">
        <f t="shared" ca="1" si="6"/>
        <v>NO PRAZO</v>
      </c>
      <c r="P92" s="42">
        <f>WEEKNUM(Tabela1[[#This Row],[Prazo
Entrega]],1)</f>
        <v>38</v>
      </c>
      <c r="R92" s="10" t="s">
        <v>43</v>
      </c>
      <c r="S92" s="43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5">
        <v>33</v>
      </c>
      <c r="AF92" s="46">
        <v>34</v>
      </c>
      <c r="AG92" s="46">
        <v>35</v>
      </c>
      <c r="AH92" s="46">
        <v>36</v>
      </c>
      <c r="AI92" s="47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2">
        <f>WEEKNUM(Tabela1[[#This Row],[Prazo
Fundido]])</f>
        <v>34</v>
      </c>
      <c r="M93" s="16">
        <v>46281</v>
      </c>
      <c r="N93" s="42">
        <f ca="1">Tabela1[[#This Row],[Prazo
Entrega]]-TODAY()</f>
        <v>85</v>
      </c>
      <c r="O93" s="42" t="str">
        <f t="shared" ca="1" si="6"/>
        <v>NO PRAZO</v>
      </c>
      <c r="P93" s="42">
        <f>WEEKNUM(Tabela1[[#This Row],[Prazo
Entrega]],1)</f>
        <v>38</v>
      </c>
      <c r="R93" s="10" t="s">
        <v>43</v>
      </c>
      <c r="S93" s="43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5">
        <v>33</v>
      </c>
      <c r="AF93" s="46">
        <v>34</v>
      </c>
      <c r="AG93" s="46">
        <v>35</v>
      </c>
      <c r="AH93" s="46">
        <v>36</v>
      </c>
      <c r="AI93" s="47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2">
        <f>WEEKNUM(Tabela1[[#This Row],[Prazo
Fundido]])</f>
        <v>34</v>
      </c>
      <c r="M94" s="16">
        <v>46281</v>
      </c>
      <c r="N94" s="42">
        <f ca="1">Tabela1[[#This Row],[Prazo
Entrega]]-TODAY()</f>
        <v>85</v>
      </c>
      <c r="O94" s="42" t="str">
        <f t="shared" ca="1" si="6"/>
        <v>NO PRAZO</v>
      </c>
      <c r="P94" s="42">
        <f>WEEKNUM(Tabela1[[#This Row],[Prazo
Entrega]],1)</f>
        <v>38</v>
      </c>
      <c r="R94" s="10" t="s">
        <v>43</v>
      </c>
      <c r="S94" s="43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5">
        <v>33</v>
      </c>
      <c r="AF94" s="46">
        <v>34</v>
      </c>
      <c r="AG94" s="46">
        <v>35</v>
      </c>
      <c r="AH94" s="46">
        <v>36</v>
      </c>
      <c r="AI94" s="47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2">
        <f>WEEKNUM(Tabela1[[#This Row],[Prazo
Fundido]])</f>
        <v>40</v>
      </c>
      <c r="M95" s="16">
        <v>46356</v>
      </c>
      <c r="N95" s="42">
        <f ca="1">Tabela1[[#This Row],[Prazo
Entrega]]-TODAY()</f>
        <v>160</v>
      </c>
      <c r="O95" s="42" t="str">
        <f t="shared" ref="O95:O99" ca="1" si="9">IF(N95&lt;0,"ATRASADO",IF(N95&lt;=15,"ATENÇÃO","NO PRAZO"))</f>
        <v>NO PRAZO</v>
      </c>
      <c r="P95" s="42">
        <f>WEEKNUM(Tabela1[[#This Row],[Prazo
Entrega]],1)</f>
        <v>49</v>
      </c>
      <c r="R95" s="10" t="s">
        <v>43</v>
      </c>
      <c r="S95" s="43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5"/>
      <c r="AF95" s="46"/>
      <c r="AG95" s="46"/>
      <c r="AH95" s="46"/>
      <c r="AI95" s="47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2">
        <f>WEEKNUM(Tabela1[[#This Row],[Prazo
Fundido]])</f>
        <v>40</v>
      </c>
      <c r="M96" s="16">
        <v>46356</v>
      </c>
      <c r="N96" s="42">
        <f ca="1">Tabela1[[#This Row],[Prazo
Entrega]]-TODAY()</f>
        <v>160</v>
      </c>
      <c r="O96" s="42" t="str">
        <f t="shared" ca="1" si="9"/>
        <v>NO PRAZO</v>
      </c>
      <c r="P96" s="42">
        <f>WEEKNUM(Tabela1[[#This Row],[Prazo
Entrega]],1)</f>
        <v>49</v>
      </c>
      <c r="R96" s="10" t="s">
        <v>43</v>
      </c>
      <c r="S96" s="43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5"/>
      <c r="AF96" s="46"/>
      <c r="AG96" s="46"/>
      <c r="AH96" s="46"/>
      <c r="AI96" s="47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2">
        <f>WEEKNUM(Tabela1[[#This Row],[Prazo
Fundido]])</f>
        <v>40</v>
      </c>
      <c r="M97" s="16">
        <v>46356</v>
      </c>
      <c r="N97" s="42">
        <f ca="1">Tabela1[[#This Row],[Prazo
Entrega]]-TODAY()</f>
        <v>160</v>
      </c>
      <c r="O97" s="42" t="str">
        <f t="shared" ca="1" si="9"/>
        <v>NO PRAZO</v>
      </c>
      <c r="P97" s="42">
        <f>WEEKNUM(Tabela1[[#This Row],[Prazo
Entrega]],1)</f>
        <v>49</v>
      </c>
      <c r="R97" s="10" t="s">
        <v>43</v>
      </c>
      <c r="S97" s="43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5"/>
      <c r="AF97" s="46"/>
      <c r="AG97" s="46"/>
      <c r="AH97" s="46"/>
      <c r="AI97" s="47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2">
        <f>WEEKNUM(Tabela1[[#This Row],[Prazo
Fundido]])</f>
        <v>40</v>
      </c>
      <c r="M98" s="16">
        <v>46356</v>
      </c>
      <c r="N98" s="42">
        <f ca="1">Tabela1[[#This Row],[Prazo
Entrega]]-TODAY()</f>
        <v>160</v>
      </c>
      <c r="O98" s="42" t="str">
        <f t="shared" ca="1" si="9"/>
        <v>NO PRAZO</v>
      </c>
      <c r="P98" s="42">
        <f>WEEKNUM(Tabela1[[#This Row],[Prazo
Entrega]],1)</f>
        <v>49</v>
      </c>
      <c r="R98" s="10" t="s">
        <v>43</v>
      </c>
      <c r="S98" s="43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5"/>
      <c r="AF98" s="46"/>
      <c r="AG98" s="46"/>
      <c r="AH98" s="46"/>
      <c r="AI98" s="47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2">
        <f>WEEKNUM(Tabela1[[#This Row],[Prazo
Fundido]])</f>
        <v>40</v>
      </c>
      <c r="M99" s="16">
        <v>46356</v>
      </c>
      <c r="N99" s="42">
        <f ca="1">Tabela1[[#This Row],[Prazo
Entrega]]-TODAY()</f>
        <v>160</v>
      </c>
      <c r="O99" s="42" t="str">
        <f t="shared" ca="1" si="9"/>
        <v>NO PRAZO</v>
      </c>
      <c r="P99" s="42">
        <f>WEEKNUM(Tabela1[[#This Row],[Prazo
Entrega]],1)</f>
        <v>49</v>
      </c>
      <c r="R99" s="10" t="s">
        <v>43</v>
      </c>
      <c r="S99" s="43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5"/>
      <c r="AF99" s="46"/>
      <c r="AG99" s="46"/>
      <c r="AH99" s="46"/>
      <c r="AI99" s="47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184</v>
      </c>
      <c r="F100" s="15" t="s">
        <v>77</v>
      </c>
      <c r="G100" s="15" t="s">
        <v>77</v>
      </c>
      <c r="H100" s="15" t="s">
        <v>191</v>
      </c>
      <c r="I100" s="15">
        <v>1</v>
      </c>
      <c r="J100" s="16">
        <v>46295</v>
      </c>
      <c r="K100" s="42">
        <f>WEEKNUM(Tabela1[[#This Row],[Prazo
Fundido]])</f>
        <v>40</v>
      </c>
      <c r="M100" s="16">
        <v>46356</v>
      </c>
      <c r="N100" s="42">
        <f ca="1">Tabela1[[#This Row],[Prazo
Entrega]]-TODAY()</f>
        <v>160</v>
      </c>
      <c r="O100" s="42" t="str">
        <f ca="1">IF(N100&lt;0,"ATRASADO",IF(N100&lt;=15,"ATENÇÃO","NO PRAZO"))</f>
        <v>NO PRAZO</v>
      </c>
      <c r="P100" s="42">
        <f>WEEKNUM(Tabela1[[#This Row],[Prazo
Entrega]],1)</f>
        <v>49</v>
      </c>
      <c r="R100" s="10" t="s">
        <v>43</v>
      </c>
      <c r="S100" s="43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5"/>
      <c r="AF100" s="46"/>
      <c r="AG100" s="46"/>
      <c r="AH100" s="46"/>
      <c r="AI100" s="47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184</v>
      </c>
      <c r="F101" s="15" t="s">
        <v>77</v>
      </c>
      <c r="G101" s="15" t="s">
        <v>77</v>
      </c>
      <c r="H101" s="15" t="s">
        <v>192</v>
      </c>
      <c r="I101" s="15">
        <v>1</v>
      </c>
      <c r="J101" s="16">
        <v>46295</v>
      </c>
      <c r="K101" s="42">
        <f>WEEKNUM(Tabela1[[#This Row],[Prazo
Fundido]])</f>
        <v>40</v>
      </c>
      <c r="M101" s="16">
        <v>46356</v>
      </c>
      <c r="N101" s="42">
        <f ca="1">Tabela1[[#This Row],[Prazo
Entrega]]-TODAY()</f>
        <v>160</v>
      </c>
      <c r="O101" s="42" t="str">
        <f t="shared" ref="O101:O109" ca="1" si="11">IF(N101&lt;0,"ATRASADO",IF(N101&lt;=15,"ATENÇÃO","NO PRAZO"))</f>
        <v>NO PRAZO</v>
      </c>
      <c r="P101" s="42">
        <f>WEEKNUM(Tabela1[[#This Row],[Prazo
Entrega]],1)</f>
        <v>49</v>
      </c>
      <c r="R101" s="10" t="s">
        <v>43</v>
      </c>
      <c r="S101" s="43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5"/>
      <c r="AF101" s="46"/>
      <c r="AG101" s="46"/>
      <c r="AH101" s="46"/>
      <c r="AI101" s="47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184</v>
      </c>
      <c r="F102" s="15" t="s">
        <v>77</v>
      </c>
      <c r="G102" s="15" t="s">
        <v>77</v>
      </c>
      <c r="H102" s="15" t="s">
        <v>192</v>
      </c>
      <c r="I102" s="15">
        <v>1</v>
      </c>
      <c r="J102" s="16">
        <v>46295</v>
      </c>
      <c r="K102" s="42">
        <f>WEEKNUM(Tabela1[[#This Row],[Prazo
Fundido]])</f>
        <v>40</v>
      </c>
      <c r="M102" s="16">
        <v>46356</v>
      </c>
      <c r="N102" s="42">
        <f ca="1">Tabela1[[#This Row],[Prazo
Entrega]]-TODAY()</f>
        <v>160</v>
      </c>
      <c r="O102" s="42" t="str">
        <f t="shared" ca="1" si="11"/>
        <v>NO PRAZO</v>
      </c>
      <c r="P102" s="42">
        <f>WEEKNUM(Tabela1[[#This Row],[Prazo
Entrega]],1)</f>
        <v>49</v>
      </c>
      <c r="R102" s="10" t="s">
        <v>43</v>
      </c>
      <c r="S102" s="43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5"/>
      <c r="AF102" s="46"/>
      <c r="AG102" s="46"/>
      <c r="AH102" s="46"/>
      <c r="AI102" s="47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184</v>
      </c>
      <c r="F103" s="15" t="s">
        <v>77</v>
      </c>
      <c r="G103" s="15" t="s">
        <v>77</v>
      </c>
      <c r="H103" s="15" t="s">
        <v>192</v>
      </c>
      <c r="I103" s="15">
        <v>1</v>
      </c>
      <c r="J103" s="16">
        <v>46295</v>
      </c>
      <c r="K103" s="42">
        <f>WEEKNUM(Tabela1[[#This Row],[Prazo
Fundido]])</f>
        <v>40</v>
      </c>
      <c r="M103" s="16">
        <v>46356</v>
      </c>
      <c r="N103" s="42">
        <f ca="1">Tabela1[[#This Row],[Prazo
Entrega]]-TODAY()</f>
        <v>160</v>
      </c>
      <c r="O103" s="42" t="str">
        <f t="shared" ca="1" si="11"/>
        <v>NO PRAZO</v>
      </c>
      <c r="P103" s="42">
        <f>WEEKNUM(Tabela1[[#This Row],[Prazo
Entrega]],1)</f>
        <v>49</v>
      </c>
      <c r="R103" s="10" t="s">
        <v>43</v>
      </c>
      <c r="S103" s="43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5"/>
      <c r="AF103" s="46"/>
      <c r="AG103" s="46"/>
      <c r="AH103" s="46"/>
      <c r="AI103" s="47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184</v>
      </c>
      <c r="F104" s="15" t="s">
        <v>77</v>
      </c>
      <c r="G104" s="15" t="s">
        <v>77</v>
      </c>
      <c r="H104" s="15" t="s">
        <v>192</v>
      </c>
      <c r="I104" s="15">
        <v>1</v>
      </c>
      <c r="J104" s="16">
        <v>46295</v>
      </c>
      <c r="K104" s="42">
        <f>WEEKNUM(Tabela1[[#This Row],[Prazo
Fundido]])</f>
        <v>40</v>
      </c>
      <c r="M104" s="16">
        <v>46356</v>
      </c>
      <c r="N104" s="42">
        <f ca="1">Tabela1[[#This Row],[Prazo
Entrega]]-TODAY()</f>
        <v>160</v>
      </c>
      <c r="O104" s="42" t="str">
        <f t="shared" ca="1" si="11"/>
        <v>NO PRAZO</v>
      </c>
      <c r="P104" s="42">
        <f>WEEKNUM(Tabela1[[#This Row],[Prazo
Entrega]],1)</f>
        <v>49</v>
      </c>
      <c r="R104" s="10" t="s">
        <v>43</v>
      </c>
      <c r="S104" s="43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5"/>
      <c r="AF104" s="46"/>
      <c r="AG104" s="46"/>
      <c r="AH104" s="46"/>
      <c r="AI104" s="47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184</v>
      </c>
      <c r="F105" s="15" t="s">
        <v>77</v>
      </c>
      <c r="G105" s="15" t="s">
        <v>77</v>
      </c>
      <c r="H105" s="15" t="s">
        <v>191</v>
      </c>
      <c r="I105" s="15">
        <v>1</v>
      </c>
      <c r="J105" s="16">
        <v>46295</v>
      </c>
      <c r="K105" s="42">
        <f>WEEKNUM(Tabela1[[#This Row],[Prazo
Fundido]])</f>
        <v>40</v>
      </c>
      <c r="M105" s="16">
        <v>46356</v>
      </c>
      <c r="N105" s="42">
        <f ca="1">Tabela1[[#This Row],[Prazo
Entrega]]-TODAY()</f>
        <v>160</v>
      </c>
      <c r="O105" s="42" t="str">
        <f t="shared" ca="1" si="11"/>
        <v>NO PRAZO</v>
      </c>
      <c r="P105" s="42">
        <f>WEEKNUM(Tabela1[[#This Row],[Prazo
Entrega]],1)</f>
        <v>49</v>
      </c>
      <c r="R105" s="10" t="s">
        <v>43</v>
      </c>
      <c r="S105" s="43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5"/>
      <c r="AF105" s="46"/>
      <c r="AG105" s="46"/>
      <c r="AH105" s="46"/>
      <c r="AI105" s="47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184</v>
      </c>
      <c r="F106" s="15" t="s">
        <v>77</v>
      </c>
      <c r="G106" s="15" t="s">
        <v>77</v>
      </c>
      <c r="H106" s="15" t="s">
        <v>192</v>
      </c>
      <c r="I106" s="15">
        <v>1</v>
      </c>
      <c r="J106" s="16">
        <v>46295</v>
      </c>
      <c r="K106" s="42">
        <f>WEEKNUM(Tabela1[[#This Row],[Prazo
Fundido]])</f>
        <v>40</v>
      </c>
      <c r="M106" s="16">
        <v>46356</v>
      </c>
      <c r="N106" s="42">
        <f ca="1">Tabela1[[#This Row],[Prazo
Entrega]]-TODAY()</f>
        <v>160</v>
      </c>
      <c r="O106" s="42" t="str">
        <f t="shared" ca="1" si="11"/>
        <v>NO PRAZO</v>
      </c>
      <c r="P106" s="42">
        <f>WEEKNUM(Tabela1[[#This Row],[Prazo
Entrega]],1)</f>
        <v>49</v>
      </c>
      <c r="R106" s="10" t="s">
        <v>43</v>
      </c>
      <c r="S106" s="43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5"/>
      <c r="AF106" s="46"/>
      <c r="AG106" s="46"/>
      <c r="AH106" s="46"/>
      <c r="AI106" s="47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184</v>
      </c>
      <c r="F107" s="15" t="s">
        <v>77</v>
      </c>
      <c r="G107" s="15" t="s">
        <v>77</v>
      </c>
      <c r="H107" s="15" t="s">
        <v>192</v>
      </c>
      <c r="I107" s="15">
        <v>1</v>
      </c>
      <c r="J107" s="16">
        <v>46295</v>
      </c>
      <c r="K107" s="42">
        <f>WEEKNUM(Tabela1[[#This Row],[Prazo
Fundido]])</f>
        <v>40</v>
      </c>
      <c r="M107" s="16">
        <v>46356</v>
      </c>
      <c r="N107" s="42">
        <f ca="1">Tabela1[[#This Row],[Prazo
Entrega]]-TODAY()</f>
        <v>160</v>
      </c>
      <c r="O107" s="42" t="str">
        <f t="shared" ca="1" si="11"/>
        <v>NO PRAZO</v>
      </c>
      <c r="P107" s="42">
        <f>WEEKNUM(Tabela1[[#This Row],[Prazo
Entrega]],1)</f>
        <v>49</v>
      </c>
      <c r="R107" s="10" t="s">
        <v>43</v>
      </c>
      <c r="S107" s="43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5"/>
      <c r="AF107" s="46"/>
      <c r="AG107" s="46"/>
      <c r="AH107" s="46"/>
      <c r="AI107" s="47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184</v>
      </c>
      <c r="F108" s="15" t="s">
        <v>77</v>
      </c>
      <c r="G108" s="15" t="s">
        <v>77</v>
      </c>
      <c r="H108" s="15" t="s">
        <v>192</v>
      </c>
      <c r="I108" s="15">
        <v>1</v>
      </c>
      <c r="J108" s="16">
        <v>46295</v>
      </c>
      <c r="K108" s="42">
        <f>WEEKNUM(Tabela1[[#This Row],[Prazo
Fundido]])</f>
        <v>40</v>
      </c>
      <c r="M108" s="16">
        <v>46356</v>
      </c>
      <c r="N108" s="42">
        <f ca="1">Tabela1[[#This Row],[Prazo
Entrega]]-TODAY()</f>
        <v>160</v>
      </c>
      <c r="O108" s="42" t="str">
        <f t="shared" ca="1" si="11"/>
        <v>NO PRAZO</v>
      </c>
      <c r="P108" s="42">
        <f>WEEKNUM(Tabela1[[#This Row],[Prazo
Entrega]],1)</f>
        <v>49</v>
      </c>
      <c r="R108" s="10" t="s">
        <v>43</v>
      </c>
      <c r="S108" s="43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5"/>
      <c r="AF108" s="46"/>
      <c r="AG108" s="46"/>
      <c r="AH108" s="46"/>
      <c r="AI108" s="47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184</v>
      </c>
      <c r="F109" s="15" t="s">
        <v>77</v>
      </c>
      <c r="G109" s="15" t="s">
        <v>77</v>
      </c>
      <c r="H109" s="15" t="s">
        <v>192</v>
      </c>
      <c r="I109" s="15">
        <v>1</v>
      </c>
      <c r="J109" s="16">
        <v>46295</v>
      </c>
      <c r="K109" s="42">
        <f>WEEKNUM(Tabela1[[#This Row],[Prazo
Fundido]])</f>
        <v>40</v>
      </c>
      <c r="M109" s="16">
        <v>46356</v>
      </c>
      <c r="N109" s="42">
        <f ca="1">Tabela1[[#This Row],[Prazo
Entrega]]-TODAY()</f>
        <v>160</v>
      </c>
      <c r="O109" s="42" t="str">
        <f t="shared" ca="1" si="11"/>
        <v>NO PRAZO</v>
      </c>
      <c r="P109" s="42">
        <f>WEEKNUM(Tabela1[[#This Row],[Prazo
Entrega]],1)</f>
        <v>49</v>
      </c>
      <c r="R109" s="10" t="s">
        <v>43</v>
      </c>
      <c r="S109" s="43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5"/>
      <c r="AF109" s="46"/>
      <c r="AG109" s="46"/>
      <c r="AH109" s="46"/>
      <c r="AI109" s="47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91"/>
  <sheetViews>
    <sheetView workbookViewId="0">
      <selection activeCell="O3" sqref="O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15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15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15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15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15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15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15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15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15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15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/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15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/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15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/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15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15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15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15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15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15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15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15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15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15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15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15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15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15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15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15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15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15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15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174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174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174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174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174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70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70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70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70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70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70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70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70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70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70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70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70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80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80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80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80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80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80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80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80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80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80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80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80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80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80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80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90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90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90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90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90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90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90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90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90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90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90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90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90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90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90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70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70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70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100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100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100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100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100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100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100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100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100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31" t="s">
        <v>52</v>
      </c>
      <c r="K1" s="31" t="s">
        <v>53</v>
      </c>
      <c r="L1" s="31" t="s">
        <v>54</v>
      </c>
      <c r="M1" s="31" t="s">
        <v>55</v>
      </c>
      <c r="N1" s="31" t="s">
        <v>95</v>
      </c>
      <c r="O1" s="31" t="s">
        <v>65</v>
      </c>
      <c r="P1" s="31" t="s">
        <v>59</v>
      </c>
      <c r="Q1" s="32" t="s">
        <v>109</v>
      </c>
      <c r="R1" s="32" t="s">
        <v>84</v>
      </c>
      <c r="S1" s="32" t="s">
        <v>91</v>
      </c>
      <c r="T1" s="32" t="s">
        <v>92</v>
      </c>
      <c r="U1" s="32" t="s">
        <v>93</v>
      </c>
      <c r="V1" s="32" t="s">
        <v>94</v>
      </c>
      <c r="W1" s="32" t="s">
        <v>88</v>
      </c>
      <c r="X1" s="32" t="s">
        <v>89</v>
      </c>
      <c r="Y1" s="32" t="s">
        <v>60</v>
      </c>
      <c r="Z1" s="31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3"/>
      <c r="L2" s="18">
        <v>46269</v>
      </c>
      <c r="M2" s="33"/>
      <c r="N2" s="13">
        <f ca="1">Tabela13[[#This Row],[Data Prev.
Entrega]]-TODAY()</f>
        <v>73</v>
      </c>
      <c r="O2" s="13" t="str">
        <f t="shared" ref="O2:O16" ca="1" si="0">IF(N2&lt;0,"ATRASADO",IF(N2&lt;=15,"ATENÇÃO","NO PRAZO"))</f>
        <v>NO PRAZO</v>
      </c>
      <c r="P2" t="s">
        <v>43</v>
      </c>
      <c r="Q2" s="34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3"/>
      <c r="N3" s="13">
        <f ca="1">Tabela13[[#This Row],[Data Prev.
Entrega]]-TODAY()</f>
        <v>73</v>
      </c>
      <c r="O3" s="13" t="str">
        <f t="shared" ca="1" si="0"/>
        <v>NO PRAZO</v>
      </c>
      <c r="P3" t="s">
        <v>43</v>
      </c>
      <c r="Q3" s="34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43</v>
      </c>
      <c r="O4" s="13" t="str">
        <f t="shared" ca="1" si="0"/>
        <v>NO PRAZO</v>
      </c>
      <c r="P4" t="s">
        <v>90</v>
      </c>
      <c r="Q4" s="34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43</v>
      </c>
      <c r="O5" s="13" t="str">
        <f t="shared" ca="1" si="0"/>
        <v>NO PRAZO</v>
      </c>
      <c r="P5" t="s">
        <v>90</v>
      </c>
      <c r="Q5" s="34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43</v>
      </c>
      <c r="O6" s="13" t="str">
        <f t="shared" ca="1" si="0"/>
        <v>NO PRAZO</v>
      </c>
      <c r="P6" t="s">
        <v>90</v>
      </c>
      <c r="Q6" s="34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99</v>
      </c>
      <c r="O7" s="13" t="str">
        <f t="shared" ca="1" si="0"/>
        <v>NO PRAZO</v>
      </c>
      <c r="P7" t="s">
        <v>90</v>
      </c>
      <c r="Q7" s="34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43</v>
      </c>
      <c r="O8" s="13" t="str">
        <f t="shared" ca="1" si="0"/>
        <v>NO PRAZO</v>
      </c>
      <c r="P8" t="s">
        <v>90</v>
      </c>
      <c r="Q8" s="34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70</v>
      </c>
      <c r="O9" s="13" t="str">
        <f t="shared" ca="1" si="0"/>
        <v>NO PRAZO</v>
      </c>
      <c r="P9" t="s">
        <v>90</v>
      </c>
      <c r="Q9" s="34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70</v>
      </c>
      <c r="O10" s="13" t="str">
        <f t="shared" ca="1" si="0"/>
        <v>NO PRAZO</v>
      </c>
      <c r="P10" t="s">
        <v>90</v>
      </c>
      <c r="Q10" s="34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70</v>
      </c>
      <c r="O11" s="13" t="str">
        <f t="shared" ca="1" si="0"/>
        <v>NO PRAZO</v>
      </c>
      <c r="P11" t="s">
        <v>90</v>
      </c>
      <c r="Q11" s="34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70</v>
      </c>
      <c r="O12" s="13" t="str">
        <f t="shared" ca="1" si="0"/>
        <v>NO PRAZO</v>
      </c>
      <c r="P12" t="s">
        <v>90</v>
      </c>
      <c r="Q12" s="34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70</v>
      </c>
      <c r="O13" s="13" t="str">
        <f t="shared" ca="1" si="0"/>
        <v>NO PRAZO</v>
      </c>
      <c r="P13" t="s">
        <v>90</v>
      </c>
      <c r="Q13" s="34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99</v>
      </c>
      <c r="O14" s="13" t="str">
        <f t="shared" ca="1" si="0"/>
        <v>NO PRAZO</v>
      </c>
      <c r="P14" t="s">
        <v>90</v>
      </c>
      <c r="Q14" s="34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99</v>
      </c>
      <c r="O15" s="13" t="str">
        <f t="shared" ca="1" si="0"/>
        <v>NO PRAZO</v>
      </c>
      <c r="P15" t="s">
        <v>90</v>
      </c>
      <c r="Q15" s="34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99</v>
      </c>
      <c r="O16" s="13" t="str">
        <f t="shared" ca="1" si="0"/>
        <v>NO PRAZO</v>
      </c>
      <c r="P16" t="s">
        <v>90</v>
      </c>
      <c r="Q16" s="34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3"/>
      <c r="N17" s="13">
        <f ca="1">Tabela13[[#This Row],[Data Prev.
Entrega]]-TODAY()</f>
        <v>84</v>
      </c>
      <c r="O17" s="13" t="str">
        <f ca="1">IF(N17&lt;0,"ATRASADO",IF(N17&lt;=15,"ATENÇÃO","NO PRAZO"))</f>
        <v>NO PRAZO</v>
      </c>
      <c r="P17" t="s">
        <v>43</v>
      </c>
      <c r="Q17" s="34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3"/>
      <c r="N18" s="13">
        <f ca="1">Tabela13[[#This Row],[Data Prev.
Entrega]]-TODAY()</f>
        <v>84</v>
      </c>
      <c r="O18" s="13" t="str">
        <f t="shared" ref="O18:O25" ca="1" si="2">IF(N18&lt;0,"ATRASADO",IF(N18&lt;=15,"ATENÇÃO","NO PRAZO"))</f>
        <v>NO PRAZO</v>
      </c>
      <c r="P18" t="s">
        <v>43</v>
      </c>
      <c r="Q18" s="34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3"/>
      <c r="N19" s="13">
        <f ca="1">Tabela13[[#This Row],[Data Prev.
Entrega]]-TODAY()</f>
        <v>84</v>
      </c>
      <c r="O19" s="13" t="str">
        <f t="shared" ca="1" si="2"/>
        <v>NO PRAZO</v>
      </c>
      <c r="P19" t="s">
        <v>43</v>
      </c>
      <c r="Q19" s="34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3"/>
      <c r="N20" s="13">
        <f ca="1">Tabela13[[#This Row],[Data Prev.
Entrega]]-TODAY()</f>
        <v>84</v>
      </c>
      <c r="O20" s="13" t="str">
        <f t="shared" ca="1" si="2"/>
        <v>NO PRAZO</v>
      </c>
      <c r="P20" t="s">
        <v>43</v>
      </c>
      <c r="Q20" s="34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3"/>
      <c r="N21" s="13">
        <f ca="1">Tabela13[[#This Row],[Data Prev.
Entrega]]-TODAY()</f>
        <v>84</v>
      </c>
      <c r="O21" s="13" t="str">
        <f t="shared" ca="1" si="2"/>
        <v>NO PRAZO</v>
      </c>
      <c r="P21" t="s">
        <v>43</v>
      </c>
      <c r="Q21" s="34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3"/>
      <c r="N22" s="13">
        <f ca="1">Tabela13[[#This Row],[Data Prev.
Entrega]]-TODAY()</f>
        <v>84</v>
      </c>
      <c r="O22" s="13" t="str">
        <f t="shared" ca="1" si="2"/>
        <v>NO PRAZO</v>
      </c>
      <c r="P22" t="s">
        <v>43</v>
      </c>
      <c r="Q22" s="34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3"/>
      <c r="N23" s="13">
        <f ca="1">Tabela13[[#This Row],[Data Prev.
Entrega]]-TODAY()</f>
        <v>84</v>
      </c>
      <c r="O23" s="13" t="str">
        <f t="shared" ca="1" si="2"/>
        <v>NO PRAZO</v>
      </c>
      <c r="P23" t="s">
        <v>43</v>
      </c>
      <c r="Q23" s="34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3"/>
      <c r="N24" s="13">
        <f ca="1">Tabela13[[#This Row],[Data Prev.
Entrega]]-TODAY()</f>
        <v>84</v>
      </c>
      <c r="O24" s="13" t="str">
        <f t="shared" ca="1" si="2"/>
        <v>NO PRAZO</v>
      </c>
      <c r="P24" t="s">
        <v>43</v>
      </c>
      <c r="Q24" s="34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3"/>
      <c r="N25" s="13">
        <f ca="1">Tabela13[[#This Row],[Data Prev.
Entrega]]-TODAY()</f>
        <v>84</v>
      </c>
      <c r="O25" s="13" t="str">
        <f t="shared" ca="1" si="2"/>
        <v>NO PRAZO</v>
      </c>
      <c r="P25" t="s">
        <v>43</v>
      </c>
      <c r="Q25" s="34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3"/>
      <c r="N26" s="13">
        <f ca="1">Tabela13[[#This Row],[Data Prev.
Entrega]]-TODAY()</f>
        <v>178</v>
      </c>
      <c r="O26" s="13" t="str">
        <f ca="1">IF(N26&lt;0,"ATRASADO",IF(N26&lt;=15,"ATENÇÃO","NO PRAZO"))</f>
        <v>NO PRAZO</v>
      </c>
      <c r="P26" t="s">
        <v>43</v>
      </c>
      <c r="Q26" s="34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3"/>
      <c r="N27" s="13">
        <f ca="1">Tabela13[[#This Row],[Data Prev.
Entrega]]-TODAY()</f>
        <v>178</v>
      </c>
      <c r="O27" s="13" t="str">
        <f t="shared" ref="O27:O28" ca="1" si="4">IF(N27&lt;0,"ATRASADO",IF(N27&lt;=15,"ATENÇÃO","NO PRAZO"))</f>
        <v>NO PRAZO</v>
      </c>
      <c r="P27" t="s">
        <v>43</v>
      </c>
      <c r="Q27" s="34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3"/>
      <c r="N28" s="13">
        <f ca="1">Tabela13[[#This Row],[Data Prev.
Entrega]]-TODAY()</f>
        <v>178</v>
      </c>
      <c r="O28" s="13" t="str">
        <f t="shared" ca="1" si="4"/>
        <v>NO PRAZO</v>
      </c>
      <c r="P28" t="s">
        <v>43</v>
      </c>
      <c r="Q28" s="34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3"/>
      <c r="N29" s="13">
        <f ca="1">Tabela13[[#This Row],[Data Prev.
Entrega]]-TODAY()</f>
        <v>90</v>
      </c>
      <c r="O29" s="13" t="str">
        <f t="shared" ref="O29:O31" ca="1" si="5">IF(N29&lt;0,"ATRASADO",IF(N29&lt;=15,"ATENÇÃO","NO PRAZO"))</f>
        <v>NO PRAZO</v>
      </c>
      <c r="P29" t="s">
        <v>43</v>
      </c>
      <c r="Q29" s="34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3"/>
      <c r="N30" s="13">
        <f ca="1">Tabela13[[#This Row],[Data Prev.
Entrega]]-TODAY()</f>
        <v>90</v>
      </c>
      <c r="O30" s="13" t="str">
        <f t="shared" ca="1" si="5"/>
        <v>NO PRAZO</v>
      </c>
      <c r="P30" t="s">
        <v>43</v>
      </c>
      <c r="Q30" s="34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3"/>
      <c r="N31" s="13">
        <f ca="1">Tabela13[[#This Row],[Data Prev.
Entrega]]-TODAY()</f>
        <v>90</v>
      </c>
      <c r="O31" s="13" t="str">
        <f t="shared" ca="1" si="5"/>
        <v>NO PRAZO</v>
      </c>
      <c r="P31" t="s">
        <v>43</v>
      </c>
      <c r="Q31" s="34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184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178</v>
      </c>
      <c r="O32" s="13" t="str">
        <f ca="1">IF(N32&lt;0,"ATRASADO",IF(N32&lt;=15,"ATENÇÃO","NO PRAZO"))</f>
        <v>NO PRAZO</v>
      </c>
      <c r="P32" t="s">
        <v>43</v>
      </c>
      <c r="Q32" s="34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184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178</v>
      </c>
      <c r="O33" s="13" t="str">
        <f t="shared" ref="O33:O35" ca="1" si="7">IF(N33&lt;0,"ATRASADO",IF(N33&lt;=15,"ATENÇÃO","NO PRAZO"))</f>
        <v>NO PRAZO</v>
      </c>
      <c r="P33" t="s">
        <v>43</v>
      </c>
      <c r="Q33" s="34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184</v>
      </c>
      <c r="F34" s="14" t="s">
        <v>77</v>
      </c>
      <c r="G34" s="14" t="s">
        <v>77</v>
      </c>
      <c r="H34" s="6" t="s">
        <v>185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178</v>
      </c>
      <c r="O34" s="13" t="str">
        <f t="shared" ca="1" si="7"/>
        <v>NO PRAZO</v>
      </c>
      <c r="P34" t="s">
        <v>43</v>
      </c>
      <c r="Q34" s="34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184</v>
      </c>
      <c r="F35" s="14" t="s">
        <v>77</v>
      </c>
      <c r="G35" s="14" t="s">
        <v>77</v>
      </c>
      <c r="H35" s="6" t="s">
        <v>185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178</v>
      </c>
      <c r="O35" s="13" t="str">
        <f t="shared" ca="1" si="7"/>
        <v>NO PRAZO</v>
      </c>
      <c r="P35" t="s">
        <v>43</v>
      </c>
      <c r="Q35" s="34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52"/>
  <sheetViews>
    <sheetView workbookViewId="0">
      <selection activeCell="S2" sqref="S2"/>
    </sheetView>
  </sheetViews>
  <sheetFormatPr defaultRowHeight="15" x14ac:dyDescent="0.25"/>
  <cols>
    <col min="3" max="4" width="9.140625" style="1"/>
    <col min="5" max="5" width="22.7109375" style="35" customWidth="1"/>
    <col min="6" max="6" width="9.140625" style="1"/>
    <col min="8" max="8" width="7.140625" customWidth="1"/>
    <col min="9" max="9" width="36.85546875" customWidth="1"/>
    <col min="10" max="10" width="10.42578125" bestFit="1" customWidth="1"/>
    <col min="12" max="13" width="10.42578125" bestFit="1" customWidth="1"/>
    <col min="14" max="14" width="10.42578125" style="38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5" t="s">
        <v>3</v>
      </c>
      <c r="F1" s="1" t="s">
        <v>51</v>
      </c>
      <c r="G1" t="s">
        <v>4</v>
      </c>
      <c r="H1" t="s">
        <v>5</v>
      </c>
      <c r="I1" t="s">
        <v>6</v>
      </c>
      <c r="J1" s="36" t="s">
        <v>67</v>
      </c>
      <c r="K1" s="36" t="s">
        <v>20</v>
      </c>
      <c r="L1" s="36" t="s">
        <v>66</v>
      </c>
      <c r="M1" s="36" t="s">
        <v>21</v>
      </c>
      <c r="N1" s="36" t="s">
        <v>95</v>
      </c>
      <c r="O1" s="36" t="s">
        <v>65</v>
      </c>
      <c r="P1" s="36" t="s">
        <v>59</v>
      </c>
      <c r="Q1" s="32" t="s">
        <v>109</v>
      </c>
      <c r="R1" s="36" t="s">
        <v>84</v>
      </c>
      <c r="S1" s="36" t="s">
        <v>99</v>
      </c>
      <c r="T1" s="36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175</v>
      </c>
      <c r="F2" s="14">
        <v>1</v>
      </c>
      <c r="G2" s="14">
        <v>434129</v>
      </c>
      <c r="H2" s="14">
        <v>1</v>
      </c>
      <c r="I2" s="6" t="s">
        <v>183</v>
      </c>
      <c r="J2" s="7">
        <v>46204</v>
      </c>
      <c r="L2" s="7">
        <v>46254</v>
      </c>
      <c r="N2" s="13">
        <f ca="1">Tabela4[[#This Row],[Prazo
Entrega]]-TODAY()</f>
        <v>58</v>
      </c>
      <c r="O2" t="str">
        <f t="shared" ref="O2:O9" ca="1" si="0">IF(N2&lt;0,"ATRASADO",IF(N2&lt;=15,"ATENÇÃO","NO PRAZO"))</f>
        <v>NO PRAZO</v>
      </c>
      <c r="P2" t="s">
        <v>43</v>
      </c>
      <c r="Q2" s="33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175</v>
      </c>
      <c r="F3" s="14">
        <v>1</v>
      </c>
      <c r="G3" s="14">
        <v>434129</v>
      </c>
      <c r="H3" s="14">
        <v>2</v>
      </c>
      <c r="I3" s="6" t="s">
        <v>183</v>
      </c>
      <c r="J3" s="7">
        <v>46204</v>
      </c>
      <c r="L3" s="7">
        <v>46254</v>
      </c>
      <c r="N3" s="13">
        <f ca="1">Tabela4[[#This Row],[Prazo
Entrega]]-TODAY()</f>
        <v>58</v>
      </c>
      <c r="O3" t="str">
        <f t="shared" ca="1" si="0"/>
        <v>NO PRAZO</v>
      </c>
      <c r="P3" t="s">
        <v>43</v>
      </c>
      <c r="Q3" s="33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175</v>
      </c>
      <c r="F4" s="14">
        <v>1</v>
      </c>
      <c r="G4" s="14">
        <v>434129</v>
      </c>
      <c r="H4" s="14">
        <v>3</v>
      </c>
      <c r="I4" s="6" t="s">
        <v>183</v>
      </c>
      <c r="J4" s="7">
        <v>46204</v>
      </c>
      <c r="L4" s="7">
        <v>46254</v>
      </c>
      <c r="N4" s="13">
        <f ca="1">Tabela4[[#This Row],[Prazo
Entrega]]-TODAY()</f>
        <v>58</v>
      </c>
      <c r="O4" t="str">
        <f t="shared" ca="1" si="0"/>
        <v>NO PRAZO</v>
      </c>
      <c r="P4" t="s">
        <v>43</v>
      </c>
      <c r="Q4" s="33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175</v>
      </c>
      <c r="F5" s="14">
        <v>1</v>
      </c>
      <c r="G5" s="14">
        <v>434129</v>
      </c>
      <c r="H5" s="14">
        <v>4</v>
      </c>
      <c r="I5" s="6" t="s">
        <v>183</v>
      </c>
      <c r="J5" s="7">
        <v>46204</v>
      </c>
      <c r="L5" s="7">
        <v>46254</v>
      </c>
      <c r="N5" s="13">
        <f ca="1">Tabela4[[#This Row],[Prazo
Entrega]]-TODAY()</f>
        <v>58</v>
      </c>
      <c r="O5" t="str">
        <f t="shared" ca="1" si="0"/>
        <v>NO PRAZO</v>
      </c>
      <c r="P5" t="s">
        <v>43</v>
      </c>
      <c r="Q5" s="33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175</v>
      </c>
      <c r="F6" s="14">
        <v>1</v>
      </c>
      <c r="G6" s="14">
        <v>434130</v>
      </c>
      <c r="H6" s="14">
        <v>1</v>
      </c>
      <c r="I6" s="6" t="s">
        <v>183</v>
      </c>
      <c r="J6" s="7">
        <v>46204</v>
      </c>
      <c r="L6" s="7">
        <v>46254</v>
      </c>
      <c r="N6" s="13">
        <f ca="1">Tabela4[[#This Row],[Prazo
Entrega]]-TODAY()</f>
        <v>58</v>
      </c>
      <c r="O6" t="str">
        <f t="shared" ca="1" si="0"/>
        <v>NO PRAZO</v>
      </c>
      <c r="P6" t="s">
        <v>43</v>
      </c>
      <c r="Q6" s="33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175</v>
      </c>
      <c r="F7" s="14">
        <v>1</v>
      </c>
      <c r="G7" s="14">
        <v>434130</v>
      </c>
      <c r="H7" s="14">
        <v>2</v>
      </c>
      <c r="I7" s="6" t="s">
        <v>183</v>
      </c>
      <c r="J7" s="7">
        <v>46204</v>
      </c>
      <c r="L7" s="7">
        <v>46254</v>
      </c>
      <c r="N7" s="13">
        <f ca="1">Tabela4[[#This Row],[Prazo
Entrega]]-TODAY()</f>
        <v>58</v>
      </c>
      <c r="O7" t="str">
        <f t="shared" ca="1" si="0"/>
        <v>NO PRAZO</v>
      </c>
      <c r="P7" t="s">
        <v>43</v>
      </c>
      <c r="Q7" s="33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175</v>
      </c>
      <c r="F8" s="14">
        <v>1</v>
      </c>
      <c r="G8" s="14">
        <v>434130</v>
      </c>
      <c r="H8" s="14">
        <v>3</v>
      </c>
      <c r="I8" s="6" t="s">
        <v>183</v>
      </c>
      <c r="J8" s="7">
        <v>46204</v>
      </c>
      <c r="L8" s="7">
        <v>46254</v>
      </c>
      <c r="N8" s="13">
        <f ca="1">Tabela4[[#This Row],[Prazo
Entrega]]-TODAY()</f>
        <v>58</v>
      </c>
      <c r="O8" t="str">
        <f t="shared" ca="1" si="0"/>
        <v>NO PRAZO</v>
      </c>
      <c r="P8" t="s">
        <v>43</v>
      </c>
      <c r="Q8" s="33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175</v>
      </c>
      <c r="F9" s="14">
        <v>1</v>
      </c>
      <c r="G9" s="14">
        <v>434130</v>
      </c>
      <c r="H9" s="14">
        <v>4</v>
      </c>
      <c r="I9" s="6" t="s">
        <v>183</v>
      </c>
      <c r="J9" s="7">
        <v>46204</v>
      </c>
      <c r="L9" s="7">
        <v>46254</v>
      </c>
      <c r="N9" s="13">
        <f ca="1">Tabela4[[#This Row],[Prazo
Entrega]]-TODAY()</f>
        <v>58</v>
      </c>
      <c r="O9" t="str">
        <f t="shared" ca="1" si="0"/>
        <v>NO PRAZO</v>
      </c>
      <c r="P9" t="s">
        <v>43</v>
      </c>
      <c r="Q9" s="33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176</v>
      </c>
      <c r="F10" s="15">
        <v>1</v>
      </c>
      <c r="G10" s="15" t="s">
        <v>77</v>
      </c>
      <c r="H10" s="15" t="s">
        <v>77</v>
      </c>
      <c r="I10" s="17" t="s">
        <v>177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-18</v>
      </c>
      <c r="O10" s="35" t="s">
        <v>102</v>
      </c>
      <c r="P10" s="10" t="s">
        <v>43</v>
      </c>
      <c r="Q10" s="10" t="s">
        <v>69</v>
      </c>
      <c r="R10" s="10" t="s">
        <v>69</v>
      </c>
      <c r="S10" s="37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178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180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179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180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180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180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181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180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181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180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181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180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182</v>
      </c>
      <c r="J17" s="7">
        <v>46251</v>
      </c>
      <c r="L17" s="7">
        <v>46281</v>
      </c>
      <c r="N17" s="13">
        <f ca="1">Tabela4[[#This Row],[Prazo
Entrega]]-TODAY()</f>
        <v>85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182</v>
      </c>
      <c r="J18" s="7">
        <v>46251</v>
      </c>
      <c r="L18" s="7">
        <v>46281</v>
      </c>
      <c r="N18" s="13">
        <f ca="1">Tabela4[[#This Row],[Prazo
Entrega]]-TODAY()</f>
        <v>85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184</v>
      </c>
      <c r="F19" s="14">
        <v>1</v>
      </c>
      <c r="G19" s="14" t="s">
        <v>77</v>
      </c>
      <c r="H19" s="14" t="s">
        <v>77</v>
      </c>
      <c r="I19" s="6" t="s">
        <v>186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180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184</v>
      </c>
      <c r="F20" s="14">
        <v>1</v>
      </c>
      <c r="G20" s="14" t="s">
        <v>77</v>
      </c>
      <c r="H20" s="14" t="s">
        <v>77</v>
      </c>
      <c r="I20" s="6" t="s">
        <v>186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180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184</v>
      </c>
      <c r="F21" s="14">
        <v>1</v>
      </c>
      <c r="G21" s="14" t="s">
        <v>77</v>
      </c>
      <c r="H21" s="14" t="s">
        <v>77</v>
      </c>
      <c r="I21" s="6" t="s">
        <v>187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180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184</v>
      </c>
      <c r="F22" s="14">
        <v>1</v>
      </c>
      <c r="G22" s="14" t="s">
        <v>77</v>
      </c>
      <c r="H22" s="14" t="s">
        <v>77</v>
      </c>
      <c r="I22" s="6" t="s">
        <v>187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180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184</v>
      </c>
      <c r="F23" s="14">
        <v>1</v>
      </c>
      <c r="G23" s="14" t="s">
        <v>77</v>
      </c>
      <c r="H23" s="14" t="s">
        <v>77</v>
      </c>
      <c r="I23" s="6" t="s">
        <v>187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180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184</v>
      </c>
      <c r="F24" s="14">
        <v>1</v>
      </c>
      <c r="G24" s="14" t="s">
        <v>77</v>
      </c>
      <c r="H24" s="14" t="s">
        <v>77</v>
      </c>
      <c r="I24" s="6" t="s">
        <v>187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180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184</v>
      </c>
      <c r="F25" s="14">
        <v>1</v>
      </c>
      <c r="G25" s="14" t="s">
        <v>77</v>
      </c>
      <c r="H25" s="14" t="s">
        <v>77</v>
      </c>
      <c r="I25" s="6" t="s">
        <v>187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180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184</v>
      </c>
      <c r="F26" s="14">
        <v>1</v>
      </c>
      <c r="G26" s="14" t="s">
        <v>77</v>
      </c>
      <c r="H26" s="14" t="s">
        <v>77</v>
      </c>
      <c r="I26" s="6" t="s">
        <v>187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180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184</v>
      </c>
      <c r="F27" s="14">
        <v>1</v>
      </c>
      <c r="G27" s="14" t="s">
        <v>77</v>
      </c>
      <c r="H27" s="14" t="s">
        <v>77</v>
      </c>
      <c r="I27" s="6" t="s">
        <v>188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180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184</v>
      </c>
      <c r="F28" s="14">
        <v>1</v>
      </c>
      <c r="G28" s="14" t="s">
        <v>77</v>
      </c>
      <c r="H28" s="14" t="s">
        <v>77</v>
      </c>
      <c r="I28" s="6" t="s">
        <v>188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180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184</v>
      </c>
      <c r="F29" s="14">
        <v>1</v>
      </c>
      <c r="G29" s="14" t="s">
        <v>77</v>
      </c>
      <c r="H29" s="14" t="s">
        <v>77</v>
      </c>
      <c r="I29" s="6" t="s">
        <v>188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180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184</v>
      </c>
      <c r="F30" s="14">
        <v>1</v>
      </c>
      <c r="G30" s="14" t="s">
        <v>77</v>
      </c>
      <c r="H30" s="14" t="s">
        <v>77</v>
      </c>
      <c r="I30" s="6" t="s">
        <v>188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180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184</v>
      </c>
      <c r="F31" s="14">
        <v>1</v>
      </c>
      <c r="G31" s="14" t="s">
        <v>77</v>
      </c>
      <c r="H31" s="14" t="s">
        <v>77</v>
      </c>
      <c r="I31" s="6" t="s">
        <v>188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180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184</v>
      </c>
      <c r="F32" s="14">
        <v>1</v>
      </c>
      <c r="G32" s="14" t="s">
        <v>77</v>
      </c>
      <c r="H32" s="14" t="s">
        <v>77</v>
      </c>
      <c r="I32" s="6" t="s">
        <v>188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180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184</v>
      </c>
      <c r="F33" s="14">
        <v>1</v>
      </c>
      <c r="G33" s="14" t="s">
        <v>77</v>
      </c>
      <c r="H33" s="14" t="s">
        <v>77</v>
      </c>
      <c r="I33" s="6" t="s">
        <v>188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180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184</v>
      </c>
      <c r="F34" s="14">
        <v>1</v>
      </c>
      <c r="G34" s="14" t="s">
        <v>77</v>
      </c>
      <c r="H34" s="14" t="s">
        <v>77</v>
      </c>
      <c r="I34" s="6" t="s">
        <v>188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180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184</v>
      </c>
      <c r="F35" s="14">
        <v>1</v>
      </c>
      <c r="G35" s="14" t="s">
        <v>77</v>
      </c>
      <c r="H35" s="14" t="s">
        <v>77</v>
      </c>
      <c r="I35" s="6" t="s">
        <v>189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180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184</v>
      </c>
      <c r="F36" s="14">
        <v>1</v>
      </c>
      <c r="G36" s="14" t="s">
        <v>77</v>
      </c>
      <c r="H36" s="14" t="s">
        <v>77</v>
      </c>
      <c r="I36" s="6" t="s">
        <v>189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180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184</v>
      </c>
      <c r="F37" s="14">
        <v>1</v>
      </c>
      <c r="G37" s="14" t="s">
        <v>77</v>
      </c>
      <c r="H37" s="14" t="s">
        <v>77</v>
      </c>
      <c r="I37" s="6" t="s">
        <v>190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180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184</v>
      </c>
      <c r="F38" s="14">
        <v>1</v>
      </c>
      <c r="G38" s="14" t="s">
        <v>77</v>
      </c>
      <c r="H38" s="14" t="s">
        <v>77</v>
      </c>
      <c r="I38" s="6" t="s">
        <v>190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180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184</v>
      </c>
      <c r="F39" s="14">
        <v>1</v>
      </c>
      <c r="G39" s="14" t="s">
        <v>77</v>
      </c>
      <c r="H39" s="14" t="s">
        <v>77</v>
      </c>
      <c r="I39" s="6" t="s">
        <v>190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180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184</v>
      </c>
      <c r="F40" s="14">
        <v>1</v>
      </c>
      <c r="G40" s="14" t="s">
        <v>77</v>
      </c>
      <c r="H40" s="14" t="s">
        <v>77</v>
      </c>
      <c r="I40" s="6" t="s">
        <v>190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180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184</v>
      </c>
      <c r="F41" s="14">
        <v>1</v>
      </c>
      <c r="G41" s="14" t="s">
        <v>77</v>
      </c>
      <c r="H41" s="14" t="s">
        <v>77</v>
      </c>
      <c r="I41" s="6" t="s">
        <v>190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180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184</v>
      </c>
      <c r="F42" s="14">
        <v>1</v>
      </c>
      <c r="G42" s="14" t="s">
        <v>77</v>
      </c>
      <c r="H42" s="14" t="s">
        <v>77</v>
      </c>
      <c r="I42" s="6" t="s">
        <v>190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180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184</v>
      </c>
      <c r="F43" s="14">
        <v>1</v>
      </c>
      <c r="G43" s="14" t="s">
        <v>77</v>
      </c>
      <c r="H43" s="14" t="s">
        <v>77</v>
      </c>
      <c r="I43" s="6" t="s">
        <v>190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180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184</v>
      </c>
      <c r="F44" s="14">
        <v>1</v>
      </c>
      <c r="G44" s="14" t="s">
        <v>77</v>
      </c>
      <c r="H44" s="14" t="s">
        <v>77</v>
      </c>
      <c r="I44" s="6" t="s">
        <v>190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180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184</v>
      </c>
      <c r="F45" s="14">
        <v>1</v>
      </c>
      <c r="G45" s="14" t="s">
        <v>77</v>
      </c>
      <c r="H45" s="14" t="s">
        <v>77</v>
      </c>
      <c r="I45" s="6" t="s">
        <v>190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180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184</v>
      </c>
      <c r="F46" s="14">
        <v>1</v>
      </c>
      <c r="G46" s="14" t="s">
        <v>77</v>
      </c>
      <c r="H46" s="14" t="s">
        <v>77</v>
      </c>
      <c r="I46" s="6" t="s">
        <v>190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180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184</v>
      </c>
      <c r="F47" s="14">
        <v>1</v>
      </c>
      <c r="G47" s="14" t="s">
        <v>77</v>
      </c>
      <c r="H47" s="14" t="s">
        <v>77</v>
      </c>
      <c r="I47" s="6" t="s">
        <v>190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180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184</v>
      </c>
      <c r="F48" s="14">
        <v>1</v>
      </c>
      <c r="G48" s="14" t="s">
        <v>77</v>
      </c>
      <c r="H48" s="14" t="s">
        <v>77</v>
      </c>
      <c r="I48" s="6" t="s">
        <v>190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180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184</v>
      </c>
      <c r="F49" s="14">
        <v>1</v>
      </c>
      <c r="G49" s="14" t="s">
        <v>77</v>
      </c>
      <c r="H49" s="14" t="s">
        <v>77</v>
      </c>
      <c r="I49" s="6" t="s">
        <v>190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180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184</v>
      </c>
      <c r="F50" s="14">
        <v>1</v>
      </c>
      <c r="G50" s="14" t="s">
        <v>77</v>
      </c>
      <c r="H50" s="14" t="s">
        <v>77</v>
      </c>
      <c r="I50" s="6" t="s">
        <v>190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180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184</v>
      </c>
      <c r="F51" s="14">
        <v>1</v>
      </c>
      <c r="G51" s="14" t="s">
        <v>77</v>
      </c>
      <c r="H51" s="14" t="s">
        <v>77</v>
      </c>
      <c r="I51" s="6" t="s">
        <v>190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180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184</v>
      </c>
      <c r="F52" s="14">
        <v>1</v>
      </c>
      <c r="G52" s="14" t="s">
        <v>77</v>
      </c>
      <c r="H52" s="14" t="s">
        <v>77</v>
      </c>
      <c r="I52" s="6" t="s">
        <v>190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180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"/>
  <sheetViews>
    <sheetView workbookViewId="0">
      <selection activeCell="I15" sqref="I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53"/>
  <sheetViews>
    <sheetView workbookViewId="0">
      <selection activeCell="H2" sqref="H2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30" customWidth="1"/>
    <col min="4" max="4" width="9.85546875" style="10" bestFit="1" customWidth="1"/>
    <col min="5" max="5" width="100.85546875" style="30" bestFit="1" customWidth="1"/>
    <col min="6" max="6" width="16.7109375" style="10" customWidth="1"/>
    <col min="7" max="7" width="7.140625" style="10" customWidth="1"/>
    <col min="8" max="12" width="16.7109375" style="10" customWidth="1"/>
    <col min="13" max="13" width="13.28515625" style="10" bestFit="1" customWidth="1"/>
  </cols>
  <sheetData>
    <row r="1" spans="1:15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128</v>
      </c>
      <c r="G1" s="21" t="s">
        <v>129</v>
      </c>
      <c r="H1" s="22" t="s">
        <v>130</v>
      </c>
      <c r="I1" s="22" t="s">
        <v>131</v>
      </c>
      <c r="J1" s="22" t="s">
        <v>132</v>
      </c>
      <c r="K1" s="22" t="s">
        <v>133</v>
      </c>
      <c r="L1" s="22" t="s">
        <v>134</v>
      </c>
      <c r="M1" s="48" t="s">
        <v>135</v>
      </c>
      <c r="N1" s="48"/>
      <c r="O1" s="48"/>
    </row>
    <row r="2" spans="1:15" x14ac:dyDescent="0.25">
      <c r="A2" s="23">
        <v>27108</v>
      </c>
      <c r="B2" s="23">
        <v>1</v>
      </c>
      <c r="C2" s="24" t="s">
        <v>136</v>
      </c>
      <c r="D2" s="23">
        <v>299368</v>
      </c>
      <c r="E2" s="24" t="s">
        <v>137</v>
      </c>
      <c r="F2" s="25">
        <v>45964</v>
      </c>
      <c r="G2" s="23" t="s">
        <v>138</v>
      </c>
      <c r="H2" s="25">
        <v>46220</v>
      </c>
      <c r="I2" s="25">
        <v>46227</v>
      </c>
      <c r="J2" s="25" t="s">
        <v>77</v>
      </c>
      <c r="K2" s="25" t="s">
        <v>77</v>
      </c>
      <c r="L2" s="25" t="s">
        <v>61</v>
      </c>
      <c r="M2" s="23">
        <v>285</v>
      </c>
      <c r="N2" s="26"/>
      <c r="O2" s="26"/>
    </row>
    <row r="3" spans="1:15" x14ac:dyDescent="0.25">
      <c r="A3" s="23">
        <v>27330</v>
      </c>
      <c r="B3" s="23">
        <v>1</v>
      </c>
      <c r="C3" s="24" t="s">
        <v>136</v>
      </c>
      <c r="D3" s="23">
        <v>299368</v>
      </c>
      <c r="E3" s="24" t="s">
        <v>137</v>
      </c>
      <c r="F3" s="25">
        <v>46108</v>
      </c>
      <c r="G3" s="23" t="s">
        <v>138</v>
      </c>
      <c r="H3" s="25">
        <v>46220</v>
      </c>
      <c r="I3" s="25">
        <v>46227</v>
      </c>
      <c r="J3" s="25" t="s">
        <v>77</v>
      </c>
      <c r="K3" s="25" t="s">
        <v>77</v>
      </c>
      <c r="L3" s="25" t="s">
        <v>61</v>
      </c>
      <c r="M3" s="23">
        <v>285</v>
      </c>
      <c r="N3" s="26"/>
      <c r="O3" s="26"/>
    </row>
    <row r="4" spans="1:15" x14ac:dyDescent="0.25">
      <c r="A4" s="27">
        <v>27507</v>
      </c>
      <c r="B4" s="27">
        <v>1</v>
      </c>
      <c r="C4" s="28" t="s">
        <v>139</v>
      </c>
      <c r="D4" s="23">
        <v>1449018</v>
      </c>
      <c r="E4" s="24" t="s">
        <v>140</v>
      </c>
      <c r="F4" s="25">
        <v>46195</v>
      </c>
      <c r="G4" s="23" t="s">
        <v>138</v>
      </c>
      <c r="H4" s="25">
        <v>46196</v>
      </c>
      <c r="I4" s="25">
        <v>46202</v>
      </c>
      <c r="J4" s="25" t="s">
        <v>77</v>
      </c>
      <c r="K4" s="25" t="s">
        <v>77</v>
      </c>
      <c r="L4" s="25" t="s">
        <v>61</v>
      </c>
      <c r="M4" s="23">
        <v>496</v>
      </c>
      <c r="N4" s="26"/>
      <c r="O4" s="26"/>
    </row>
    <row r="5" spans="1:15" x14ac:dyDescent="0.25">
      <c r="A5" s="27">
        <v>27507</v>
      </c>
      <c r="B5" s="27">
        <v>2</v>
      </c>
      <c r="C5" s="28" t="s">
        <v>139</v>
      </c>
      <c r="D5" s="23">
        <v>1449018</v>
      </c>
      <c r="E5" s="24" t="s">
        <v>140</v>
      </c>
      <c r="F5" s="25">
        <v>46195</v>
      </c>
      <c r="G5" s="23" t="s">
        <v>138</v>
      </c>
      <c r="H5" s="25">
        <v>46196</v>
      </c>
      <c r="I5" s="25">
        <v>46202</v>
      </c>
      <c r="J5" s="25" t="s">
        <v>77</v>
      </c>
      <c r="K5" s="25" t="s">
        <v>77</v>
      </c>
      <c r="L5" s="25" t="s">
        <v>61</v>
      </c>
      <c r="M5" s="23">
        <v>496</v>
      </c>
      <c r="N5" s="26"/>
      <c r="O5" s="26"/>
    </row>
    <row r="6" spans="1:15" x14ac:dyDescent="0.25">
      <c r="A6" s="23">
        <v>27522</v>
      </c>
      <c r="B6" s="23">
        <v>1</v>
      </c>
      <c r="C6" s="24" t="s">
        <v>136</v>
      </c>
      <c r="D6" s="23">
        <v>299374</v>
      </c>
      <c r="E6" s="24" t="s">
        <v>141</v>
      </c>
      <c r="F6" s="25">
        <v>46204</v>
      </c>
      <c r="G6" s="23" t="s">
        <v>138</v>
      </c>
      <c r="H6" s="25">
        <v>46192</v>
      </c>
      <c r="I6" s="25">
        <v>46197</v>
      </c>
      <c r="J6" s="25" t="s">
        <v>77</v>
      </c>
      <c r="K6" s="25" t="s">
        <v>77</v>
      </c>
      <c r="L6" s="25" t="s">
        <v>61</v>
      </c>
      <c r="M6" s="23">
        <v>285</v>
      </c>
      <c r="N6" s="26"/>
      <c r="O6" s="26"/>
    </row>
    <row r="7" spans="1:15" x14ac:dyDescent="0.25">
      <c r="A7" s="23">
        <v>27473</v>
      </c>
      <c r="B7" s="23">
        <v>1</v>
      </c>
      <c r="C7" s="24" t="s">
        <v>142</v>
      </c>
      <c r="D7" s="23">
        <v>1281005</v>
      </c>
      <c r="E7" s="24" t="s">
        <v>143</v>
      </c>
      <c r="F7" s="25">
        <v>46209</v>
      </c>
      <c r="G7" s="23" t="s">
        <v>138</v>
      </c>
      <c r="H7" s="25">
        <v>46192</v>
      </c>
      <c r="I7" s="25">
        <v>46199</v>
      </c>
      <c r="J7" s="25" t="s">
        <v>77</v>
      </c>
      <c r="K7" s="25" t="s">
        <v>77</v>
      </c>
      <c r="L7" s="25" t="s">
        <v>61</v>
      </c>
      <c r="M7" s="23">
        <v>493</v>
      </c>
      <c r="N7" s="26">
        <v>285</v>
      </c>
      <c r="O7" s="26"/>
    </row>
    <row r="8" spans="1:15" x14ac:dyDescent="0.25">
      <c r="A8" s="23">
        <v>27473</v>
      </c>
      <c r="B8" s="23">
        <v>2</v>
      </c>
      <c r="C8" s="24" t="s">
        <v>142</v>
      </c>
      <c r="D8" s="23">
        <v>1281006</v>
      </c>
      <c r="E8" s="24" t="s">
        <v>144</v>
      </c>
      <c r="F8" s="25">
        <v>46209</v>
      </c>
      <c r="G8" s="23" t="s">
        <v>138</v>
      </c>
      <c r="H8" s="25">
        <v>46192</v>
      </c>
      <c r="I8" s="25">
        <v>46199</v>
      </c>
      <c r="J8" s="25" t="s">
        <v>77</v>
      </c>
      <c r="K8" s="25" t="s">
        <v>77</v>
      </c>
      <c r="L8" s="25" t="s">
        <v>61</v>
      </c>
      <c r="M8" s="23">
        <v>124</v>
      </c>
      <c r="N8" s="26">
        <v>433</v>
      </c>
      <c r="O8" s="26"/>
    </row>
    <row r="9" spans="1:15" x14ac:dyDescent="0.25">
      <c r="A9" s="23">
        <v>27473</v>
      </c>
      <c r="B9" s="23">
        <v>3</v>
      </c>
      <c r="C9" s="24" t="s">
        <v>142</v>
      </c>
      <c r="D9" s="23">
        <v>1281007</v>
      </c>
      <c r="E9" s="24" t="s">
        <v>145</v>
      </c>
      <c r="F9" s="25">
        <v>46209</v>
      </c>
      <c r="G9" s="23" t="s">
        <v>138</v>
      </c>
      <c r="H9" s="25">
        <v>46192</v>
      </c>
      <c r="I9" s="25">
        <v>46199</v>
      </c>
      <c r="J9" s="25" t="s">
        <v>77</v>
      </c>
      <c r="K9" s="25" t="s">
        <v>77</v>
      </c>
      <c r="L9" s="25" t="s">
        <v>61</v>
      </c>
      <c r="M9" s="23">
        <v>112</v>
      </c>
      <c r="N9" s="26">
        <v>124</v>
      </c>
      <c r="O9" s="26">
        <v>433</v>
      </c>
    </row>
    <row r="10" spans="1:15" x14ac:dyDescent="0.25">
      <c r="A10" s="23">
        <v>27473</v>
      </c>
      <c r="B10" s="23">
        <v>4</v>
      </c>
      <c r="C10" s="24" t="s">
        <v>142</v>
      </c>
      <c r="D10" s="23">
        <v>1281007</v>
      </c>
      <c r="E10" s="24" t="s">
        <v>145</v>
      </c>
      <c r="F10" s="25">
        <v>46209</v>
      </c>
      <c r="G10" s="23" t="s">
        <v>138</v>
      </c>
      <c r="H10" s="25">
        <v>46192</v>
      </c>
      <c r="I10" s="25">
        <v>46199</v>
      </c>
      <c r="J10" s="25" t="s">
        <v>77</v>
      </c>
      <c r="K10" s="25" t="s">
        <v>77</v>
      </c>
      <c r="L10" s="25" t="s">
        <v>61</v>
      </c>
      <c r="M10" s="23">
        <v>112</v>
      </c>
      <c r="N10" s="26">
        <v>124</v>
      </c>
      <c r="O10" s="26">
        <v>433</v>
      </c>
    </row>
    <row r="11" spans="1:15" x14ac:dyDescent="0.25">
      <c r="A11" s="23">
        <v>27473</v>
      </c>
      <c r="B11" s="23">
        <v>5</v>
      </c>
      <c r="C11" s="24" t="s">
        <v>142</v>
      </c>
      <c r="D11" s="23">
        <v>1281007</v>
      </c>
      <c r="E11" s="24" t="s">
        <v>145</v>
      </c>
      <c r="F11" s="25">
        <v>46209</v>
      </c>
      <c r="G11" s="23" t="s">
        <v>138</v>
      </c>
      <c r="H11" s="25">
        <v>46192</v>
      </c>
      <c r="I11" s="25">
        <v>46199</v>
      </c>
      <c r="J11" s="25" t="s">
        <v>77</v>
      </c>
      <c r="K11" s="25" t="s">
        <v>77</v>
      </c>
      <c r="L11" s="25" t="s">
        <v>61</v>
      </c>
      <c r="M11" s="23">
        <v>112</v>
      </c>
      <c r="N11" s="26">
        <v>124</v>
      </c>
      <c r="O11" s="26">
        <v>433</v>
      </c>
    </row>
    <row r="12" spans="1:15" x14ac:dyDescent="0.25">
      <c r="A12" s="23">
        <v>27473</v>
      </c>
      <c r="B12" s="23">
        <v>6</v>
      </c>
      <c r="C12" s="24" t="s">
        <v>142</v>
      </c>
      <c r="D12" s="23">
        <v>1281007</v>
      </c>
      <c r="E12" s="24" t="s">
        <v>145</v>
      </c>
      <c r="F12" s="25">
        <v>46209</v>
      </c>
      <c r="G12" s="23" t="s">
        <v>138</v>
      </c>
      <c r="H12" s="25">
        <v>46192</v>
      </c>
      <c r="I12" s="25">
        <v>46199</v>
      </c>
      <c r="J12" s="25" t="s">
        <v>77</v>
      </c>
      <c r="K12" s="25" t="s">
        <v>77</v>
      </c>
      <c r="L12" s="25" t="s">
        <v>61</v>
      </c>
      <c r="M12" s="23">
        <v>112</v>
      </c>
      <c r="N12" s="26">
        <v>124</v>
      </c>
      <c r="O12" s="26">
        <v>433</v>
      </c>
    </row>
    <row r="13" spans="1:15" x14ac:dyDescent="0.25">
      <c r="A13" s="23">
        <v>27473</v>
      </c>
      <c r="B13" s="23">
        <v>7</v>
      </c>
      <c r="C13" s="24" t="s">
        <v>142</v>
      </c>
      <c r="D13" s="23">
        <v>1281007</v>
      </c>
      <c r="E13" s="24" t="s">
        <v>145</v>
      </c>
      <c r="F13" s="25">
        <v>46209</v>
      </c>
      <c r="G13" s="23" t="s">
        <v>138</v>
      </c>
      <c r="H13" s="25">
        <v>46192</v>
      </c>
      <c r="I13" s="25">
        <v>46199</v>
      </c>
      <c r="J13" s="25" t="s">
        <v>77</v>
      </c>
      <c r="K13" s="25" t="s">
        <v>77</v>
      </c>
      <c r="L13" s="25" t="s">
        <v>61</v>
      </c>
      <c r="M13" s="23">
        <v>112</v>
      </c>
      <c r="N13" s="26">
        <v>124</v>
      </c>
      <c r="O13" s="26">
        <v>433</v>
      </c>
    </row>
    <row r="14" spans="1:15" x14ac:dyDescent="0.25">
      <c r="A14" s="23">
        <v>27473</v>
      </c>
      <c r="B14" s="23">
        <v>8</v>
      </c>
      <c r="C14" s="24" t="s">
        <v>142</v>
      </c>
      <c r="D14" s="23">
        <v>1281008</v>
      </c>
      <c r="E14" s="24" t="s">
        <v>146</v>
      </c>
      <c r="F14" s="25">
        <v>46209</v>
      </c>
      <c r="G14" s="23" t="s">
        <v>138</v>
      </c>
      <c r="H14" s="25">
        <v>46192</v>
      </c>
      <c r="I14" s="25">
        <v>46199</v>
      </c>
      <c r="J14" s="25" t="s">
        <v>77</v>
      </c>
      <c r="K14" s="25" t="s">
        <v>77</v>
      </c>
      <c r="L14" s="25" t="s">
        <v>61</v>
      </c>
      <c r="M14" s="23">
        <v>112</v>
      </c>
      <c r="N14" s="26">
        <v>124</v>
      </c>
      <c r="O14" s="26">
        <v>433</v>
      </c>
    </row>
    <row r="15" spans="1:15" x14ac:dyDescent="0.25">
      <c r="A15" s="27">
        <v>27416</v>
      </c>
      <c r="B15" s="27">
        <v>1</v>
      </c>
      <c r="C15" s="28" t="s">
        <v>147</v>
      </c>
      <c r="D15" s="23">
        <v>392291</v>
      </c>
      <c r="E15" s="24" t="s">
        <v>148</v>
      </c>
      <c r="F15" s="25">
        <v>46211</v>
      </c>
      <c r="G15" s="23" t="s">
        <v>138</v>
      </c>
      <c r="H15" s="29">
        <v>46197</v>
      </c>
      <c r="I15" s="29">
        <v>46204</v>
      </c>
      <c r="J15" s="29">
        <v>46211</v>
      </c>
      <c r="K15" s="29">
        <v>46218</v>
      </c>
      <c r="L15" s="25" t="s">
        <v>61</v>
      </c>
      <c r="M15" s="26">
        <v>493</v>
      </c>
      <c r="N15" s="26"/>
      <c r="O15" s="26"/>
    </row>
    <row r="16" spans="1:15" x14ac:dyDescent="0.25">
      <c r="A16" s="23">
        <v>27476</v>
      </c>
      <c r="B16" s="23">
        <v>1</v>
      </c>
      <c r="C16" s="24" t="s">
        <v>136</v>
      </c>
      <c r="D16" s="23">
        <v>299529</v>
      </c>
      <c r="E16" s="24" t="s">
        <v>149</v>
      </c>
      <c r="F16" s="25">
        <v>46217</v>
      </c>
      <c r="G16" s="23" t="s">
        <v>138</v>
      </c>
      <c r="H16" s="25" t="s">
        <v>77</v>
      </c>
      <c r="I16" s="25" t="s">
        <v>77</v>
      </c>
      <c r="J16" s="25">
        <v>46205</v>
      </c>
      <c r="K16" s="25">
        <v>46216</v>
      </c>
      <c r="L16" s="25" t="s">
        <v>61</v>
      </c>
      <c r="M16" s="23">
        <v>285</v>
      </c>
      <c r="N16" s="26">
        <v>327</v>
      </c>
      <c r="O16" s="26"/>
    </row>
    <row r="17" spans="1:15" x14ac:dyDescent="0.25">
      <c r="A17" s="23">
        <v>27490</v>
      </c>
      <c r="B17" s="23">
        <v>1</v>
      </c>
      <c r="C17" s="24" t="s">
        <v>136</v>
      </c>
      <c r="D17" s="23">
        <v>299302</v>
      </c>
      <c r="E17" s="24" t="s">
        <v>150</v>
      </c>
      <c r="F17" s="25">
        <v>46218</v>
      </c>
      <c r="G17" s="23" t="s">
        <v>138</v>
      </c>
      <c r="H17" s="25">
        <v>46189</v>
      </c>
      <c r="I17" s="25">
        <v>46199</v>
      </c>
      <c r="J17" s="25" t="s">
        <v>77</v>
      </c>
      <c r="K17" s="25" t="s">
        <v>77</v>
      </c>
      <c r="L17" s="25" t="s">
        <v>61</v>
      </c>
      <c r="M17" s="23">
        <v>496</v>
      </c>
      <c r="N17" s="26"/>
      <c r="O17" s="26"/>
    </row>
    <row r="18" spans="1:15" x14ac:dyDescent="0.25">
      <c r="A18" s="27">
        <v>27416</v>
      </c>
      <c r="B18" s="27">
        <v>2</v>
      </c>
      <c r="C18" s="28" t="s">
        <v>147</v>
      </c>
      <c r="D18" s="23">
        <v>392292</v>
      </c>
      <c r="E18" s="24" t="s">
        <v>151</v>
      </c>
      <c r="F18" s="25">
        <v>46218</v>
      </c>
      <c r="G18" s="23" t="s">
        <v>138</v>
      </c>
      <c r="H18" s="25">
        <v>46204</v>
      </c>
      <c r="I18" s="25">
        <v>46211</v>
      </c>
      <c r="J18" s="25">
        <v>46218</v>
      </c>
      <c r="K18" s="25">
        <v>46225</v>
      </c>
      <c r="L18" s="25" t="s">
        <v>61</v>
      </c>
      <c r="M18" s="23">
        <v>493</v>
      </c>
      <c r="N18" s="26"/>
      <c r="O18" s="26"/>
    </row>
    <row r="19" spans="1:15" x14ac:dyDescent="0.25">
      <c r="A19" s="23">
        <v>27521</v>
      </c>
      <c r="B19" s="23">
        <v>1</v>
      </c>
      <c r="C19" s="24" t="s">
        <v>136</v>
      </c>
      <c r="D19" s="23">
        <v>299303</v>
      </c>
      <c r="E19" s="24" t="s">
        <v>152</v>
      </c>
      <c r="F19" s="25">
        <v>46227</v>
      </c>
      <c r="G19" s="23" t="s">
        <v>138</v>
      </c>
      <c r="H19" s="25">
        <v>46199</v>
      </c>
      <c r="I19" s="25">
        <v>46206</v>
      </c>
      <c r="J19" s="25" t="s">
        <v>77</v>
      </c>
      <c r="K19" s="25" t="s">
        <v>77</v>
      </c>
      <c r="L19" s="25" t="s">
        <v>61</v>
      </c>
      <c r="M19" s="23">
        <v>496</v>
      </c>
      <c r="N19" s="26"/>
      <c r="O19" s="26"/>
    </row>
    <row r="20" spans="1:15" x14ac:dyDescent="0.25">
      <c r="A20" s="23">
        <v>26974</v>
      </c>
      <c r="B20" s="23">
        <v>3</v>
      </c>
      <c r="C20" s="24" t="s">
        <v>136</v>
      </c>
      <c r="D20" s="23">
        <v>299217</v>
      </c>
      <c r="E20" s="24" t="s">
        <v>153</v>
      </c>
      <c r="F20" s="25">
        <v>46228</v>
      </c>
      <c r="G20" s="23" t="s">
        <v>138</v>
      </c>
      <c r="H20" s="25">
        <v>46206</v>
      </c>
      <c r="I20" s="25">
        <v>46213</v>
      </c>
      <c r="J20" s="25" t="s">
        <v>77</v>
      </c>
      <c r="K20" s="25" t="s">
        <v>77</v>
      </c>
      <c r="L20" s="25" t="s">
        <v>61</v>
      </c>
      <c r="M20" s="23">
        <v>285</v>
      </c>
      <c r="N20" s="26"/>
      <c r="O20" s="26"/>
    </row>
    <row r="21" spans="1:15" x14ac:dyDescent="0.25">
      <c r="A21" s="23">
        <v>26970</v>
      </c>
      <c r="B21" s="23">
        <v>3</v>
      </c>
      <c r="C21" s="24" t="s">
        <v>136</v>
      </c>
      <c r="D21" s="23">
        <v>299209</v>
      </c>
      <c r="E21" s="24" t="s">
        <v>154</v>
      </c>
      <c r="F21" s="25">
        <v>46228</v>
      </c>
      <c r="G21" s="23" t="s">
        <v>155</v>
      </c>
      <c r="H21" s="25">
        <v>46213</v>
      </c>
      <c r="I21" s="25">
        <v>46220</v>
      </c>
      <c r="J21" s="25" t="s">
        <v>77</v>
      </c>
      <c r="K21" s="25" t="s">
        <v>77</v>
      </c>
      <c r="L21" s="25" t="s">
        <v>61</v>
      </c>
      <c r="M21" s="23">
        <v>285</v>
      </c>
      <c r="N21" s="26"/>
      <c r="O21" s="26"/>
    </row>
    <row r="22" spans="1:15" x14ac:dyDescent="0.25">
      <c r="A22" s="23">
        <v>26641</v>
      </c>
      <c r="B22" s="23">
        <v>2</v>
      </c>
      <c r="C22" s="24" t="s">
        <v>136</v>
      </c>
      <c r="D22" s="23">
        <v>299217</v>
      </c>
      <c r="E22" s="24" t="s">
        <v>153</v>
      </c>
      <c r="F22" s="25">
        <v>46228</v>
      </c>
      <c r="G22" s="23" t="s">
        <v>138</v>
      </c>
      <c r="H22" s="25">
        <v>46206</v>
      </c>
      <c r="I22" s="25">
        <v>46213</v>
      </c>
      <c r="J22" s="25" t="s">
        <v>77</v>
      </c>
      <c r="K22" s="25" t="s">
        <v>77</v>
      </c>
      <c r="L22" s="25" t="s">
        <v>61</v>
      </c>
      <c r="M22" s="23">
        <v>285</v>
      </c>
      <c r="N22" s="26"/>
      <c r="O22" s="26"/>
    </row>
    <row r="23" spans="1:15" x14ac:dyDescent="0.25">
      <c r="A23" s="23">
        <v>27547</v>
      </c>
      <c r="B23" s="23">
        <v>1</v>
      </c>
      <c r="C23" s="24" t="s">
        <v>156</v>
      </c>
      <c r="D23" s="23">
        <v>1573002</v>
      </c>
      <c r="E23" s="24" t="s">
        <v>157</v>
      </c>
      <c r="F23" s="25">
        <v>46233</v>
      </c>
      <c r="G23" s="23" t="s">
        <v>138</v>
      </c>
      <c r="H23" s="25" t="s">
        <v>77</v>
      </c>
      <c r="I23" s="25" t="s">
        <v>77</v>
      </c>
      <c r="J23" s="25">
        <v>46220</v>
      </c>
      <c r="K23" s="25">
        <v>46232</v>
      </c>
      <c r="L23" s="25" t="s">
        <v>61</v>
      </c>
      <c r="M23" s="23">
        <v>493</v>
      </c>
      <c r="N23" s="26">
        <v>112</v>
      </c>
      <c r="O23" s="26"/>
    </row>
    <row r="24" spans="1:15" x14ac:dyDescent="0.25">
      <c r="A24" s="23">
        <v>27547</v>
      </c>
      <c r="B24" s="23">
        <v>2</v>
      </c>
      <c r="C24" s="24" t="s">
        <v>156</v>
      </c>
      <c r="D24" s="23">
        <v>1573001</v>
      </c>
      <c r="E24" s="24" t="s">
        <v>158</v>
      </c>
      <c r="F24" s="25">
        <v>46233</v>
      </c>
      <c r="G24" s="23" t="s">
        <v>138</v>
      </c>
      <c r="H24" s="25" t="s">
        <v>77</v>
      </c>
      <c r="I24" s="25" t="s">
        <v>77</v>
      </c>
      <c r="J24" s="25">
        <v>46220</v>
      </c>
      <c r="K24" s="25">
        <v>46232</v>
      </c>
      <c r="L24" s="25" t="s">
        <v>61</v>
      </c>
      <c r="M24" s="23">
        <v>493</v>
      </c>
      <c r="N24" s="26">
        <v>112</v>
      </c>
      <c r="O24" s="26"/>
    </row>
    <row r="25" spans="1:15" x14ac:dyDescent="0.25">
      <c r="A25" s="23">
        <v>27575</v>
      </c>
      <c r="B25" s="23">
        <v>1</v>
      </c>
      <c r="C25" s="24" t="s">
        <v>159</v>
      </c>
      <c r="D25" s="23">
        <v>774016</v>
      </c>
      <c r="E25" s="24" t="s">
        <v>160</v>
      </c>
      <c r="F25" s="25">
        <v>46239</v>
      </c>
      <c r="G25" s="23" t="s">
        <v>155</v>
      </c>
      <c r="H25" s="25" t="s">
        <v>77</v>
      </c>
      <c r="I25" s="25" t="s">
        <v>77</v>
      </c>
      <c r="J25" s="25">
        <v>46220</v>
      </c>
      <c r="K25" s="25">
        <v>46238</v>
      </c>
      <c r="L25" s="25" t="s">
        <v>61</v>
      </c>
      <c r="M25" s="23">
        <v>285</v>
      </c>
      <c r="N25" s="26">
        <v>493</v>
      </c>
      <c r="O25" s="26"/>
    </row>
    <row r="26" spans="1:15" x14ac:dyDescent="0.25">
      <c r="A26" s="23">
        <v>27575</v>
      </c>
      <c r="B26" s="23">
        <v>2</v>
      </c>
      <c r="C26" s="24" t="s">
        <v>159</v>
      </c>
      <c r="D26" s="23">
        <v>774016</v>
      </c>
      <c r="E26" s="24" t="s">
        <v>160</v>
      </c>
      <c r="F26" s="25">
        <v>46239</v>
      </c>
      <c r="G26" s="23" t="s">
        <v>155</v>
      </c>
      <c r="H26" s="25" t="s">
        <v>77</v>
      </c>
      <c r="I26" s="25" t="s">
        <v>77</v>
      </c>
      <c r="J26" s="25">
        <v>46220</v>
      </c>
      <c r="K26" s="25">
        <v>46238</v>
      </c>
      <c r="L26" s="25" t="s">
        <v>61</v>
      </c>
      <c r="M26" s="23">
        <v>285</v>
      </c>
      <c r="N26" s="26">
        <v>493</v>
      </c>
      <c r="O26" s="26"/>
    </row>
    <row r="27" spans="1:15" x14ac:dyDescent="0.25">
      <c r="A27" s="23">
        <v>27575</v>
      </c>
      <c r="B27" s="23">
        <v>3</v>
      </c>
      <c r="C27" s="24" t="s">
        <v>159</v>
      </c>
      <c r="D27" s="23">
        <v>774017</v>
      </c>
      <c r="E27" s="24" t="s">
        <v>161</v>
      </c>
      <c r="F27" s="25">
        <v>46239</v>
      </c>
      <c r="G27" s="23" t="s">
        <v>155</v>
      </c>
      <c r="H27" s="25" t="s">
        <v>77</v>
      </c>
      <c r="I27" s="25" t="s">
        <v>77</v>
      </c>
      <c r="J27" s="25">
        <v>46220</v>
      </c>
      <c r="K27" s="25">
        <v>46238</v>
      </c>
      <c r="L27" s="25" t="s">
        <v>61</v>
      </c>
      <c r="M27" s="23">
        <v>285</v>
      </c>
      <c r="N27" s="26">
        <v>493</v>
      </c>
      <c r="O27" s="26"/>
    </row>
    <row r="28" spans="1:15" x14ac:dyDescent="0.25">
      <c r="A28" s="23">
        <v>27575</v>
      </c>
      <c r="B28" s="23">
        <v>4</v>
      </c>
      <c r="C28" s="24" t="s">
        <v>159</v>
      </c>
      <c r="D28" s="23">
        <v>774017</v>
      </c>
      <c r="E28" s="24" t="s">
        <v>161</v>
      </c>
      <c r="F28" s="25">
        <v>46239</v>
      </c>
      <c r="G28" s="23" t="s">
        <v>155</v>
      </c>
      <c r="H28" s="25" t="s">
        <v>77</v>
      </c>
      <c r="I28" s="25" t="s">
        <v>77</v>
      </c>
      <c r="J28" s="25">
        <v>46220</v>
      </c>
      <c r="K28" s="25">
        <v>46238</v>
      </c>
      <c r="L28" s="25" t="s">
        <v>61</v>
      </c>
      <c r="M28" s="23">
        <v>285</v>
      </c>
      <c r="N28" s="26">
        <v>493</v>
      </c>
      <c r="O28" s="26"/>
    </row>
    <row r="29" spans="1:15" x14ac:dyDescent="0.25">
      <c r="A29" s="23">
        <v>27524</v>
      </c>
      <c r="B29" s="23">
        <v>1</v>
      </c>
      <c r="C29" s="24" t="s">
        <v>136</v>
      </c>
      <c r="D29" s="23">
        <v>299528</v>
      </c>
      <c r="E29" s="24" t="s">
        <v>162</v>
      </c>
      <c r="F29" s="25">
        <v>46245</v>
      </c>
      <c r="G29" s="23" t="s">
        <v>138</v>
      </c>
      <c r="H29" s="25" t="s">
        <v>77</v>
      </c>
      <c r="I29" s="25" t="s">
        <v>77</v>
      </c>
      <c r="J29" s="25">
        <v>46234</v>
      </c>
      <c r="K29" s="25">
        <v>46244</v>
      </c>
      <c r="L29" s="25" t="s">
        <v>61</v>
      </c>
      <c r="M29" s="23">
        <v>285</v>
      </c>
      <c r="N29" s="26">
        <v>327</v>
      </c>
      <c r="O29" s="26"/>
    </row>
    <row r="30" spans="1:15" x14ac:dyDescent="0.25">
      <c r="A30" s="23">
        <v>27587</v>
      </c>
      <c r="B30" s="23">
        <v>1</v>
      </c>
      <c r="C30" s="24" t="s">
        <v>163</v>
      </c>
      <c r="D30" s="23">
        <v>1608001</v>
      </c>
      <c r="E30" s="24" t="s">
        <v>164</v>
      </c>
      <c r="F30" s="25">
        <v>46246</v>
      </c>
      <c r="G30" s="23" t="s">
        <v>155</v>
      </c>
      <c r="H30" s="25">
        <v>46213</v>
      </c>
      <c r="I30" s="25">
        <v>46226</v>
      </c>
      <c r="J30" s="25" t="s">
        <v>77</v>
      </c>
      <c r="K30" s="25" t="s">
        <v>77</v>
      </c>
      <c r="L30" s="25" t="s">
        <v>61</v>
      </c>
      <c r="M30" s="23">
        <v>124</v>
      </c>
      <c r="N30" s="26"/>
      <c r="O30" s="26"/>
    </row>
    <row r="31" spans="1:15" x14ac:dyDescent="0.25">
      <c r="A31" s="23">
        <v>27587</v>
      </c>
      <c r="B31" s="23">
        <v>2</v>
      </c>
      <c r="C31" s="24" t="s">
        <v>163</v>
      </c>
      <c r="D31" s="23">
        <v>1608002</v>
      </c>
      <c r="E31" s="24" t="s">
        <v>165</v>
      </c>
      <c r="F31" s="25">
        <v>46246</v>
      </c>
      <c r="G31" s="23" t="s">
        <v>155</v>
      </c>
      <c r="H31" s="25">
        <v>46213</v>
      </c>
      <c r="I31" s="25">
        <v>46226</v>
      </c>
      <c r="J31" s="25" t="s">
        <v>77</v>
      </c>
      <c r="K31" s="25" t="s">
        <v>77</v>
      </c>
      <c r="L31" s="25" t="s">
        <v>61</v>
      </c>
      <c r="M31" s="23">
        <v>124</v>
      </c>
      <c r="N31" s="26"/>
      <c r="O31" s="26"/>
    </row>
    <row r="32" spans="1:15" x14ac:dyDescent="0.25">
      <c r="A32" s="23">
        <v>27587</v>
      </c>
      <c r="B32" s="23">
        <v>3</v>
      </c>
      <c r="C32" s="24" t="s">
        <v>163</v>
      </c>
      <c r="D32" s="23">
        <v>1608002</v>
      </c>
      <c r="E32" s="24" t="s">
        <v>165</v>
      </c>
      <c r="F32" s="25">
        <v>46246</v>
      </c>
      <c r="G32" s="23" t="s">
        <v>155</v>
      </c>
      <c r="H32" s="25">
        <v>46213</v>
      </c>
      <c r="I32" s="25">
        <v>46226</v>
      </c>
      <c r="J32" s="25" t="s">
        <v>77</v>
      </c>
      <c r="K32" s="25" t="s">
        <v>77</v>
      </c>
      <c r="L32" s="25" t="s">
        <v>61</v>
      </c>
      <c r="M32" s="23">
        <v>124</v>
      </c>
      <c r="N32" s="26"/>
      <c r="O32" s="26"/>
    </row>
    <row r="33" spans="1:15" x14ac:dyDescent="0.25">
      <c r="A33" s="23">
        <v>27593</v>
      </c>
      <c r="B33" s="23">
        <v>1</v>
      </c>
      <c r="C33" s="24" t="s">
        <v>166</v>
      </c>
      <c r="D33" s="23">
        <v>1609001</v>
      </c>
      <c r="E33" s="24" t="s">
        <v>167</v>
      </c>
      <c r="F33" s="25">
        <v>46253</v>
      </c>
      <c r="G33" s="23" t="s">
        <v>155</v>
      </c>
      <c r="H33" s="29">
        <v>46213</v>
      </c>
      <c r="I33" s="29">
        <v>46228</v>
      </c>
      <c r="J33" s="26" t="s">
        <v>77</v>
      </c>
      <c r="K33" s="26" t="s">
        <v>77</v>
      </c>
      <c r="L33" s="25" t="s">
        <v>61</v>
      </c>
      <c r="M33" s="26">
        <v>327</v>
      </c>
      <c r="N33" s="26">
        <v>393</v>
      </c>
      <c r="O33" s="26"/>
    </row>
    <row r="34" spans="1:15" x14ac:dyDescent="0.25">
      <c r="A34" s="23">
        <v>27599</v>
      </c>
      <c r="B34" s="23">
        <v>1</v>
      </c>
      <c r="C34" s="24" t="s">
        <v>136</v>
      </c>
      <c r="D34" s="23">
        <v>299374</v>
      </c>
      <c r="E34" s="24" t="s">
        <v>141</v>
      </c>
      <c r="F34" s="25">
        <v>46254</v>
      </c>
      <c r="G34" s="23" t="s">
        <v>155</v>
      </c>
      <c r="H34" s="29">
        <v>46220</v>
      </c>
      <c r="I34" s="29">
        <v>46234</v>
      </c>
      <c r="J34" s="26" t="s">
        <v>77</v>
      </c>
      <c r="K34" s="26" t="s">
        <v>77</v>
      </c>
      <c r="L34" s="25" t="s">
        <v>61</v>
      </c>
      <c r="M34" s="26">
        <v>285</v>
      </c>
      <c r="N34" s="26"/>
      <c r="O34" s="26"/>
    </row>
    <row r="35" spans="1:15" x14ac:dyDescent="0.25">
      <c r="A35" s="23">
        <v>27542</v>
      </c>
      <c r="B35" s="23">
        <v>1</v>
      </c>
      <c r="C35" s="24" t="s">
        <v>136</v>
      </c>
      <c r="D35" s="23">
        <v>299528</v>
      </c>
      <c r="E35" s="24" t="s">
        <v>162</v>
      </c>
      <c r="F35" s="25">
        <v>46255</v>
      </c>
      <c r="G35" s="23" t="s">
        <v>138</v>
      </c>
      <c r="H35" s="26" t="s">
        <v>77</v>
      </c>
      <c r="I35" s="26" t="s">
        <v>77</v>
      </c>
      <c r="J35" s="29">
        <v>46241</v>
      </c>
      <c r="K35" s="29">
        <v>46254</v>
      </c>
      <c r="L35" s="25" t="s">
        <v>61</v>
      </c>
      <c r="M35" s="26">
        <v>285</v>
      </c>
      <c r="N35" s="26">
        <v>327</v>
      </c>
      <c r="O35" s="26"/>
    </row>
    <row r="36" spans="1:15" x14ac:dyDescent="0.25">
      <c r="A36" s="23">
        <v>27600</v>
      </c>
      <c r="B36" s="23">
        <v>1</v>
      </c>
      <c r="C36" s="24" t="s">
        <v>168</v>
      </c>
      <c r="D36" s="23" t="s">
        <v>77</v>
      </c>
      <c r="E36" s="24" t="s">
        <v>169</v>
      </c>
      <c r="F36" s="25">
        <v>46259</v>
      </c>
      <c r="G36" s="23" t="s">
        <v>155</v>
      </c>
      <c r="H36" s="29" t="s">
        <v>77</v>
      </c>
      <c r="I36" s="26" t="s">
        <v>77</v>
      </c>
      <c r="J36" s="29">
        <v>46248</v>
      </c>
      <c r="K36" s="29">
        <v>46255</v>
      </c>
      <c r="L36" s="25" t="s">
        <v>61</v>
      </c>
      <c r="M36" s="26">
        <v>285</v>
      </c>
      <c r="N36" s="26"/>
      <c r="O36" s="26"/>
    </row>
    <row r="37" spans="1:15" x14ac:dyDescent="0.25">
      <c r="A37" s="23">
        <v>27600</v>
      </c>
      <c r="B37" s="23">
        <v>5</v>
      </c>
      <c r="C37" s="24" t="s">
        <v>168</v>
      </c>
      <c r="D37" s="23" t="s">
        <v>77</v>
      </c>
      <c r="E37" s="24" t="s">
        <v>170</v>
      </c>
      <c r="F37" s="25">
        <v>46259</v>
      </c>
      <c r="G37" s="23" t="s">
        <v>155</v>
      </c>
      <c r="H37" s="29" t="s">
        <v>77</v>
      </c>
      <c r="I37" s="26" t="s">
        <v>77</v>
      </c>
      <c r="J37" s="29">
        <v>46248</v>
      </c>
      <c r="K37" s="29">
        <v>46255</v>
      </c>
      <c r="L37" s="25" t="s">
        <v>61</v>
      </c>
      <c r="M37" s="26">
        <v>285</v>
      </c>
      <c r="N37" s="26"/>
      <c r="O37" s="26"/>
    </row>
    <row r="38" spans="1:15" x14ac:dyDescent="0.25">
      <c r="A38" s="23">
        <v>27600</v>
      </c>
      <c r="B38" s="23">
        <v>9</v>
      </c>
      <c r="C38" s="24" t="s">
        <v>168</v>
      </c>
      <c r="D38" s="23" t="s">
        <v>77</v>
      </c>
      <c r="E38" s="24" t="s">
        <v>171</v>
      </c>
      <c r="F38" s="25">
        <v>46259</v>
      </c>
      <c r="G38" s="23" t="s">
        <v>155</v>
      </c>
      <c r="H38" s="29" t="s">
        <v>77</v>
      </c>
      <c r="I38" s="26" t="s">
        <v>77</v>
      </c>
      <c r="J38" s="29">
        <v>46248</v>
      </c>
      <c r="K38" s="29">
        <v>46255</v>
      </c>
      <c r="L38" s="25" t="s">
        <v>61</v>
      </c>
      <c r="M38" s="26">
        <v>285</v>
      </c>
      <c r="N38" s="26"/>
      <c r="O38" s="26"/>
    </row>
    <row r="39" spans="1:15" x14ac:dyDescent="0.25">
      <c r="A39" s="23">
        <v>27600</v>
      </c>
      <c r="B39" s="23">
        <v>13</v>
      </c>
      <c r="C39" s="24" t="s">
        <v>168</v>
      </c>
      <c r="D39" s="23" t="s">
        <v>77</v>
      </c>
      <c r="E39" s="24" t="s">
        <v>172</v>
      </c>
      <c r="F39" s="25">
        <v>46259</v>
      </c>
      <c r="G39" s="23" t="s">
        <v>155</v>
      </c>
      <c r="H39" s="29" t="s">
        <v>77</v>
      </c>
      <c r="I39" s="26" t="s">
        <v>77</v>
      </c>
      <c r="J39" s="29">
        <v>46248</v>
      </c>
      <c r="K39" s="29">
        <v>46255</v>
      </c>
      <c r="L39" s="25" t="s">
        <v>61</v>
      </c>
      <c r="M39" s="26">
        <v>285</v>
      </c>
      <c r="N39" s="26"/>
      <c r="O39" s="26"/>
    </row>
    <row r="40" spans="1:15" x14ac:dyDescent="0.25">
      <c r="A40" s="23">
        <v>27600</v>
      </c>
      <c r="B40" s="23">
        <v>2</v>
      </c>
      <c r="C40" s="24" t="s">
        <v>168</v>
      </c>
      <c r="D40" s="23" t="s">
        <v>77</v>
      </c>
      <c r="E40" s="24" t="s">
        <v>169</v>
      </c>
      <c r="F40" s="25">
        <v>46269</v>
      </c>
      <c r="G40" s="23" t="s">
        <v>155</v>
      </c>
      <c r="H40" s="29" t="s">
        <v>77</v>
      </c>
      <c r="I40" s="26" t="s">
        <v>77</v>
      </c>
      <c r="J40" s="29">
        <v>46248</v>
      </c>
      <c r="K40" s="29">
        <v>46255</v>
      </c>
      <c r="L40" s="25" t="s">
        <v>61</v>
      </c>
      <c r="M40" s="26">
        <v>285</v>
      </c>
      <c r="N40" s="26"/>
      <c r="O40" s="26"/>
    </row>
    <row r="41" spans="1:15" x14ac:dyDescent="0.25">
      <c r="A41" s="23">
        <v>27600</v>
      </c>
      <c r="B41" s="23">
        <v>6</v>
      </c>
      <c r="C41" s="24" t="s">
        <v>168</v>
      </c>
      <c r="D41" s="23" t="s">
        <v>77</v>
      </c>
      <c r="E41" s="24" t="s">
        <v>170</v>
      </c>
      <c r="F41" s="25">
        <v>46269</v>
      </c>
      <c r="G41" s="23" t="s">
        <v>155</v>
      </c>
      <c r="H41" s="29" t="s">
        <v>77</v>
      </c>
      <c r="I41" s="26" t="s">
        <v>77</v>
      </c>
      <c r="J41" s="29">
        <v>46248</v>
      </c>
      <c r="K41" s="29">
        <v>46255</v>
      </c>
      <c r="L41" s="25" t="s">
        <v>61</v>
      </c>
      <c r="M41" s="26">
        <v>285</v>
      </c>
      <c r="N41" s="26"/>
      <c r="O41" s="26"/>
    </row>
    <row r="42" spans="1:15" x14ac:dyDescent="0.25">
      <c r="A42" s="23">
        <v>27600</v>
      </c>
      <c r="B42" s="23">
        <v>10</v>
      </c>
      <c r="C42" s="24" t="s">
        <v>168</v>
      </c>
      <c r="D42" s="23" t="s">
        <v>77</v>
      </c>
      <c r="E42" s="24" t="s">
        <v>171</v>
      </c>
      <c r="F42" s="25">
        <v>46269</v>
      </c>
      <c r="G42" s="23" t="s">
        <v>155</v>
      </c>
      <c r="H42" s="29" t="s">
        <v>77</v>
      </c>
      <c r="I42" s="26" t="s">
        <v>77</v>
      </c>
      <c r="J42" s="29">
        <v>46248</v>
      </c>
      <c r="K42" s="29">
        <v>46255</v>
      </c>
      <c r="L42" s="25" t="s">
        <v>61</v>
      </c>
      <c r="M42" s="26">
        <v>285</v>
      </c>
      <c r="N42" s="26"/>
      <c r="O42" s="26"/>
    </row>
    <row r="43" spans="1:15" x14ac:dyDescent="0.25">
      <c r="A43" s="23">
        <v>27600</v>
      </c>
      <c r="B43" s="23">
        <v>14</v>
      </c>
      <c r="C43" s="24" t="s">
        <v>168</v>
      </c>
      <c r="D43" s="23" t="s">
        <v>77</v>
      </c>
      <c r="E43" s="24" t="s">
        <v>172</v>
      </c>
      <c r="F43" s="25">
        <v>46269</v>
      </c>
      <c r="G43" s="23" t="s">
        <v>155</v>
      </c>
      <c r="H43" s="29" t="s">
        <v>77</v>
      </c>
      <c r="I43" s="26" t="s">
        <v>77</v>
      </c>
      <c r="J43" s="29">
        <v>46248</v>
      </c>
      <c r="K43" s="29">
        <v>46255</v>
      </c>
      <c r="L43" s="25" t="s">
        <v>61</v>
      </c>
      <c r="M43" s="26">
        <v>285</v>
      </c>
      <c r="N43" s="26"/>
      <c r="O43" s="26"/>
    </row>
    <row r="44" spans="1:15" x14ac:dyDescent="0.25">
      <c r="A44" s="23">
        <v>27496</v>
      </c>
      <c r="B44" s="23">
        <v>1</v>
      </c>
      <c r="C44" s="24" t="s">
        <v>136</v>
      </c>
      <c r="D44" s="23">
        <v>299208</v>
      </c>
      <c r="E44" s="24" t="s">
        <v>173</v>
      </c>
      <c r="F44" s="25">
        <v>46269</v>
      </c>
      <c r="G44" s="23" t="s">
        <v>138</v>
      </c>
      <c r="H44" s="29">
        <v>46206</v>
      </c>
      <c r="I44" s="29">
        <v>46213</v>
      </c>
      <c r="J44" s="26" t="s">
        <v>77</v>
      </c>
      <c r="K44" s="26" t="s">
        <v>77</v>
      </c>
      <c r="L44" s="25" t="s">
        <v>61</v>
      </c>
      <c r="M44" s="26">
        <v>285</v>
      </c>
      <c r="N44" s="26"/>
      <c r="O44" s="26"/>
    </row>
    <row r="45" spans="1:15" x14ac:dyDescent="0.25">
      <c r="A45" s="23">
        <v>27600</v>
      </c>
      <c r="B45" s="23">
        <v>3</v>
      </c>
      <c r="C45" s="24" t="s">
        <v>168</v>
      </c>
      <c r="D45" s="23" t="s">
        <v>77</v>
      </c>
      <c r="E45" s="24" t="s">
        <v>169</v>
      </c>
      <c r="F45" s="25">
        <v>46279</v>
      </c>
      <c r="G45" s="23" t="s">
        <v>155</v>
      </c>
      <c r="H45" s="29" t="s">
        <v>77</v>
      </c>
      <c r="I45" s="26" t="s">
        <v>77</v>
      </c>
      <c r="J45" s="29">
        <v>46248</v>
      </c>
      <c r="K45" s="29">
        <v>46255</v>
      </c>
      <c r="L45" s="25" t="s">
        <v>61</v>
      </c>
      <c r="M45" s="26">
        <v>285</v>
      </c>
      <c r="N45" s="26"/>
      <c r="O45" s="26"/>
    </row>
    <row r="46" spans="1:15" x14ac:dyDescent="0.25">
      <c r="A46" s="23">
        <v>27600</v>
      </c>
      <c r="B46" s="23">
        <v>7</v>
      </c>
      <c r="C46" s="24" t="s">
        <v>168</v>
      </c>
      <c r="D46" s="23" t="s">
        <v>77</v>
      </c>
      <c r="E46" s="24" t="s">
        <v>170</v>
      </c>
      <c r="F46" s="25">
        <v>46279</v>
      </c>
      <c r="G46" s="23" t="s">
        <v>155</v>
      </c>
      <c r="H46" s="29" t="s">
        <v>77</v>
      </c>
      <c r="I46" s="26" t="s">
        <v>77</v>
      </c>
      <c r="J46" s="29">
        <v>46248</v>
      </c>
      <c r="K46" s="29">
        <v>46255</v>
      </c>
      <c r="L46" s="25" t="s">
        <v>61</v>
      </c>
      <c r="M46" s="26">
        <v>285</v>
      </c>
      <c r="N46" s="26"/>
      <c r="O46" s="26"/>
    </row>
    <row r="47" spans="1:15" x14ac:dyDescent="0.25">
      <c r="A47" s="23">
        <v>27600</v>
      </c>
      <c r="B47" s="23">
        <v>11</v>
      </c>
      <c r="C47" s="24" t="s">
        <v>168</v>
      </c>
      <c r="D47" s="23" t="s">
        <v>77</v>
      </c>
      <c r="E47" s="24" t="s">
        <v>171</v>
      </c>
      <c r="F47" s="25">
        <v>46279</v>
      </c>
      <c r="G47" s="23" t="s">
        <v>155</v>
      </c>
      <c r="H47" s="29" t="s">
        <v>77</v>
      </c>
      <c r="I47" s="26" t="s">
        <v>77</v>
      </c>
      <c r="J47" s="29">
        <v>46248</v>
      </c>
      <c r="K47" s="29">
        <v>46255</v>
      </c>
      <c r="L47" s="25" t="s">
        <v>61</v>
      </c>
      <c r="M47" s="26">
        <v>285</v>
      </c>
      <c r="N47" s="26"/>
      <c r="O47" s="26"/>
    </row>
    <row r="48" spans="1:15" x14ac:dyDescent="0.25">
      <c r="A48" s="23">
        <v>27600</v>
      </c>
      <c r="B48" s="23">
        <v>15</v>
      </c>
      <c r="C48" s="24" t="s">
        <v>168</v>
      </c>
      <c r="D48" s="23" t="s">
        <v>77</v>
      </c>
      <c r="E48" s="24" t="s">
        <v>172</v>
      </c>
      <c r="F48" s="25">
        <v>46279</v>
      </c>
      <c r="G48" s="23" t="s">
        <v>155</v>
      </c>
      <c r="H48" s="29" t="s">
        <v>77</v>
      </c>
      <c r="I48" s="26" t="s">
        <v>77</v>
      </c>
      <c r="J48" s="29">
        <v>46248</v>
      </c>
      <c r="K48" s="29">
        <v>46255</v>
      </c>
      <c r="L48" s="25" t="s">
        <v>61</v>
      </c>
      <c r="M48" s="26">
        <v>285</v>
      </c>
      <c r="N48" s="26"/>
      <c r="O48" s="26"/>
    </row>
    <row r="49" spans="1:15" x14ac:dyDescent="0.25">
      <c r="A49" s="23">
        <v>27600</v>
      </c>
      <c r="B49" s="23">
        <v>4</v>
      </c>
      <c r="C49" s="24" t="s">
        <v>168</v>
      </c>
      <c r="D49" s="23" t="s">
        <v>77</v>
      </c>
      <c r="E49" s="24" t="s">
        <v>169</v>
      </c>
      <c r="F49" s="25">
        <v>46289</v>
      </c>
      <c r="G49" s="23" t="s">
        <v>155</v>
      </c>
      <c r="H49" s="29" t="s">
        <v>77</v>
      </c>
      <c r="I49" s="26" t="s">
        <v>77</v>
      </c>
      <c r="J49" s="29">
        <v>46248</v>
      </c>
      <c r="K49" s="29">
        <v>46255</v>
      </c>
      <c r="L49" s="25" t="s">
        <v>61</v>
      </c>
      <c r="M49" s="26">
        <v>285</v>
      </c>
      <c r="N49" s="26"/>
      <c r="O49" s="26"/>
    </row>
    <row r="50" spans="1:15" x14ac:dyDescent="0.25">
      <c r="A50" s="23">
        <v>27600</v>
      </c>
      <c r="B50" s="23">
        <v>8</v>
      </c>
      <c r="C50" s="24" t="s">
        <v>168</v>
      </c>
      <c r="D50" s="23" t="s">
        <v>77</v>
      </c>
      <c r="E50" s="24" t="s">
        <v>170</v>
      </c>
      <c r="F50" s="25">
        <v>46289</v>
      </c>
      <c r="G50" s="23" t="s">
        <v>155</v>
      </c>
      <c r="H50" s="29" t="s">
        <v>77</v>
      </c>
      <c r="I50" s="26" t="s">
        <v>77</v>
      </c>
      <c r="J50" s="29">
        <v>46248</v>
      </c>
      <c r="K50" s="29">
        <v>46255</v>
      </c>
      <c r="L50" s="25" t="s">
        <v>61</v>
      </c>
      <c r="M50" s="26">
        <v>285</v>
      </c>
      <c r="N50" s="26"/>
      <c r="O50" s="26"/>
    </row>
    <row r="51" spans="1:15" x14ac:dyDescent="0.25">
      <c r="A51" s="23">
        <v>27600</v>
      </c>
      <c r="B51" s="23">
        <v>12</v>
      </c>
      <c r="C51" s="24" t="s">
        <v>168</v>
      </c>
      <c r="D51" s="23" t="s">
        <v>77</v>
      </c>
      <c r="E51" s="24" t="s">
        <v>171</v>
      </c>
      <c r="F51" s="25">
        <v>46289</v>
      </c>
      <c r="G51" s="23" t="s">
        <v>155</v>
      </c>
      <c r="H51" s="29" t="s">
        <v>77</v>
      </c>
      <c r="I51" s="26" t="s">
        <v>77</v>
      </c>
      <c r="J51" s="29">
        <v>46248</v>
      </c>
      <c r="K51" s="29">
        <v>46255</v>
      </c>
      <c r="L51" s="25" t="s">
        <v>61</v>
      </c>
      <c r="M51" s="26">
        <v>285</v>
      </c>
      <c r="N51" s="26"/>
      <c r="O51" s="26"/>
    </row>
    <row r="52" spans="1:15" x14ac:dyDescent="0.25">
      <c r="A52" s="23">
        <v>27600</v>
      </c>
      <c r="B52" s="23">
        <v>16</v>
      </c>
      <c r="C52" s="24" t="s">
        <v>168</v>
      </c>
      <c r="D52" s="23" t="s">
        <v>77</v>
      </c>
      <c r="E52" s="24" t="s">
        <v>172</v>
      </c>
      <c r="F52" s="25">
        <v>46289</v>
      </c>
      <c r="G52" s="23" t="s">
        <v>155</v>
      </c>
      <c r="H52" s="29" t="s">
        <v>77</v>
      </c>
      <c r="I52" s="26" t="s">
        <v>77</v>
      </c>
      <c r="J52" s="29">
        <v>46248</v>
      </c>
      <c r="K52" s="29">
        <v>46255</v>
      </c>
      <c r="L52" s="25" t="s">
        <v>61</v>
      </c>
      <c r="M52" s="26">
        <v>285</v>
      </c>
      <c r="N52" s="26"/>
      <c r="O52" s="26"/>
    </row>
    <row r="53" spans="1:15" x14ac:dyDescent="0.25">
      <c r="A53" s="23">
        <v>27597</v>
      </c>
      <c r="B53" s="23">
        <v>1</v>
      </c>
      <c r="C53" s="24" t="s">
        <v>136</v>
      </c>
      <c r="D53" s="23">
        <v>299303</v>
      </c>
      <c r="E53" s="24" t="s">
        <v>152</v>
      </c>
      <c r="F53" s="25">
        <v>46332</v>
      </c>
      <c r="G53" s="23" t="s">
        <v>155</v>
      </c>
      <c r="H53" s="29">
        <v>46297</v>
      </c>
      <c r="I53" s="29">
        <v>46307</v>
      </c>
      <c r="J53" s="26" t="s">
        <v>77</v>
      </c>
      <c r="K53" s="26" t="s">
        <v>77</v>
      </c>
      <c r="L53" s="25" t="s">
        <v>61</v>
      </c>
      <c r="M53" s="26">
        <v>496</v>
      </c>
      <c r="N53" s="26"/>
      <c r="O53" s="26"/>
    </row>
  </sheetData>
  <autoFilter ref="A1:K53" xr:uid="{276B14C1-1A52-4B27-91DF-D329FDD63C7A}"/>
  <mergeCells count="1">
    <mergeCell ref="M1:O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 NOVAS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2026-06-22T13:04:02Z</cp:lastPrinted>
  <dcterms:created xsi:type="dcterms:W3CDTF">2026-04-23T13:37:28Z</dcterms:created>
  <dcterms:modified xsi:type="dcterms:W3CDTF">2026-06-23T17:55:13Z</dcterms:modified>
</cp:coreProperties>
</file>