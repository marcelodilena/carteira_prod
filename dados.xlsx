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94AC9D9-1AAE-4A1C-AB74-2208A1716180}" xr6:coauthVersionLast="47" xr6:coauthVersionMax="47" xr10:uidLastSave="{00000000-0000-0000-0000-000000000000}"/>
  <bookViews>
    <workbookView xWindow="-120" yWindow="-120" windowWidth="29040" windowHeight="15720" activeTab="7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7" i="8" l="1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<sst xmlns="http://schemas.openxmlformats.org/spreadsheetml/2006/main" count="6833" uniqueCount="423">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</sst>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5" dataDxfId="214">
  <autoFilter ref="A1:AI114" xr:uid="{0B979512-8F08-4F92-A755-B1320B33B48D}">
    <filterColumn colId="0">
      <filters>
        <filter val="2203"/>
      </filters>
    </filterColumn>
  </autoFilter>
  <tableColumns count="35">
    <tableColumn id="1" xr3:uid="{2AE87B23-57FB-4D7F-8BFD-D65EC0053BA3}" name="PV" dataDxfId="213"/>
    <tableColumn id="2" xr3:uid="{81052488-0765-4420-B185-DA73AE55FD88}" name="Item" dataDxfId="212"/>
    <tableColumn id="3" xr3:uid="{0E7DB960-0044-4341-ADB4-2A033B27B993}" name="O.S." dataDxfId="211"/>
    <tableColumn id="4" xr3:uid="{B0F20CBE-FFF4-445B-B0BF-7A9C6A140189}" name="Item2" dataDxfId="210"/>
    <tableColumn id="5" xr3:uid="{D1656E30-4AB0-4CD0-BF13-6D5A49C6E4A0}" name="Cliente" dataDxfId="209"/>
    <tableColumn id="6" xr3:uid="{71A11213-5711-429D-A6E0-A2F44677AD5D}" name="Peça" dataDxfId="208"/>
    <tableColumn id="7" xr3:uid="{3F7FD9F6-0726-4021-82B3-E31575A97A46}" name="Seq." dataDxfId="207"/>
    <tableColumn id="8" xr3:uid="{0D871CDA-AC7B-4365-B4FD-95C8967CF254}" name="Descrição" dataDxfId="206"/>
    <tableColumn id="9" xr3:uid="{9C6311D3-DE8E-4A12-8716-11D7CF745EA9}" name="Qtde." dataDxfId="205"/>
    <tableColumn id="10" xr3:uid="{0D119764-5D6A-44D7-A0C6-EAAE37326AEF}" name="Prazo_x000a_Fundido" dataDxfId="204"/>
    <tableColumn id="20" xr3:uid="{2835FDBA-B893-4E1E-9252-D088967B6B9B}" name="Semana_x000a_Fundido" dataDxfId="203">
      <calculatedColumnFormula>WEEKNUM(Tabela1[[#This Row],[Prazo
Fundido]])</calculatedColumnFormula>
    </tableColumn>
    <tableColumn id="11" xr3:uid="{357F67DE-6B6F-4353-906F-4FBB26ED7226}" name="Pz Fundido_x000a_Real" dataDxfId="202"/>
    <tableColumn id="12" xr3:uid="{5CF37CA2-8EC2-4A06-8A50-1305C1129D14}" name="Prazo_x000a_Entrega" dataDxfId="201"/>
    <tableColumn id="36" xr3:uid="{903E641C-0F4A-465E-9B87-4C77A3724350}" name="Pz Entrega_x000a_Real" dataDxfId="200"/>
    <tableColumn id="14" xr3:uid="{49E3A48F-4FBA-45ED-9BE5-0D3F2C039F64}" name="Dias_x000a_Falta2" dataDxfId="199">
      <calculatedColumnFormula>Tabela1[[#This Row],[Prazo
Entrega]]-TODAY()</calculatedColumnFormula>
    </tableColumn>
    <tableColumn id="24" xr3:uid="{FE82CCB3-C196-4A10-9CDF-EC3AAB610284}" name="Indicador" dataDxfId="198">
      <calculatedColumnFormula>IF(O2&lt;0,"ATRASADO",IF(O2&lt;=15,"ATENÇÃO","NO PRAZO"))</calculatedColumnFormula>
    </tableColumn>
    <tableColumn id="21" xr3:uid="{0E3EA19A-D149-4026-9EFA-582C442CDE24}" name="Semana_x000a_Entrega" dataDxfId="197">
      <calculatedColumnFormula>WEEKNUM(Tabela1[[#This Row],[Prazo
Entrega]],1)</calculatedColumnFormula>
    </tableColumn>
    <tableColumn id="22" xr3:uid="{8BBF8940-A612-415C-B30B-5BED69C42E59}" name="CONDIÇÃO" dataDxfId="196"/>
    <tableColumn id="35" xr3:uid="{DF0F32C7-2632-41CB-B20E-BE67D32DDFF8}" name="Desenho_x000a_Previsão" dataDxfId="195"/>
    <tableColumn id="33" xr3:uid="{B0C0F319-983E-42D8-8584-16523AED9BC7}" name="Des." dataDxfId="194"/>
    <tableColumn id="32" xr3:uid="{BB84EAAB-24E7-433E-8DE8-B7705F525D65}" name="Plainar" dataDxfId="193"/>
    <tableColumn id="31" xr3:uid="{811011C2-9E33-4F8A-BCD2-260DDF4CC060}" name="Facear" dataDxfId="192"/>
    <tableColumn id="30" xr3:uid="{EFE986D2-325F-4223-A6FC-89AFC0782517}" name="Serrar" dataDxfId="191"/>
    <tableColumn id="29" xr3:uid="{806CC413-43AC-4EDE-9413-A2852780B283}" name="Solda Dura" dataDxfId="190"/>
    <tableColumn id="28" xr3:uid="{669E3B74-6C47-4551-B95C-DE764412CB09}" name="Encaixe" dataDxfId="189"/>
    <tableColumn id="27" xr3:uid="{33B1427B-026C-4955-BEDC-C39ECFB35542}" name="Furação" dataDxfId="188"/>
    <tableColumn id="34" xr3:uid="{2004DA6B-65E8-4CFF-8DD6-03937C8E23A7}" name="Acabam." dataDxfId="187"/>
    <tableColumn id="25" xr3:uid="{94AD153B-B1BE-422C-9B64-A3F125946AE5}" name="Liberação" dataDxfId="186"/>
    <tableColumn id="23" xr3:uid="{6FFD36BA-4C85-4732-ACA9-BC9D46F4C26B}" name="Status Usinagem" dataDxfId="185">
      <calculatedColumnFormula>IF(L2="","AG. FUNDIDO",IF(U2="AG","AG. USINAGEM","EM USINAGEM"))</calculatedColumnFormula>
    </tableColumn>
    <tableColumn id="26" xr3:uid="{DF8CD1DA-6F25-4291-9F78-DB8D5E9AF463}" name="Observação" dataDxfId="184"/>
    <tableColumn id="15" xr3:uid="{8F53CFFE-8E1C-41F5-9090-488AE701829C}" name="Plainar_x000a_Facear" dataDxfId="183"/>
    <tableColumn id="16" xr3:uid="{EB12A620-BA24-453B-B639-A28F83CF7950}" name="Serrar2" dataDxfId="182"/>
    <tableColumn id="17" xr3:uid="{46D65A07-940A-4560-AFE5-056D37171937}" name="Solda_x000a_Dura2" dataDxfId="181"/>
    <tableColumn id="18" xr3:uid="{97823986-0C6D-4D6F-9BEE-2E43C2286AB2}" name="Encaixe /_x000a_Furação" dataDxfId="180"/>
    <tableColumn id="19" xr3:uid="{6F1924AE-480F-421A-BD70-FA16D1D4E641}" name="Acabam./_x000a_Inspeção" dataDxfId="1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3" totalsRowShown="0" headerRowDxfId="178" dataDxfId="177">
  <autoFilter ref="A1:V163" xr:uid="{71E71FAB-CF6D-4765-90BA-ABDE8C3299DB}">
    <filterColumn colId="4">
      <filters>
        <filter val="MS Internacional"/>
      </filters>
    </filterColumn>
  </autoFilter>
  <tableColumns count="22">
    <tableColumn id="1" xr3:uid="{8F000DF9-1B1A-450A-B138-9EDBA7F17698}" name="PV" dataDxfId="176"/>
    <tableColumn id="2" xr3:uid="{4269DD7F-E557-42AF-949B-69AB74B45D7E}" name="Item" dataDxfId="175"/>
    <tableColumn id="3" xr3:uid="{B8E3D127-9007-43BC-9B71-611446984BAE}" name="O.S." dataDxfId="174"/>
    <tableColumn id="4" xr3:uid="{8A9FBC4E-431D-4132-B7C4-86DD1CC31C1D}" name="Item2" dataDxfId="173"/>
    <tableColumn id="5" xr3:uid="{E43CCBA4-A724-44DA-9BFB-2AD45322EC54}" name="Cliente" dataDxfId="172"/>
    <tableColumn id="6" xr3:uid="{301560AA-7C28-4FE5-AC00-2A14532B12A0}" name="Peça" dataDxfId="171"/>
    <tableColumn id="7" xr3:uid="{864BB541-5CD2-4DAB-AEC1-ADDD341A77F2}" name="Seq." dataDxfId="170"/>
    <tableColumn id="8" xr3:uid="{39F09B1D-71EC-461C-93C5-C5FCECCA0EC0}" name="Descrição" dataDxfId="169"/>
    <tableColumn id="9" xr3:uid="{0CC8781A-4370-473C-AD18-F562622EB79C}" name="Qtde." dataDxfId="168"/>
    <tableColumn id="10" xr3:uid="{8FC48674-090B-441A-B05D-5E7E4AB5177C}" name="Prazo_x000a_Fundido" dataDxfId="167"/>
    <tableColumn id="11" xr3:uid="{2B85402B-261F-4CF1-8AC4-DE439E438480}" name="Semana_x000a_Fundido" dataDxfId="166">
      <calculatedColumnFormula>WEEKNUM(Tabela3[[#This Row],[Prazo
Fundido]])</calculatedColumnFormula>
    </tableColumn>
    <tableColumn id="12" xr3:uid="{F410DF31-AFC5-4525-B8D3-A2AB464611B3}" name="Pz Fundido_x000a_Real" dataDxfId="165"/>
    <tableColumn id="13" xr3:uid="{7330A8B8-B0FE-4571-921F-35503842576A}" name="Prazo_x000a_Entrega" dataDxfId="164"/>
    <tableColumn id="23" xr3:uid="{050BF892-6E0A-4C1A-85E3-06353D54D7AC}" name="Pz Entrega_x000a_Real" dataDxfId="163"/>
    <tableColumn id="22" xr3:uid="{07396B9E-F2A0-47CC-B1C1-8D6A8D782E82}" name="Desenho_x000a_Previsão" dataDxfId="162"/>
    <tableColumn id="14" xr3:uid="{98904960-EE6F-4F44-87C3-8646B8C2D461}" name="Des." dataDxfId="161"/>
    <tableColumn id="15" xr3:uid="{4C38D84D-3A40-493A-A007-3826C38C0F9D}" name="Dias_x000a_Falta2" dataDxfId="160">
      <calculatedColumnFormula>Tabela3[[#This Row],[Prazo
Entrega]]-TODAY()</calculatedColumnFormula>
    </tableColumn>
    <tableColumn id="16" xr3:uid="{431C9D70-8530-4071-911B-7AAC65DE848C}" name="Indicador" dataDxfId="159">
      <calculatedColumnFormula>IF(Q2&lt;0,"ATRASADO",IF(Q2&lt;=15,"ATENÇÃO","NO PRAZO"))</calculatedColumnFormula>
    </tableColumn>
    <tableColumn id="17" xr3:uid="{37B1BAB9-4A72-4AB5-85A7-CFF0F27D94A6}" name="Semana_x000a_Entrega" dataDxfId="158">
      <calculatedColumnFormula>WEEKNUM(Tabela3[[#This Row],[Prazo
Entrega]])</calculatedColumnFormula>
    </tableColumn>
    <tableColumn id="19" xr3:uid="{A127FC22-0D53-4D0F-B783-28394B3FD90C}" name="CONDIÇÃO" dataDxfId="157"/>
    <tableColumn id="20" xr3:uid="{F610A49E-78E2-480E-B901-6B99A41E5174}" name="Status Usinagem" dataDxfId="156"/>
    <tableColumn id="21" xr3:uid="{FA7288EB-0143-4C36-8591-BF7231A8226E}" name="Observaçã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6" dataDxfId="125">
  <autoFilter ref="A1:T123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B1" zoomScaleNormal="100" zoomScaleSheetLayoutView="100" workbookViewId="0">
      <selection activeCell="E46" sqref="E46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3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101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10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77</v>
      </c>
      <c r="Y3" s="10" t="s">
        <v>69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10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69</v>
      </c>
      <c r="Z4" s="10" t="s">
        <v>69</v>
      </c>
      <c r="AA4" s="10" t="s">
        <v>69</v>
      </c>
      <c r="AB4" s="10" t="s">
        <v>72</v>
      </c>
      <c r="AC4" s="10" t="s">
        <v>258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10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10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10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3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3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3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101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3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10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77</v>
      </c>
      <c r="Y12" s="10" t="s">
        <v>69</v>
      </c>
      <c r="Z12" s="10" t="s">
        <v>85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10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10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10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3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101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3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101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3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17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85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10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85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17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17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0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85</v>
      </c>
      <c r="AA24" s="10" t="s">
        <v>69</v>
      </c>
      <c r="AB24" s="10" t="s">
        <v>69</v>
      </c>
      <c r="AC24" s="10" t="s">
        <v>101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0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85</v>
      </c>
      <c r="AA25" s="10" t="s">
        <v>69</v>
      </c>
      <c r="AB25" s="10" t="s">
        <v>69</v>
      </c>
      <c r="AC25" s="10" t="s">
        <v>101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0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85</v>
      </c>
      <c r="AA26" s="10" t="s">
        <v>69</v>
      </c>
      <c r="AB26" s="10" t="s">
        <v>69</v>
      </c>
      <c r="AC26" s="10" t="s">
        <v>101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0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85</v>
      </c>
      <c r="AA27" s="10" t="s">
        <v>69</v>
      </c>
      <c r="AB27" s="10" t="s">
        <v>69</v>
      </c>
      <c r="AC27" s="10" t="s">
        <v>101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0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85</v>
      </c>
      <c r="AA28" s="10" t="s">
        <v>69</v>
      </c>
      <c r="AB28" s="10" t="s">
        <v>69</v>
      </c>
      <c r="AC28" s="10" t="s">
        <v>101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0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85</v>
      </c>
      <c r="AA29" s="10" t="s">
        <v>69</v>
      </c>
      <c r="AB29" s="10" t="s">
        <v>69</v>
      </c>
      <c r="AC29" s="10" t="s">
        <v>101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17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3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101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17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17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17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85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17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17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17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24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24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24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24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24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24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24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24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24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24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85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31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31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31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31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31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31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31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31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31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31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38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38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24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24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24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24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24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24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24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38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38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45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45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45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45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45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45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49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49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49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25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85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25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56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56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85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100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100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100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100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100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100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71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71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71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71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71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146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146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146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146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146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146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146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146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146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146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146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146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146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146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146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115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115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115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115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115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3"/>
  <sheetViews>
    <sheetView workbookViewId="0">
      <selection activeCell="F157" sqref="F15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258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258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258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258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258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258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258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258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258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258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258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258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23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23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23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23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23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56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56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56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56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56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56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56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56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56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56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56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56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66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66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66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66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66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66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66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66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66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66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66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66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66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66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66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76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76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76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76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76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76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76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76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76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76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76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76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76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76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76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56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56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56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86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86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86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86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86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86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86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86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86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115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115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115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115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115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115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115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115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115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115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115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115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115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115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115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115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115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115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115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115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115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115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115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115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115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115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115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115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115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115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115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115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115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115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115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115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115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115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115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115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10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hidden="1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10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hidden="1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10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hidden="1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10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hidden="1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10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23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38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38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23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23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38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38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23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23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23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23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23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23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23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23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38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23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23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38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38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9" t="s">
        <v>412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31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90</v>
      </c>
      <c r="U157" s="10" t="s">
        <v>61</v>
      </c>
      <c r="V157" s="10"/>
    </row>
    <row r="158" spans="1:22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9" t="s">
        <v>412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31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90</v>
      </c>
      <c r="U158" s="10" t="s">
        <v>61</v>
      </c>
      <c r="V158" s="10"/>
    </row>
    <row r="159" spans="1:22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9" t="s">
        <v>412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31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90</v>
      </c>
      <c r="U159" s="10" t="s">
        <v>61</v>
      </c>
      <c r="V159" s="10"/>
    </row>
    <row r="160" spans="1:22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9" t="s">
        <v>412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31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90</v>
      </c>
      <c r="U160" s="10" t="s">
        <v>61</v>
      </c>
      <c r="V160" s="10"/>
    </row>
    <row r="161" spans="1:22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9" t="s">
        <v>412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31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90</v>
      </c>
      <c r="U161" s="10" t="s">
        <v>61</v>
      </c>
      <c r="V161" s="10"/>
    </row>
    <row r="162" spans="1:22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9" t="s">
        <v>412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31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90</v>
      </c>
      <c r="U162" s="10" t="s">
        <v>61</v>
      </c>
      <c r="V162" s="10"/>
    </row>
    <row r="163" spans="1:22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9" t="s">
        <v>411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31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90</v>
      </c>
      <c r="U163" s="10" t="s">
        <v>61</v>
      </c>
      <c r="V16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59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59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29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29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29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85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29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56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56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56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56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56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85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85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85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70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70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70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70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70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70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70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70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70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164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164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164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>
        <v>187095</v>
      </c>
      <c r="G29" s="14"/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76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>
        <v>187095</v>
      </c>
      <c r="G30" s="14"/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76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>
        <v>187095</v>
      </c>
      <c r="G31" s="14"/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76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164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164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164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164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85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85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85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85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1" workbookViewId="0">
      <selection activeCell="R108" sqref="R10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44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391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44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391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44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391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44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391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44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391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44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391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44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391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44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391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-32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166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394</v>
      </c>
      <c r="T11" t="s">
        <v>395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166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394</v>
      </c>
      <c r="T12" t="s">
        <v>396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166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394</v>
      </c>
      <c r="T13" t="s">
        <v>397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166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392</v>
      </c>
      <c r="T14" t="s">
        <v>393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166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392</v>
      </c>
      <c r="T15" t="s">
        <v>393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166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392</v>
      </c>
      <c r="T16" t="s">
        <v>393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71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71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166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166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166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166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166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166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166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166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166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166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166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166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166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166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166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166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166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166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166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166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166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166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166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166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166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166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166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166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166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166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166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166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166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166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-7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146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146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146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146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146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146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146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390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146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390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146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390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146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146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146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146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146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146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146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146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146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146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146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146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146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146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146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146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146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146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146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146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146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146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146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146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146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146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-7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19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69" t="s">
        <v>398</v>
      </c>
      <c r="J90" s="16" t="s">
        <v>77</v>
      </c>
      <c r="K90" s="16" t="s">
        <v>77</v>
      </c>
      <c r="L90" s="7">
        <v>46371</v>
      </c>
      <c r="N90" s="13">
        <f ca="1">Tabela4[[#This Row],[Prazo
Entrega]]-TODAY()</f>
        <v>161</v>
      </c>
      <c r="O90" t="str">
        <f t="shared" ref="O90:O97" ca="1" si="12">IF(N90&lt;0,"ATRASADO",IF(N90&lt;=15,"ATENÇÃO","NO PRAZO"))</f>
        <v>NO PRAZO</v>
      </c>
      <c r="P90" s="16" t="s">
        <v>77</v>
      </c>
      <c r="Q90" s="11">
        <v>46264</v>
      </c>
      <c r="R90" s="1" t="s">
        <v>100</v>
      </c>
      <c r="S90" t="s">
        <v>120</v>
      </c>
    </row>
    <row r="91" spans="1:19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69" t="s">
        <v>398</v>
      </c>
      <c r="J91" s="16" t="s">
        <v>77</v>
      </c>
      <c r="K91" s="16" t="s">
        <v>77</v>
      </c>
      <c r="L91" s="7">
        <v>46371</v>
      </c>
      <c r="N91" s="13">
        <f ca="1">Tabela4[[#This Row],[Prazo
Entrega]]-TODAY()</f>
        <v>161</v>
      </c>
      <c r="O91" t="str">
        <f t="shared" ca="1" si="12"/>
        <v>NO PRAZO</v>
      </c>
      <c r="P91" s="16" t="s">
        <v>77</v>
      </c>
      <c r="Q91" s="11">
        <v>46264</v>
      </c>
      <c r="R91" s="1" t="s">
        <v>100</v>
      </c>
      <c r="S91" t="s">
        <v>120</v>
      </c>
    </row>
    <row r="92" spans="1:19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69" t="s">
        <v>399</v>
      </c>
      <c r="J92" s="16" t="s">
        <v>77</v>
      </c>
      <c r="K92" s="16" t="s">
        <v>77</v>
      </c>
      <c r="L92" s="7">
        <v>46371</v>
      </c>
      <c r="N92" s="13">
        <f ca="1">Tabela4[[#This Row],[Prazo
Entrega]]-TODAY()</f>
        <v>161</v>
      </c>
      <c r="O92" t="str">
        <f t="shared" ca="1" si="12"/>
        <v>NO PRAZO</v>
      </c>
      <c r="P92" s="16" t="s">
        <v>77</v>
      </c>
      <c r="Q92" s="11">
        <v>46264</v>
      </c>
      <c r="R92" s="1" t="s">
        <v>100</v>
      </c>
      <c r="S92" t="s">
        <v>120</v>
      </c>
    </row>
    <row r="93" spans="1:19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69" t="s">
        <v>399</v>
      </c>
      <c r="J93" s="16" t="s">
        <v>77</v>
      </c>
      <c r="K93" s="16" t="s">
        <v>77</v>
      </c>
      <c r="L93" s="7">
        <v>46371</v>
      </c>
      <c r="N93" s="13">
        <f ca="1">Tabela4[[#This Row],[Prazo
Entrega]]-TODAY()</f>
        <v>161</v>
      </c>
      <c r="O93" t="str">
        <f t="shared" ca="1" si="12"/>
        <v>NO PRAZO</v>
      </c>
      <c r="P93" s="16" t="s">
        <v>77</v>
      </c>
      <c r="Q93" s="11">
        <v>46264</v>
      </c>
      <c r="R93" s="1" t="s">
        <v>100</v>
      </c>
      <c r="S93" t="s">
        <v>120</v>
      </c>
    </row>
    <row r="94" spans="1:19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69" t="s">
        <v>400</v>
      </c>
      <c r="J94" s="16" t="s">
        <v>77</v>
      </c>
      <c r="K94" s="16" t="s">
        <v>77</v>
      </c>
      <c r="L94" s="7">
        <v>46371</v>
      </c>
      <c r="N94" s="13">
        <f ca="1">Tabela4[[#This Row],[Prazo
Entrega]]-TODAY()</f>
        <v>161</v>
      </c>
      <c r="O94" t="str">
        <f t="shared" ca="1" si="12"/>
        <v>NO PRAZO</v>
      </c>
      <c r="P94" s="16" t="s">
        <v>77</v>
      </c>
      <c r="Q94" s="11">
        <v>46264</v>
      </c>
      <c r="R94" s="1" t="s">
        <v>100</v>
      </c>
      <c r="S94" t="s">
        <v>120</v>
      </c>
    </row>
    <row r="95" spans="1:19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69" t="s">
        <v>400</v>
      </c>
      <c r="J95" s="16" t="s">
        <v>77</v>
      </c>
      <c r="K95" s="16" t="s">
        <v>77</v>
      </c>
      <c r="L95" s="7">
        <v>46371</v>
      </c>
      <c r="N95" s="13">
        <f ca="1">Tabela4[[#This Row],[Prazo
Entrega]]-TODAY()</f>
        <v>161</v>
      </c>
      <c r="O95" t="str">
        <f t="shared" ca="1" si="12"/>
        <v>NO PRAZO</v>
      </c>
      <c r="P95" s="16" t="s">
        <v>77</v>
      </c>
      <c r="Q95" s="11">
        <v>46264</v>
      </c>
      <c r="R95" s="1" t="s">
        <v>100</v>
      </c>
      <c r="S95" t="s">
        <v>120</v>
      </c>
    </row>
    <row r="96" spans="1:19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69" t="s">
        <v>401</v>
      </c>
      <c r="J96" s="16" t="s">
        <v>77</v>
      </c>
      <c r="K96" s="16" t="s">
        <v>77</v>
      </c>
      <c r="L96" s="7">
        <v>46371</v>
      </c>
      <c r="N96" s="13">
        <f ca="1">Tabela4[[#This Row],[Prazo
Entrega]]-TODAY()</f>
        <v>161</v>
      </c>
      <c r="O96" t="str">
        <f t="shared" ca="1" si="12"/>
        <v>NO PRAZO</v>
      </c>
      <c r="P96" s="16" t="s">
        <v>77</v>
      </c>
      <c r="Q96" s="11">
        <v>46264</v>
      </c>
      <c r="R96" s="1" t="s">
        <v>100</v>
      </c>
      <c r="S96" t="s">
        <v>120</v>
      </c>
    </row>
    <row r="97" spans="1:19" x14ac:dyDescent="0.25">
      <c r="A97" s="15">
        <v>2345</v>
      </c>
      <c r="B97" s="15">
        <v>9</v>
      </c>
      <c r="C97" s="15" t="s">
        <v>77</v>
      </c>
      <c r="D97" s="15" t="s">
        <v>77</v>
      </c>
      <c r="E97" s="17" t="s">
        <v>46</v>
      </c>
      <c r="F97" s="14">
        <v>36</v>
      </c>
      <c r="G97" s="14" t="s">
        <v>77</v>
      </c>
      <c r="H97" s="14" t="s">
        <v>77</v>
      </c>
      <c r="I97" s="69" t="s">
        <v>402</v>
      </c>
      <c r="J97" s="16" t="s">
        <v>77</v>
      </c>
      <c r="K97" s="16" t="s">
        <v>77</v>
      </c>
      <c r="L97" s="7">
        <v>46371</v>
      </c>
      <c r="N97" s="13">
        <f ca="1">Tabela4[[#This Row],[Prazo
Entrega]]-TODAY()</f>
        <v>161</v>
      </c>
      <c r="O97" t="str">
        <f t="shared" ca="1" si="12"/>
        <v>NO PRAZO</v>
      </c>
      <c r="P97" s="16" t="s">
        <v>77</v>
      </c>
      <c r="Q97" s="11">
        <v>46264</v>
      </c>
      <c r="R97" s="1" t="s">
        <v>100</v>
      </c>
      <c r="S97" t="s">
        <v>120</v>
      </c>
    </row>
    <row r="98" spans="1:19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406</v>
      </c>
      <c r="F98" s="70">
        <v>2</v>
      </c>
      <c r="G98" s="14" t="s">
        <v>77</v>
      </c>
      <c r="H98" s="14" t="s">
        <v>77</v>
      </c>
      <c r="I98" s="69" t="s">
        <v>404</v>
      </c>
      <c r="J98" s="16" t="s">
        <v>77</v>
      </c>
      <c r="K98" s="16" t="s">
        <v>77</v>
      </c>
      <c r="L98" s="7">
        <v>46325</v>
      </c>
      <c r="N98" s="13">
        <f ca="1">Tabela4[[#This Row],[Prazo
Entrega]]-TODAY()</f>
        <v>115</v>
      </c>
      <c r="O98" t="str">
        <f t="shared" ref="O98:O103" ca="1" si="13">IF(N98&lt;0,"ATRASADO",IF(N98&lt;=15,"ATENÇÃO","NO PRAZO"))</f>
        <v>NO PRAZO</v>
      </c>
      <c r="P98" s="16" t="s">
        <v>77</v>
      </c>
      <c r="Q98" s="11">
        <v>46264</v>
      </c>
      <c r="R98" s="1" t="s">
        <v>100</v>
      </c>
      <c r="S98" t="s">
        <v>120</v>
      </c>
    </row>
    <row r="99" spans="1:19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406</v>
      </c>
      <c r="F99" s="70">
        <v>2</v>
      </c>
      <c r="G99" s="14" t="s">
        <v>77</v>
      </c>
      <c r="H99" s="14" t="s">
        <v>77</v>
      </c>
      <c r="I99" s="69" t="s">
        <v>404</v>
      </c>
      <c r="J99" s="16" t="s">
        <v>77</v>
      </c>
      <c r="K99" s="16" t="s">
        <v>77</v>
      </c>
      <c r="L99" s="7">
        <v>46325</v>
      </c>
      <c r="N99" s="13">
        <f ca="1">Tabela4[[#This Row],[Prazo
Entrega]]-TODAY()</f>
        <v>115</v>
      </c>
      <c r="O99" t="str">
        <f t="shared" ca="1" si="13"/>
        <v>NO PRAZO</v>
      </c>
      <c r="P99" s="16" t="s">
        <v>77</v>
      </c>
      <c r="Q99" s="11">
        <v>46264</v>
      </c>
      <c r="R99" s="1" t="s">
        <v>100</v>
      </c>
      <c r="S99" t="s">
        <v>120</v>
      </c>
    </row>
    <row r="100" spans="1:19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406</v>
      </c>
      <c r="F100" s="70">
        <v>2</v>
      </c>
      <c r="G100" s="14" t="s">
        <v>77</v>
      </c>
      <c r="H100" s="14" t="s">
        <v>77</v>
      </c>
      <c r="I100" s="69" t="s">
        <v>404</v>
      </c>
      <c r="J100" s="16" t="s">
        <v>77</v>
      </c>
      <c r="K100" s="16" t="s">
        <v>77</v>
      </c>
      <c r="L100" s="7">
        <v>46325</v>
      </c>
      <c r="N100" s="13">
        <f ca="1">Tabela4[[#This Row],[Prazo
Entrega]]-TODAY()</f>
        <v>115</v>
      </c>
      <c r="O100" t="str">
        <f t="shared" ca="1" si="13"/>
        <v>NO PRAZO</v>
      </c>
      <c r="P100" s="16" t="s">
        <v>77</v>
      </c>
      <c r="Q100" s="11">
        <v>46264</v>
      </c>
      <c r="R100" s="1" t="s">
        <v>100</v>
      </c>
      <c r="S100" t="s">
        <v>120</v>
      </c>
    </row>
    <row r="101" spans="1:19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406</v>
      </c>
      <c r="F101" s="70">
        <v>1</v>
      </c>
      <c r="G101" s="14" t="s">
        <v>77</v>
      </c>
      <c r="H101" s="14" t="s">
        <v>77</v>
      </c>
      <c r="I101" s="69" t="s">
        <v>405</v>
      </c>
      <c r="J101" s="16" t="s">
        <v>77</v>
      </c>
      <c r="K101" s="16" t="s">
        <v>77</v>
      </c>
      <c r="L101" s="7">
        <v>46325</v>
      </c>
      <c r="N101" s="13">
        <f ca="1">Tabela4[[#This Row],[Prazo
Entrega]]-TODAY()</f>
        <v>115</v>
      </c>
      <c r="O101" t="str">
        <f t="shared" ca="1" si="13"/>
        <v>NO PRAZO</v>
      </c>
      <c r="P101" s="16" t="s">
        <v>77</v>
      </c>
      <c r="Q101" s="11">
        <v>46264</v>
      </c>
      <c r="R101" s="1" t="s">
        <v>100</v>
      </c>
      <c r="S101" t="s">
        <v>120</v>
      </c>
    </row>
    <row r="102" spans="1:19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406</v>
      </c>
      <c r="F102" s="70">
        <v>1</v>
      </c>
      <c r="G102" s="14" t="s">
        <v>77</v>
      </c>
      <c r="H102" s="14" t="s">
        <v>77</v>
      </c>
      <c r="I102" s="69" t="s">
        <v>405</v>
      </c>
      <c r="J102" s="16" t="s">
        <v>77</v>
      </c>
      <c r="K102" s="16" t="s">
        <v>77</v>
      </c>
      <c r="L102" s="7">
        <v>46325</v>
      </c>
      <c r="N102" s="13">
        <f ca="1">Tabela4[[#This Row],[Prazo
Entrega]]-TODAY()</f>
        <v>115</v>
      </c>
      <c r="O102" t="str">
        <f t="shared" ca="1" si="13"/>
        <v>NO PRAZO</v>
      </c>
      <c r="P102" s="16" t="s">
        <v>77</v>
      </c>
      <c r="Q102" s="11">
        <v>46264</v>
      </c>
      <c r="R102" s="1" t="s">
        <v>100</v>
      </c>
      <c r="S102" t="s">
        <v>120</v>
      </c>
    </row>
    <row r="103" spans="1:19" x14ac:dyDescent="0.25">
      <c r="A103" s="15">
        <v>2348</v>
      </c>
      <c r="B103" s="15">
        <v>14</v>
      </c>
      <c r="C103" s="15" t="s">
        <v>77</v>
      </c>
      <c r="D103" s="15" t="s">
        <v>77</v>
      </c>
      <c r="E103" s="20" t="s">
        <v>406</v>
      </c>
      <c r="F103" s="70">
        <v>8</v>
      </c>
      <c r="G103" s="14" t="s">
        <v>77</v>
      </c>
      <c r="H103" s="14" t="s">
        <v>77</v>
      </c>
      <c r="I103" s="69" t="s">
        <v>403</v>
      </c>
      <c r="J103" s="16" t="s">
        <v>77</v>
      </c>
      <c r="K103" s="16" t="s">
        <v>77</v>
      </c>
      <c r="L103" s="7">
        <v>46325</v>
      </c>
      <c r="N103" s="13">
        <f ca="1">Tabela4[[#This Row],[Prazo
Entrega]]-TODAY()</f>
        <v>115</v>
      </c>
      <c r="O103" t="str">
        <f t="shared" ca="1" si="13"/>
        <v>NO PRAZO</v>
      </c>
      <c r="P103" s="16" t="s">
        <v>77</v>
      </c>
      <c r="Q103" s="11">
        <v>46264</v>
      </c>
      <c r="R103" s="1" t="s">
        <v>100</v>
      </c>
      <c r="S103" t="s">
        <v>120</v>
      </c>
    </row>
    <row r="104" spans="1:19" x14ac:dyDescent="0.25">
      <c r="A104" s="15">
        <v>2349</v>
      </c>
      <c r="B104" s="71">
        <v>6</v>
      </c>
      <c r="C104" s="72" t="s">
        <v>77</v>
      </c>
      <c r="D104" s="72" t="s">
        <v>77</v>
      </c>
      <c r="E104" s="73" t="s">
        <v>152</v>
      </c>
      <c r="F104" s="74">
        <v>1</v>
      </c>
      <c r="G104" s="14" t="s">
        <v>77</v>
      </c>
      <c r="H104" s="14" t="s">
        <v>77</v>
      </c>
      <c r="I104" s="75" t="s">
        <v>409</v>
      </c>
      <c r="J104" s="16" t="s">
        <v>77</v>
      </c>
      <c r="K104" s="16" t="s">
        <v>77</v>
      </c>
      <c r="L104" s="76">
        <v>46356</v>
      </c>
      <c r="M104" s="77"/>
      <c r="N104" s="78">
        <f ca="1">Tabela4[[#This Row],[Prazo
Entrega]]-TODAY()</f>
        <v>146</v>
      </c>
      <c r="O104" s="77" t="str">
        <f t="shared" ref="O104:O123" ca="1" si="14">IF(N104&lt;0,"ATRASADO",IF(N104&lt;=15,"ATENÇÃO","NO PRAZO"))</f>
        <v>NO PRAZO</v>
      </c>
      <c r="P104" s="16" t="s">
        <v>77</v>
      </c>
      <c r="Q104" s="11">
        <v>46264</v>
      </c>
      <c r="R104" s="1" t="s">
        <v>100</v>
      </c>
      <c r="S104" t="s">
        <v>120</v>
      </c>
    </row>
    <row r="105" spans="1:19" x14ac:dyDescent="0.25">
      <c r="A105" s="15">
        <v>2349</v>
      </c>
      <c r="B105" s="71">
        <v>7</v>
      </c>
      <c r="C105" s="72" t="s">
        <v>77</v>
      </c>
      <c r="D105" s="72" t="s">
        <v>77</v>
      </c>
      <c r="E105" s="73" t="s">
        <v>152</v>
      </c>
      <c r="F105" s="74">
        <v>1</v>
      </c>
      <c r="G105" s="14" t="s">
        <v>77</v>
      </c>
      <c r="H105" s="14" t="s">
        <v>77</v>
      </c>
      <c r="I105" s="75" t="s">
        <v>409</v>
      </c>
      <c r="J105" s="16" t="s">
        <v>77</v>
      </c>
      <c r="K105" s="16" t="s">
        <v>77</v>
      </c>
      <c r="L105" s="76">
        <v>46356</v>
      </c>
      <c r="M105" s="77"/>
      <c r="N105" s="78">
        <f ca="1">Tabela4[[#This Row],[Prazo
Entrega]]-TODAY()</f>
        <v>146</v>
      </c>
      <c r="O105" s="77" t="str">
        <f t="shared" ca="1" si="14"/>
        <v>NO PRAZO</v>
      </c>
      <c r="P105" s="16" t="s">
        <v>77</v>
      </c>
      <c r="Q105" s="11">
        <v>46264</v>
      </c>
      <c r="R105" s="1" t="s">
        <v>100</v>
      </c>
      <c r="S105" t="s">
        <v>120</v>
      </c>
    </row>
    <row r="106" spans="1:19" x14ac:dyDescent="0.25">
      <c r="A106" s="15">
        <v>2349</v>
      </c>
      <c r="B106" s="71">
        <v>8</v>
      </c>
      <c r="C106" s="72" t="s">
        <v>77</v>
      </c>
      <c r="D106" s="72" t="s">
        <v>77</v>
      </c>
      <c r="E106" s="73" t="s">
        <v>152</v>
      </c>
      <c r="F106" s="74">
        <v>1</v>
      </c>
      <c r="G106" s="14" t="s">
        <v>77</v>
      </c>
      <c r="H106" s="14" t="s">
        <v>77</v>
      </c>
      <c r="I106" s="75" t="s">
        <v>409</v>
      </c>
      <c r="J106" s="16" t="s">
        <v>77</v>
      </c>
      <c r="K106" s="16" t="s">
        <v>77</v>
      </c>
      <c r="L106" s="76">
        <v>46356</v>
      </c>
      <c r="M106" s="77"/>
      <c r="N106" s="78">
        <f ca="1">Tabela4[[#This Row],[Prazo
Entrega]]-TODAY()</f>
        <v>146</v>
      </c>
      <c r="O106" s="77" t="str">
        <f t="shared" ca="1" si="14"/>
        <v>NO PRAZO</v>
      </c>
      <c r="P106" s="16" t="s">
        <v>77</v>
      </c>
      <c r="Q106" s="11">
        <v>46264</v>
      </c>
      <c r="R106" s="1" t="s">
        <v>100</v>
      </c>
      <c r="S106" t="s">
        <v>120</v>
      </c>
    </row>
    <row r="107" spans="1:19" x14ac:dyDescent="0.25">
      <c r="A107" s="15">
        <v>2349</v>
      </c>
      <c r="B107" s="71">
        <v>9</v>
      </c>
      <c r="C107" s="72" t="s">
        <v>77</v>
      </c>
      <c r="D107" s="72" t="s">
        <v>77</v>
      </c>
      <c r="E107" s="73" t="s">
        <v>152</v>
      </c>
      <c r="F107" s="74">
        <v>1</v>
      </c>
      <c r="G107" s="14" t="s">
        <v>77</v>
      </c>
      <c r="H107" s="14" t="s">
        <v>77</v>
      </c>
      <c r="I107" s="75" t="s">
        <v>409</v>
      </c>
      <c r="J107" s="16" t="s">
        <v>77</v>
      </c>
      <c r="K107" s="16" t="s">
        <v>77</v>
      </c>
      <c r="L107" s="76">
        <v>46356</v>
      </c>
      <c r="M107" s="77"/>
      <c r="N107" s="78">
        <f ca="1">Tabela4[[#This Row],[Prazo
Entrega]]-TODAY()</f>
        <v>146</v>
      </c>
      <c r="O107" s="77" t="str">
        <f t="shared" ca="1" si="14"/>
        <v>NO PRAZO</v>
      </c>
      <c r="P107" s="16" t="s">
        <v>77</v>
      </c>
      <c r="Q107" s="11">
        <v>46264</v>
      </c>
      <c r="R107" s="1" t="s">
        <v>100</v>
      </c>
      <c r="S107" t="s">
        <v>120</v>
      </c>
    </row>
    <row r="108" spans="1:19" x14ac:dyDescent="0.25">
      <c r="A108" s="15">
        <v>2349</v>
      </c>
      <c r="B108" s="71">
        <v>10</v>
      </c>
      <c r="C108" s="72">
        <v>27633</v>
      </c>
      <c r="D108" s="72">
        <v>8</v>
      </c>
      <c r="E108" s="73" t="s">
        <v>152</v>
      </c>
      <c r="F108" s="74">
        <v>1</v>
      </c>
      <c r="G108" s="14">
        <v>1343012</v>
      </c>
      <c r="H108" s="14"/>
      <c r="I108" s="75" t="s">
        <v>410</v>
      </c>
      <c r="J108" s="76">
        <v>46235</v>
      </c>
      <c r="K108" s="77"/>
      <c r="L108" s="76">
        <v>46386</v>
      </c>
      <c r="M108" s="77"/>
      <c r="N108" s="78">
        <f ca="1">Tabela4[[#This Row],[Prazo
Entrega]]-TODAY()</f>
        <v>176</v>
      </c>
      <c r="O108" s="77" t="str">
        <f t="shared" ca="1" si="14"/>
        <v>NO PRAZO</v>
      </c>
      <c r="P108" s="16" t="s">
        <v>77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1">
        <v>11</v>
      </c>
      <c r="C109" s="72">
        <v>27633</v>
      </c>
      <c r="D109" s="72">
        <v>9</v>
      </c>
      <c r="E109" s="73" t="s">
        <v>152</v>
      </c>
      <c r="F109" s="74">
        <v>1</v>
      </c>
      <c r="G109" s="14">
        <v>1343012</v>
      </c>
      <c r="H109" s="14"/>
      <c r="I109" s="75" t="s">
        <v>410</v>
      </c>
      <c r="J109" s="76">
        <v>46235</v>
      </c>
      <c r="K109" s="77"/>
      <c r="L109" s="76">
        <v>46386</v>
      </c>
      <c r="M109" s="77"/>
      <c r="N109" s="78">
        <f ca="1">Tabela4[[#This Row],[Prazo
Entrega]]-TODAY()</f>
        <v>176</v>
      </c>
      <c r="O109" s="77" t="str">
        <f t="shared" ca="1" si="14"/>
        <v>NO PRAZO</v>
      </c>
      <c r="P109" s="16" t="s">
        <v>77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1">
        <v>12</v>
      </c>
      <c r="C110" s="72">
        <v>27633</v>
      </c>
      <c r="D110" s="72">
        <v>10</v>
      </c>
      <c r="E110" s="73" t="s">
        <v>152</v>
      </c>
      <c r="F110" s="74">
        <v>1</v>
      </c>
      <c r="G110" s="14">
        <v>1343012</v>
      </c>
      <c r="H110" s="14"/>
      <c r="I110" s="75" t="s">
        <v>410</v>
      </c>
      <c r="J110" s="76">
        <v>46235</v>
      </c>
      <c r="K110" s="77"/>
      <c r="L110" s="76">
        <v>46386</v>
      </c>
      <c r="M110" s="77"/>
      <c r="N110" s="78">
        <f ca="1">Tabela4[[#This Row],[Prazo
Entrega]]-TODAY()</f>
        <v>176</v>
      </c>
      <c r="O110" s="77" t="str">
        <f t="shared" ca="1" si="14"/>
        <v>NO PRAZO</v>
      </c>
      <c r="P110" s="16" t="s">
        <v>77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1">
        <v>13</v>
      </c>
      <c r="C111" s="72">
        <v>27633</v>
      </c>
      <c r="D111" s="72">
        <v>11</v>
      </c>
      <c r="E111" s="73" t="s">
        <v>152</v>
      </c>
      <c r="F111" s="74">
        <v>1</v>
      </c>
      <c r="G111" s="14">
        <v>1343012</v>
      </c>
      <c r="H111" s="14"/>
      <c r="I111" s="75" t="s">
        <v>410</v>
      </c>
      <c r="J111" s="76">
        <v>46235</v>
      </c>
      <c r="K111" s="77"/>
      <c r="L111" s="76">
        <v>46386</v>
      </c>
      <c r="M111" s="77"/>
      <c r="N111" s="78">
        <f ca="1">Tabela4[[#This Row],[Prazo
Entrega]]-TODAY()</f>
        <v>176</v>
      </c>
      <c r="O111" s="77" t="str">
        <f t="shared" ca="1" si="14"/>
        <v>NO PRAZO</v>
      </c>
      <c r="P111" s="16" t="s">
        <v>77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1">
        <v>14</v>
      </c>
      <c r="C112" s="72" t="s">
        <v>77</v>
      </c>
      <c r="D112" s="72" t="s">
        <v>77</v>
      </c>
      <c r="E112" s="73" t="s">
        <v>152</v>
      </c>
      <c r="F112" s="74">
        <v>1</v>
      </c>
      <c r="G112" s="14" t="s">
        <v>77</v>
      </c>
      <c r="H112" s="14" t="s">
        <v>77</v>
      </c>
      <c r="I112" s="75" t="s">
        <v>407</v>
      </c>
      <c r="J112" s="16" t="s">
        <v>77</v>
      </c>
      <c r="K112" s="16" t="s">
        <v>77</v>
      </c>
      <c r="L112" s="76">
        <v>46356</v>
      </c>
      <c r="M112" s="77"/>
      <c r="N112" s="78">
        <f ca="1">Tabela4[[#This Row],[Prazo
Entrega]]-TODAY()</f>
        <v>146</v>
      </c>
      <c r="O112" s="77" t="str">
        <f t="shared" ca="1" si="14"/>
        <v>NO PRAZO</v>
      </c>
      <c r="P112" s="16" t="s">
        <v>77</v>
      </c>
      <c r="Q112" s="11">
        <v>46264</v>
      </c>
      <c r="R112" s="1" t="s">
        <v>100</v>
      </c>
      <c r="S112" t="s">
        <v>120</v>
      </c>
    </row>
    <row r="113" spans="1:19" x14ac:dyDescent="0.25">
      <c r="A113" s="15">
        <v>2349</v>
      </c>
      <c r="B113" s="71">
        <v>15</v>
      </c>
      <c r="C113" s="72" t="s">
        <v>77</v>
      </c>
      <c r="D113" s="72" t="s">
        <v>77</v>
      </c>
      <c r="E113" s="73" t="s">
        <v>152</v>
      </c>
      <c r="F113" s="74">
        <v>1</v>
      </c>
      <c r="G113" s="14" t="s">
        <v>77</v>
      </c>
      <c r="H113" s="14" t="s">
        <v>77</v>
      </c>
      <c r="I113" s="75" t="s">
        <v>407</v>
      </c>
      <c r="J113" s="16" t="s">
        <v>77</v>
      </c>
      <c r="K113" s="16" t="s">
        <v>77</v>
      </c>
      <c r="L113" s="76">
        <v>46356</v>
      </c>
      <c r="M113" s="77"/>
      <c r="N113" s="78">
        <f ca="1">Tabela4[[#This Row],[Prazo
Entrega]]-TODAY()</f>
        <v>146</v>
      </c>
      <c r="O113" s="77" t="str">
        <f t="shared" ca="1" si="14"/>
        <v>NO PRAZO</v>
      </c>
      <c r="P113" s="16" t="s">
        <v>77</v>
      </c>
      <c r="Q113" s="11">
        <v>46264</v>
      </c>
      <c r="R113" s="1" t="s">
        <v>100</v>
      </c>
      <c r="S113" t="s">
        <v>120</v>
      </c>
    </row>
    <row r="114" spans="1:19" x14ac:dyDescent="0.25">
      <c r="A114" s="15">
        <v>2349</v>
      </c>
      <c r="B114" s="71">
        <v>16</v>
      </c>
      <c r="C114" s="72" t="s">
        <v>77</v>
      </c>
      <c r="D114" s="72" t="s">
        <v>77</v>
      </c>
      <c r="E114" s="73" t="s">
        <v>152</v>
      </c>
      <c r="F114" s="74">
        <v>1</v>
      </c>
      <c r="G114" s="14" t="s">
        <v>77</v>
      </c>
      <c r="H114" s="14" t="s">
        <v>77</v>
      </c>
      <c r="I114" s="75" t="s">
        <v>407</v>
      </c>
      <c r="J114" s="16" t="s">
        <v>77</v>
      </c>
      <c r="K114" s="16" t="s">
        <v>77</v>
      </c>
      <c r="L114" s="76">
        <v>46356</v>
      </c>
      <c r="M114" s="77"/>
      <c r="N114" s="78">
        <f ca="1">Tabela4[[#This Row],[Prazo
Entrega]]-TODAY()</f>
        <v>146</v>
      </c>
      <c r="O114" s="77" t="str">
        <f t="shared" ca="1" si="14"/>
        <v>NO PRAZO</v>
      </c>
      <c r="P114" s="16" t="s">
        <v>77</v>
      </c>
      <c r="Q114" s="11">
        <v>46264</v>
      </c>
      <c r="R114" s="1" t="s">
        <v>100</v>
      </c>
      <c r="S114" t="s">
        <v>120</v>
      </c>
    </row>
    <row r="115" spans="1:19" x14ac:dyDescent="0.25">
      <c r="A115" s="15">
        <v>2349</v>
      </c>
      <c r="B115" s="71">
        <v>17</v>
      </c>
      <c r="C115" s="72" t="s">
        <v>77</v>
      </c>
      <c r="D115" s="72" t="s">
        <v>77</v>
      </c>
      <c r="E115" s="73" t="s">
        <v>152</v>
      </c>
      <c r="F115" s="74">
        <v>1</v>
      </c>
      <c r="G115" s="14" t="s">
        <v>77</v>
      </c>
      <c r="H115" s="14" t="s">
        <v>77</v>
      </c>
      <c r="I115" s="75" t="s">
        <v>407</v>
      </c>
      <c r="J115" s="16" t="s">
        <v>77</v>
      </c>
      <c r="K115" s="16" t="s">
        <v>77</v>
      </c>
      <c r="L115" s="76">
        <v>46356</v>
      </c>
      <c r="M115" s="77"/>
      <c r="N115" s="78">
        <f ca="1">Tabela4[[#This Row],[Prazo
Entrega]]-TODAY()</f>
        <v>146</v>
      </c>
      <c r="O115" s="77" t="str">
        <f t="shared" ca="1" si="14"/>
        <v>NO PRAZO</v>
      </c>
      <c r="P115" s="16" t="s">
        <v>77</v>
      </c>
      <c r="Q115" s="11">
        <v>46264</v>
      </c>
      <c r="R115" s="1" t="s">
        <v>100</v>
      </c>
      <c r="S115" t="s">
        <v>120</v>
      </c>
    </row>
    <row r="116" spans="1:19" x14ac:dyDescent="0.25">
      <c r="A116" s="15">
        <v>2349</v>
      </c>
      <c r="B116" s="71">
        <v>18</v>
      </c>
      <c r="C116" s="72" t="s">
        <v>77</v>
      </c>
      <c r="D116" s="72" t="s">
        <v>77</v>
      </c>
      <c r="E116" s="73" t="s">
        <v>152</v>
      </c>
      <c r="F116" s="74">
        <v>1</v>
      </c>
      <c r="G116" s="14" t="s">
        <v>77</v>
      </c>
      <c r="H116" s="14" t="s">
        <v>77</v>
      </c>
      <c r="I116" s="75" t="s">
        <v>407</v>
      </c>
      <c r="J116" s="16" t="s">
        <v>77</v>
      </c>
      <c r="K116" s="16" t="s">
        <v>77</v>
      </c>
      <c r="L116" s="76">
        <v>46356</v>
      </c>
      <c r="M116" s="77"/>
      <c r="N116" s="78">
        <f ca="1">Tabela4[[#This Row],[Prazo
Entrega]]-TODAY()</f>
        <v>146</v>
      </c>
      <c r="O116" s="77" t="str">
        <f t="shared" ca="1" si="14"/>
        <v>NO PRAZO</v>
      </c>
      <c r="P116" s="16" t="s">
        <v>77</v>
      </c>
      <c r="Q116" s="11">
        <v>46264</v>
      </c>
      <c r="R116" s="1" t="s">
        <v>100</v>
      </c>
      <c r="S116" t="s">
        <v>120</v>
      </c>
    </row>
    <row r="117" spans="1:19" x14ac:dyDescent="0.25">
      <c r="A117" s="15">
        <v>2349</v>
      </c>
      <c r="B117" s="71">
        <v>19</v>
      </c>
      <c r="C117" s="72" t="s">
        <v>77</v>
      </c>
      <c r="D117" s="72" t="s">
        <v>77</v>
      </c>
      <c r="E117" s="73" t="s">
        <v>152</v>
      </c>
      <c r="F117" s="74">
        <v>1</v>
      </c>
      <c r="G117" s="14" t="s">
        <v>77</v>
      </c>
      <c r="H117" s="14" t="s">
        <v>77</v>
      </c>
      <c r="I117" s="75" t="s">
        <v>407</v>
      </c>
      <c r="J117" s="16" t="s">
        <v>77</v>
      </c>
      <c r="K117" s="16" t="s">
        <v>77</v>
      </c>
      <c r="L117" s="76">
        <v>46356</v>
      </c>
      <c r="M117" s="77"/>
      <c r="N117" s="78">
        <f ca="1">Tabela4[[#This Row],[Prazo
Entrega]]-TODAY()</f>
        <v>146</v>
      </c>
      <c r="O117" s="77" t="str">
        <f t="shared" ca="1" si="14"/>
        <v>NO PRAZO</v>
      </c>
      <c r="P117" s="16" t="s">
        <v>77</v>
      </c>
      <c r="Q117" s="11">
        <v>46264</v>
      </c>
      <c r="R117" s="1" t="s">
        <v>100</v>
      </c>
      <c r="S117" t="s">
        <v>120</v>
      </c>
    </row>
    <row r="118" spans="1:19" x14ac:dyDescent="0.25">
      <c r="A118" s="15">
        <v>2349</v>
      </c>
      <c r="B118" s="71">
        <v>20</v>
      </c>
      <c r="C118" s="72" t="s">
        <v>77</v>
      </c>
      <c r="D118" s="72" t="s">
        <v>77</v>
      </c>
      <c r="E118" s="73" t="s">
        <v>152</v>
      </c>
      <c r="F118" s="74">
        <v>1</v>
      </c>
      <c r="G118" s="14" t="s">
        <v>77</v>
      </c>
      <c r="H118" s="14" t="s">
        <v>77</v>
      </c>
      <c r="I118" s="75" t="s">
        <v>407</v>
      </c>
      <c r="J118" s="16" t="s">
        <v>77</v>
      </c>
      <c r="K118" s="16" t="s">
        <v>77</v>
      </c>
      <c r="L118" s="76">
        <v>46356</v>
      </c>
      <c r="M118" s="77"/>
      <c r="N118" s="78">
        <f ca="1">Tabela4[[#This Row],[Prazo
Entrega]]-TODAY()</f>
        <v>146</v>
      </c>
      <c r="O118" s="77" t="str">
        <f t="shared" ca="1" si="14"/>
        <v>NO PRAZO</v>
      </c>
      <c r="P118" s="16" t="s">
        <v>77</v>
      </c>
      <c r="Q118" s="11">
        <v>46264</v>
      </c>
      <c r="R118" s="1" t="s">
        <v>100</v>
      </c>
      <c r="S118" t="s">
        <v>120</v>
      </c>
    </row>
    <row r="119" spans="1:19" x14ac:dyDescent="0.25">
      <c r="A119" s="15">
        <v>2349</v>
      </c>
      <c r="B119" s="71">
        <v>21</v>
      </c>
      <c r="C119" s="72" t="s">
        <v>77</v>
      </c>
      <c r="D119" s="72" t="s">
        <v>77</v>
      </c>
      <c r="E119" s="73" t="s">
        <v>152</v>
      </c>
      <c r="F119" s="74">
        <v>1</v>
      </c>
      <c r="G119" s="14" t="s">
        <v>77</v>
      </c>
      <c r="H119" s="14" t="s">
        <v>77</v>
      </c>
      <c r="I119" s="75" t="s">
        <v>407</v>
      </c>
      <c r="J119" s="16" t="s">
        <v>77</v>
      </c>
      <c r="K119" s="16" t="s">
        <v>77</v>
      </c>
      <c r="L119" s="76">
        <v>46356</v>
      </c>
      <c r="M119" s="77"/>
      <c r="N119" s="78">
        <f ca="1">Tabela4[[#This Row],[Prazo
Entrega]]-TODAY()</f>
        <v>146</v>
      </c>
      <c r="O119" s="77" t="str">
        <f t="shared" ca="1" si="14"/>
        <v>NO PRAZO</v>
      </c>
      <c r="P119" s="16" t="s">
        <v>77</v>
      </c>
      <c r="Q119" s="11">
        <v>46264</v>
      </c>
      <c r="R119" s="1" t="s">
        <v>100</v>
      </c>
      <c r="S119" t="s">
        <v>120</v>
      </c>
    </row>
    <row r="120" spans="1:19" x14ac:dyDescent="0.25">
      <c r="A120" s="15">
        <v>2349</v>
      </c>
      <c r="B120" s="71">
        <v>23</v>
      </c>
      <c r="C120" s="72" t="s">
        <v>77</v>
      </c>
      <c r="D120" s="72" t="s">
        <v>77</v>
      </c>
      <c r="E120" s="73" t="s">
        <v>152</v>
      </c>
      <c r="F120" s="74">
        <v>1</v>
      </c>
      <c r="G120" s="14" t="s">
        <v>77</v>
      </c>
      <c r="H120" s="14" t="s">
        <v>77</v>
      </c>
      <c r="I120" s="75" t="s">
        <v>408</v>
      </c>
      <c r="J120" s="16" t="s">
        <v>77</v>
      </c>
      <c r="K120" s="16" t="s">
        <v>77</v>
      </c>
      <c r="L120" s="76">
        <v>46356</v>
      </c>
      <c r="M120" s="77"/>
      <c r="N120" s="78">
        <f ca="1">Tabela4[[#This Row],[Prazo
Entrega]]-TODAY()</f>
        <v>146</v>
      </c>
      <c r="O120" s="77" t="str">
        <f t="shared" ca="1" si="14"/>
        <v>NO PRAZO</v>
      </c>
      <c r="P120" s="16" t="s">
        <v>77</v>
      </c>
      <c r="Q120" s="11">
        <v>46264</v>
      </c>
      <c r="R120" s="1" t="s">
        <v>100</v>
      </c>
      <c r="S120" t="s">
        <v>120</v>
      </c>
    </row>
    <row r="121" spans="1:19" x14ac:dyDescent="0.25">
      <c r="A121" s="15">
        <v>2349</v>
      </c>
      <c r="B121" s="71">
        <v>24</v>
      </c>
      <c r="C121" s="72" t="s">
        <v>77</v>
      </c>
      <c r="D121" s="72" t="s">
        <v>77</v>
      </c>
      <c r="E121" s="73" t="s">
        <v>152</v>
      </c>
      <c r="F121" s="74">
        <v>1</v>
      </c>
      <c r="G121" s="14" t="s">
        <v>77</v>
      </c>
      <c r="H121" s="14" t="s">
        <v>77</v>
      </c>
      <c r="I121" s="75" t="s">
        <v>408</v>
      </c>
      <c r="J121" s="16" t="s">
        <v>77</v>
      </c>
      <c r="K121" s="16" t="s">
        <v>77</v>
      </c>
      <c r="L121" s="76">
        <v>46356</v>
      </c>
      <c r="M121" s="77"/>
      <c r="N121" s="78">
        <f ca="1">Tabela4[[#This Row],[Prazo
Entrega]]-TODAY()</f>
        <v>146</v>
      </c>
      <c r="O121" s="77" t="str">
        <f t="shared" ca="1" si="14"/>
        <v>NO PRAZO</v>
      </c>
      <c r="P121" s="16" t="s">
        <v>77</v>
      </c>
      <c r="Q121" s="11">
        <v>46264</v>
      </c>
      <c r="R121" s="1" t="s">
        <v>100</v>
      </c>
      <c r="S121" t="s">
        <v>120</v>
      </c>
    </row>
    <row r="122" spans="1:19" x14ac:dyDescent="0.25">
      <c r="A122" s="15">
        <v>2349</v>
      </c>
      <c r="B122" s="71">
        <v>25</v>
      </c>
      <c r="C122" s="72" t="s">
        <v>77</v>
      </c>
      <c r="D122" s="72" t="s">
        <v>77</v>
      </c>
      <c r="E122" s="73" t="s">
        <v>152</v>
      </c>
      <c r="F122" s="74">
        <v>1</v>
      </c>
      <c r="G122" s="14" t="s">
        <v>77</v>
      </c>
      <c r="H122" s="14" t="s">
        <v>77</v>
      </c>
      <c r="I122" s="75" t="s">
        <v>408</v>
      </c>
      <c r="J122" s="16" t="s">
        <v>77</v>
      </c>
      <c r="K122" s="16" t="s">
        <v>77</v>
      </c>
      <c r="L122" s="76">
        <v>46356</v>
      </c>
      <c r="M122" s="77"/>
      <c r="N122" s="78">
        <f ca="1">Tabela4[[#This Row],[Prazo
Entrega]]-TODAY()</f>
        <v>146</v>
      </c>
      <c r="O122" s="77" t="str">
        <f t="shared" ca="1" si="14"/>
        <v>NO PRAZO</v>
      </c>
      <c r="P122" s="16" t="s">
        <v>77</v>
      </c>
      <c r="Q122" s="11">
        <v>46264</v>
      </c>
      <c r="R122" s="1" t="s">
        <v>100</v>
      </c>
      <c r="S122" t="s">
        <v>120</v>
      </c>
    </row>
    <row r="123" spans="1:19" x14ac:dyDescent="0.25">
      <c r="A123" s="15">
        <v>2349</v>
      </c>
      <c r="B123" s="71">
        <v>26</v>
      </c>
      <c r="C123" s="72" t="s">
        <v>77</v>
      </c>
      <c r="D123" s="72" t="s">
        <v>77</v>
      </c>
      <c r="E123" s="73" t="s">
        <v>152</v>
      </c>
      <c r="F123" s="74">
        <v>1</v>
      </c>
      <c r="G123" s="14" t="s">
        <v>77</v>
      </c>
      <c r="H123" s="14" t="s">
        <v>77</v>
      </c>
      <c r="I123" s="75" t="s">
        <v>408</v>
      </c>
      <c r="J123" s="16" t="s">
        <v>77</v>
      </c>
      <c r="K123" s="16" t="s">
        <v>77</v>
      </c>
      <c r="L123" s="76">
        <v>46356</v>
      </c>
      <c r="M123" s="77"/>
      <c r="N123" s="78">
        <f ca="1">Tabela4[[#This Row],[Prazo
Entrega]]-TODAY()</f>
        <v>146</v>
      </c>
      <c r="O123" s="77" t="str">
        <f t="shared" ca="1" si="14"/>
        <v>NO PRAZO</v>
      </c>
      <c r="P123" s="16" t="s">
        <v>77</v>
      </c>
      <c r="Q123" s="11">
        <v>46264</v>
      </c>
      <c r="R123" s="1" t="s">
        <v>100</v>
      </c>
      <c r="S123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0" operator="containsText" text="encamisado">
      <formula>NOT(ISERROR(SEARCH("encamisado",A30)))</formula>
    </cfRule>
    <cfRule type="containsText" dxfId="40" priority="51" operator="containsText" text="pronto">
      <formula>NOT(ISERROR(SEARCH("pronto",A30)))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containsText" dxfId="34" priority="30" operator="containsText" text="pronto">
      <formula>NOT(ISERROR(SEARCH("pronto",C45)))</formula>
    </cfRule>
    <cfRule type="expression" dxfId="33" priority="31">
      <formula>$P45="s"</formula>
    </cfRule>
  </conditionalFormatting>
  <conditionalFormatting sqref="C55:C77">
    <cfRule type="containsText" dxfId="32" priority="25" operator="containsText" text="encamisado">
      <formula>NOT(ISERROR(SEARCH("encamisado",C55)))</formula>
    </cfRule>
    <cfRule type="containsText" dxfId="31" priority="26" operator="containsText" text="pronto">
      <formula>NOT(ISERROR(SEARCH("pronto",C55)))</formula>
    </cfRule>
    <cfRule type="expression" dxfId="30" priority="27">
      <formula>$P55="s"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containsText" dxfId="28" priority="48" operator="containsText" text="pronto">
      <formula>NOT(ISERROR(SEARCH("pronto",D30)))</formula>
    </cfRule>
    <cfRule type="expression" dxfId="27" priority="49">
      <formula>$P30="s"</formula>
    </cfRule>
  </conditionalFormatting>
  <conditionalFormatting sqref="D55:D77">
    <cfRule type="containsText" dxfId="26" priority="21" operator="containsText" text="encamisado">
      <formula>NOT(ISERROR(SEARCH("encamisado",D55)))</formula>
    </cfRule>
    <cfRule type="containsText" dxfId="25" priority="22" operator="containsText" text="pronto">
      <formula>NOT(ISERROR(SEARCH("pronto",D55)))</formula>
    </cfRule>
    <cfRule type="expression" dxfId="24" priority="23">
      <formula>$P55="s"</formula>
    </cfRule>
  </conditionalFormatting>
  <conditionalFormatting sqref="G59:G60 G67">
    <cfRule type="containsText" dxfId="23" priority="9" operator="containsText" text="encamisado">
      <formula>NOT(ISERROR(SEARCH("encamisado",G59)))</formula>
    </cfRule>
    <cfRule type="containsText" dxfId="22" priority="10" operator="containsText" text="pronto">
      <formula>NOT(ISERROR(SEARCH("pronto",G59)))</formula>
    </cfRule>
    <cfRule type="expression" dxfId="21" priority="12">
      <formula>$P59="s"</formula>
    </cfRule>
  </conditionalFormatting>
  <conditionalFormatting sqref="H58 H60 H62 H65:H66 H76">
    <cfRule type="containsText" dxfId="20" priority="13" operator="containsText" text="encamisado">
      <formula>NOT(ISERROR(SEARCH("encamisado",H58)))</formula>
    </cfRule>
    <cfRule type="containsText" dxfId="19" priority="14" operator="containsText" text="pronto">
      <formula>NOT(ISERROR(SEARCH("pronto",H58)))</formula>
    </cfRule>
    <cfRule type="expression" dxfId="18" priority="16">
      <formula>$P58="s"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containsText" dxfId="16" priority="42" operator="containsText" text="pronto">
      <formula>NOT(ISERROR(SEARCH("pronto",N33)))</formula>
    </cfRule>
    <cfRule type="expression" dxfId="15" priority="43">
      <formula>$P33="s"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containsText" dxfId="13" priority="6" operator="containsText" text="pronto">
      <formula>NOT(ISERROR(SEARCH("pronto",N55)))</formula>
    </cfRule>
    <cfRule type="expression" dxfId="12" priority="7">
      <formula>$P55="s"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1" operator="containsText" text="encamisado">
      <formula>NOT(ISERROR(SEARCH("encamisado",AB55)))</formula>
    </cfRule>
    <cfRule type="containsText" dxfId="1" priority="2" operator="containsText" text="pronto">
      <formula>NOT(ISERROR(SEARCH("pronto",AB55)))</formula>
    </cfRule>
    <cfRule type="expression" dxfId="0" priority="3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tabSelected="1" view="pageBreakPreview" zoomScaleNormal="100" zoomScaleSheetLayoutView="100" workbookViewId="0">
      <selection activeCell="C36" sqref="C3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 t="s">
        <v>420</v>
      </c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 t="s">
        <v>420</v>
      </c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>
        <v>46205</v>
      </c>
      <c r="N4" s="25">
        <v>46209</v>
      </c>
      <c r="O4" s="25">
        <v>46206</v>
      </c>
      <c r="P4" s="25" t="s">
        <v>413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>
        <v>46209</v>
      </c>
      <c r="N5" s="25">
        <v>46210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46209</v>
      </c>
      <c r="H6" s="25">
        <v>46192</v>
      </c>
      <c r="I6" s="25">
        <v>46196</v>
      </c>
      <c r="J6" s="25">
        <v>46219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414</v>
      </c>
      <c r="Q6" s="23" t="s">
        <v>185</v>
      </c>
      <c r="R6" s="50" t="s">
        <v>416</v>
      </c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77</v>
      </c>
      <c r="M7" s="25" t="s">
        <v>77</v>
      </c>
      <c r="N7" s="25" t="s">
        <v>77</v>
      </c>
      <c r="O7" s="25" t="s">
        <v>77</v>
      </c>
      <c r="P7" s="25" t="s">
        <v>413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77</v>
      </c>
      <c r="M8" s="25" t="s">
        <v>77</v>
      </c>
      <c r="N8" s="25" t="s">
        <v>77</v>
      </c>
      <c r="O8" s="25" t="s">
        <v>77</v>
      </c>
      <c r="P8" s="25" t="s">
        <v>413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77</v>
      </c>
      <c r="M9" s="25" t="s">
        <v>77</v>
      </c>
      <c r="N9" s="25" t="s">
        <v>77</v>
      </c>
      <c r="O9" s="25" t="s">
        <v>77</v>
      </c>
      <c r="P9" s="25" t="s">
        <v>413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413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413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413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46219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 t="s">
        <v>415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421</v>
      </c>
      <c r="D15" s="23" t="s">
        <v>77</v>
      </c>
      <c r="E15" s="24" t="s">
        <v>422</v>
      </c>
      <c r="F15" s="49">
        <v>1</v>
      </c>
      <c r="G15" s="81">
        <v>46216</v>
      </c>
      <c r="H15" s="25" t="s">
        <v>77</v>
      </c>
      <c r="I15" s="25" t="s">
        <v>77</v>
      </c>
      <c r="J15" s="25" t="s">
        <v>77</v>
      </c>
      <c r="K15" s="25" t="s">
        <v>77</v>
      </c>
      <c r="L15" s="27">
        <v>46202</v>
      </c>
      <c r="M15" s="27"/>
      <c r="N15" s="27">
        <v>46216</v>
      </c>
      <c r="O15" s="27"/>
      <c r="P15" s="25" t="s">
        <v>232</v>
      </c>
      <c r="Q15" s="23" t="s">
        <v>188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208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67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209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413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210</v>
      </c>
      <c r="F18" s="49">
        <v>1</v>
      </c>
      <c r="G18" s="65">
        <v>46218</v>
      </c>
      <c r="H18" s="25">
        <v>46219</v>
      </c>
      <c r="I18" s="25"/>
      <c r="J18" s="68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211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66" t="s">
        <v>212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66" t="s">
        <v>213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66" t="s">
        <v>212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27567</v>
      </c>
      <c r="B25" s="23">
        <v>1</v>
      </c>
      <c r="C25" s="24" t="s">
        <v>417</v>
      </c>
      <c r="D25" s="23">
        <v>112036</v>
      </c>
      <c r="E25" s="24" t="s">
        <v>418</v>
      </c>
      <c r="F25" s="49">
        <v>1</v>
      </c>
      <c r="G25" s="25">
        <v>46237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419</v>
      </c>
      <c r="R25" s="50"/>
    </row>
    <row r="26" spans="1:18" x14ac:dyDescent="0.25">
      <c r="A26" s="23">
        <v>27575</v>
      </c>
      <c r="B26" s="23">
        <v>1</v>
      </c>
      <c r="C26" s="24" t="s">
        <v>179</v>
      </c>
      <c r="D26" s="23">
        <v>774016</v>
      </c>
      <c r="E26" s="24" t="s">
        <v>214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2</v>
      </c>
      <c r="C27" s="24" t="s">
        <v>179</v>
      </c>
      <c r="D27" s="23">
        <v>774016</v>
      </c>
      <c r="E27" s="24" t="s">
        <v>214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3</v>
      </c>
      <c r="C28" s="24" t="s">
        <v>179</v>
      </c>
      <c r="D28" s="23">
        <v>774017</v>
      </c>
      <c r="E28" s="24" t="s">
        <v>215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27575</v>
      </c>
      <c r="B29" s="23">
        <v>4</v>
      </c>
      <c r="C29" s="24" t="s">
        <v>179</v>
      </c>
      <c r="D29" s="23">
        <v>774017</v>
      </c>
      <c r="E29" s="24" t="s">
        <v>215</v>
      </c>
      <c r="F29" s="49">
        <v>1</v>
      </c>
      <c r="G29" s="25">
        <v>46239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190</v>
      </c>
      <c r="R29" s="50"/>
    </row>
    <row r="30" spans="1:18" x14ac:dyDescent="0.25">
      <c r="A30" s="23">
        <v>27524</v>
      </c>
      <c r="B30" s="23">
        <v>1</v>
      </c>
      <c r="C30" s="24" t="s">
        <v>174</v>
      </c>
      <c r="D30" s="23">
        <v>299528</v>
      </c>
      <c r="E30" s="24" t="s">
        <v>216</v>
      </c>
      <c r="F30" s="49">
        <v>1</v>
      </c>
      <c r="G30" s="25">
        <v>46245</v>
      </c>
      <c r="H30" s="25" t="s">
        <v>77</v>
      </c>
      <c r="I30" s="25" t="s">
        <v>77</v>
      </c>
      <c r="J30" s="25" t="s">
        <v>77</v>
      </c>
      <c r="K30" s="25" t="s">
        <v>77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188</v>
      </c>
      <c r="R30" s="50"/>
    </row>
    <row r="31" spans="1:18" x14ac:dyDescent="0.25">
      <c r="A31" s="23">
        <v>27587</v>
      </c>
      <c r="B31" s="23">
        <v>1</v>
      </c>
      <c r="C31" s="24" t="s">
        <v>183</v>
      </c>
      <c r="D31" s="23">
        <v>1608001</v>
      </c>
      <c r="E31" s="24" t="s">
        <v>217</v>
      </c>
      <c r="F31" s="49">
        <v>1</v>
      </c>
      <c r="G31" s="25">
        <v>46246</v>
      </c>
      <c r="H31" s="80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183</v>
      </c>
      <c r="D32" s="23">
        <v>1608002</v>
      </c>
      <c r="E32" s="24" t="s">
        <v>217</v>
      </c>
      <c r="F32" s="49">
        <v>1</v>
      </c>
      <c r="G32" s="25">
        <v>46246</v>
      </c>
      <c r="H32" s="80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183</v>
      </c>
      <c r="D33" s="23">
        <v>1608002</v>
      </c>
      <c r="E33" s="24" t="s">
        <v>217</v>
      </c>
      <c r="F33" s="49">
        <v>1</v>
      </c>
      <c r="G33" s="25">
        <v>46246</v>
      </c>
      <c r="H33" s="80">
        <v>46213</v>
      </c>
      <c r="I33" s="25"/>
      <c r="J33" s="25">
        <v>46226</v>
      </c>
      <c r="K33" s="25"/>
      <c r="L33" s="25" t="s">
        <v>77</v>
      </c>
      <c r="M33" s="25" t="s">
        <v>77</v>
      </c>
      <c r="N33" s="25" t="s">
        <v>77</v>
      </c>
      <c r="O33" s="25" t="s">
        <v>77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184</v>
      </c>
      <c r="D34" s="23">
        <v>1609001</v>
      </c>
      <c r="E34" s="24" t="s">
        <v>218</v>
      </c>
      <c r="F34" s="49">
        <v>1</v>
      </c>
      <c r="G34" s="25">
        <v>46253</v>
      </c>
      <c r="H34" s="80">
        <v>46213</v>
      </c>
      <c r="I34" s="27"/>
      <c r="J34" s="27">
        <v>46228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 t="s">
        <v>191</v>
      </c>
      <c r="R34" s="50"/>
    </row>
    <row r="35" spans="1:18" x14ac:dyDescent="0.25">
      <c r="A35" s="23">
        <v>27599</v>
      </c>
      <c r="B35" s="23">
        <v>1</v>
      </c>
      <c r="C35" s="48" t="s">
        <v>174</v>
      </c>
      <c r="D35" s="23">
        <v>299374</v>
      </c>
      <c r="E35" s="24" t="s">
        <v>219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77</v>
      </c>
      <c r="M35" s="26" t="s">
        <v>77</v>
      </c>
      <c r="N35" s="26" t="s">
        <v>77</v>
      </c>
      <c r="O35" s="26" t="s">
        <v>77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174</v>
      </c>
      <c r="D36" s="23">
        <v>299528</v>
      </c>
      <c r="E36" s="24" t="s">
        <v>216</v>
      </c>
      <c r="F36" s="49">
        <v>1</v>
      </c>
      <c r="G36" s="25">
        <v>46255</v>
      </c>
      <c r="H36" s="26" t="s">
        <v>77</v>
      </c>
      <c r="I36" s="26" t="s">
        <v>77</v>
      </c>
      <c r="J36" s="26" t="s">
        <v>77</v>
      </c>
      <c r="K36" s="26" t="s">
        <v>77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188</v>
      </c>
      <c r="R36" s="50"/>
    </row>
    <row r="37" spans="1:18" x14ac:dyDescent="0.25">
      <c r="A37" s="23">
        <v>27600</v>
      </c>
      <c r="B37" s="23">
        <v>1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46259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182</v>
      </c>
      <c r="D43" s="23" t="s">
        <v>77</v>
      </c>
      <c r="E43" s="24" t="s">
        <v>220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182</v>
      </c>
      <c r="D44" s="23" t="s">
        <v>77</v>
      </c>
      <c r="E44" s="24" t="s">
        <v>221</v>
      </c>
      <c r="F44" s="49">
        <v>1</v>
      </c>
      <c r="G44" s="25">
        <v>46269</v>
      </c>
      <c r="H44" s="27" t="s">
        <v>77</v>
      </c>
      <c r="I44" s="26" t="s">
        <v>77</v>
      </c>
      <c r="J44" s="26" t="s">
        <v>77</v>
      </c>
      <c r="K44" s="26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174</v>
      </c>
      <c r="D45" s="23">
        <v>299208</v>
      </c>
      <c r="E45" s="24" t="s">
        <v>222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77</v>
      </c>
      <c r="M45" s="26" t="s">
        <v>77</v>
      </c>
      <c r="N45" s="26" t="s">
        <v>77</v>
      </c>
      <c r="O45" s="26" t="s">
        <v>77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46279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182</v>
      </c>
      <c r="D52" s="23" t="s">
        <v>77</v>
      </c>
      <c r="E52" s="24" t="s">
        <v>220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182</v>
      </c>
      <c r="D53" s="23" t="s">
        <v>77</v>
      </c>
      <c r="E53" s="24" t="s">
        <v>221</v>
      </c>
      <c r="F53" s="49">
        <v>1</v>
      </c>
      <c r="G53" s="25">
        <v>46289</v>
      </c>
      <c r="H53" s="27" t="s">
        <v>77</v>
      </c>
      <c r="I53" s="27" t="s">
        <v>77</v>
      </c>
      <c r="J53" s="26" t="s">
        <v>77</v>
      </c>
      <c r="K53" s="27" t="s">
        <v>77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174</v>
      </c>
      <c r="D54" s="23">
        <v>299303</v>
      </c>
      <c r="E54" s="24" t="s">
        <v>223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77</v>
      </c>
      <c r="M54" s="26" t="s">
        <v>77</v>
      </c>
      <c r="N54" s="26" t="s">
        <v>77</v>
      </c>
      <c r="O54" s="26" t="s">
        <v>77</v>
      </c>
      <c r="P54" s="25" t="s">
        <v>61</v>
      </c>
      <c r="Q54" s="26">
        <v>496</v>
      </c>
      <c r="R54" s="50"/>
    </row>
  </sheetData>
  <autoFilter ref="A1:N54" xr:uid="{276B14C1-1A52-4B27-91DF-D329FDD63C7A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2026-07-07T13:45:35Z</dcterms:modified>
</cp:coreProperties>
</file>