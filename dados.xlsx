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E4A9A2AD-F6F2-43E5-9671-682B9C4521DE}" xr6:coauthVersionLast="47" xr6:coauthVersionMax="47" xr10:uidLastSave="{00000000-0000-0000-0000-000000000000}"/>
  <bookViews>
    <workbookView xWindow="-120" yWindow="-120" windowWidth="29040" windowHeight="15720" activeTab="1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 e EIXO" sheetId="7" r:id="rId6"/>
    <sheet name="VI DIVERSOS" sheetId="10" r:id="rId7"/>
    <sheet name="PLANEJADO BAGACEIRA" sheetId="5" state="hidden" r:id="rId8"/>
  </sheets>
  <definedNames>
    <definedName name="_xlnm._FilterDatabase" localSheetId="6" hidden="1">'VI DIVERSOS'!$A$1:$N$53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89" i="9" l="1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R2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<sst xmlns="http://schemas.openxmlformats.org/spreadsheetml/2006/main" count="4560" uniqueCount="271">
  <si>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</si>
  <si>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</si>
  <si>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</si>
  <si>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</si>
  <si>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</si>
  <si>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</si>
  <si>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</si>
  <si>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</si>
  <si>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</si>
  <si>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</si>
  <si>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</si>
  <si>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</si>
  <si>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</si>
  <si>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</si>
  <si>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</si>
  <si>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</si>
  <si>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</si>
  <si>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</si>
  <si>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</si>
  <si>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</si>
  <si>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</si>
  <si>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</si>
  <si>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</si>
  <si>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</si>
  <si>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</si>
  <si>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</si>
  <si>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</si>
  <si>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</si>
  <si>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</si>
  <si>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</si>
  <si>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</si>
  <si>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</si>
  <si>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</si>
  <si>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</si>
  <si>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</si>
  <si>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</si>
  <si>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</si>
  <si>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</si>
  <si>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</si>
  <si>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</si>
  <si>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</si>
  <si>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</si>
  <si>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</si>
  <si>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</si>
  <si>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</si>
  <si>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</si>
  <si>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</si>
  <si>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</si>
  <si>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</si>
  <si>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</si>
  <si>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</si>
  <si>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</si>
  <si>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</si>
  <si>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</si>
  <si>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</si>
  <si>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</si>
  <si>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</si>
  <si>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</si>
  <si>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</si>
  <si>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</si>
  <si>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</si>
  <si>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</si>
  <si>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</si>
  <si>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</si>
  <si>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</si>
  <si>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</si>
  <si>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</si>
  <si>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</si>
  <si>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</si>
  <si>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</si>
  <si>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</si>
  <si>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</si>
  <si>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</si>
  <si>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</si>
  <si>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</si>
  <si>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</si>
  <si>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</si>
  <si>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</si>
  <si>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</si>
  <si>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</si>
  <si>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</si>
  <si>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</si>
  <si>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</si>
  <si>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</si>
  <si>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</si>
  <si>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</si>
  <si>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</si>
  <si>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</si>
  <si>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</si>
  <si>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</si>
  <si>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</si>
  <si>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</si>
  <si>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</si>
  <si>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</si>
  <si>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</si>
  <si>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</si>
  <si>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</si>
  <si>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</si>
  <si>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</si>
  <si>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</si>
  <si>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</si>
  <si>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</si>
  <si>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</si>
  <si>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</si>
  <si>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</si>
  <si>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</si>
  <si>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</si>
  <si>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</si>
  <si>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</si>
  <si>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</si>
  <si>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</si>
  <si>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</si>
  <si>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</si>
  <si>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</si>
  <si>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</si>
  <si>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</si>
  <si>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</si>
  <si>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</si>
  <si>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</si>
  <si>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</si>
  <si>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</si>
  <si>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</si>
  <si>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</si>
  <si>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</si>
  <si>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</si>
  <si>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</si>
  <si>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</si>
  <si>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</si>
  <si>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</si>
  <si>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</si>
  <si>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</si>
  <si>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</si>
  <si>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</si>
  <si>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</si>
  <si>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</si>
  <si>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</si>
  <si>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</si>
  <si>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</si>
  <si>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</si>
  <si>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</si>
  <si>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</si>
  <si>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</si>
  <si>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</si>
  <si>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</si>
  <si>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</si>
  <si>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</si>
  <si>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</si>
  <si>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</si>
  <si>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</si>
  <si>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</si>
  <si>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</si>
  <si>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</si>
  <si>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</si>
  <si>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</si>
  <si>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</si>
  <si>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</si>
  <si>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</si>
  <si>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</si>
  <si>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</si>
  <si>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</si>
  <si>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</si>
  <si>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</si>
  <si>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</si>
  <si>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</si>
  <si>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</si>
  <si>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</si>
  <si>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</si>
  <si>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</si>
  <si>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</si>
  <si>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</si>
  <si>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RNC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</si>
  <si>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</si>
  <si>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</si>
  <si>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</si>
  <si>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</si>
  <si>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</si>
  <si>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</si>
  <si>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</si>
  <si>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</si>
  <si>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</si>
  <si>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</si>
  <si>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</si>
  <si>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</si>
  <si>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</si>
  <si>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</si>
  <si>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</si>
  <si>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</si>
  <si>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</si>
  <si>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</si>
  <si>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</si>
  <si>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</si>
  <si>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</si>
  <si>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</si>
  <si>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</si>
  <si>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</si>
  <si>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</si>
  <si>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</si>
  <si>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</si>
  <si>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</si>
  <si>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</si>
  <si>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</si>
  <si>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</si>
  <si>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</si>
  <si>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</si>
  <si>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</si>
  <si>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</si>
  <si>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</si>
  <si>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</si>
  <si>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ANEL DE AJUSTE HP500/HP600E FUND. C/ USIN. EM DESB.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</si>
  <si>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</si>
  <si>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</si>
  <si>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</si>
  <si>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</si>
  <si>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</si>
  <si>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</si>
  <si>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</si>
  <si>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</si>
  <si>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</si>
  <si>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</si>
  <si>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</si>
  <si>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</si>
  <si>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</si>
  <si>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</si>
  <si>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</si>
  <si>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</si>
  <si>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</si>
  <si>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</si>
  <si>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</si>
  <si>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</si>
  <si>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Recurso Usinagem
Camisa</t>
  </si>
  <si>
    <t>Recurso Usinagem
Eixo</t>
  </si>
  <si>
    <t>Insp - Laudo</t>
  </si>
  <si>
    <t>Nº Laudo</t>
  </si>
  <si>
    <t>Status
Eixo</t>
  </si>
  <si>
    <t>Torno / Radial  / Soldar / Broq. / Encam.</t>
  </si>
  <si>
    <t>Cofco</t>
  </si>
  <si>
    <t>AG. PEÇA CLIENTE</t>
  </si>
  <si>
    <t>AG. BOQUILHAS - PED. 25567 - HTEC - 29/06</t>
  </si>
  <si>
    <r>
      <rPr>
        <strike/>
        <sz val="10"/>
        <color theme="1"/>
        <rFont val="Aptos Display"/>
        <family val="2"/>
        <scheme val="major"/>
      </rPr>
      <t>torno</t>
    </r>
    <r>
      <rPr>
        <sz val="10"/>
        <color theme="1"/>
        <rFont val="Aptos Display"/>
        <family val="2"/>
        <scheme val="major"/>
      </rPr>
      <t xml:space="preserve"> / </t>
    </r>
    <r>
      <rPr>
        <strike/>
        <sz val="10"/>
        <color theme="1"/>
        <rFont val="Aptos Display"/>
        <family val="2"/>
        <scheme val="major"/>
      </rPr>
      <t>coletor</t>
    </r>
    <r>
      <rPr>
        <sz val="10"/>
        <color theme="1"/>
        <rFont val="Aptos Display"/>
        <family val="2"/>
        <scheme val="major"/>
      </rPr>
      <t xml:space="preserve"> / </t>
    </r>
    <r>
      <rPr>
        <strike/>
        <sz val="10"/>
        <color theme="1"/>
        <rFont val="Aptos Display"/>
        <family val="2"/>
        <scheme val="major"/>
      </rPr>
      <t>radial</t>
    </r>
    <r>
      <rPr>
        <sz val="10"/>
        <color theme="1"/>
        <rFont val="Aptos Display"/>
        <family val="2"/>
        <scheme val="major"/>
      </rPr>
      <t xml:space="preserve"> / </t>
    </r>
    <r>
      <rPr>
        <strike/>
        <sz val="10"/>
        <color theme="1"/>
        <rFont val="Aptos Display"/>
        <family val="2"/>
        <scheme val="major"/>
      </rPr>
      <t>boquilha</t>
    </r>
    <r>
      <rPr>
        <sz val="10"/>
        <color theme="1"/>
        <rFont val="Aptos Display"/>
        <family val="2"/>
        <scheme val="major"/>
      </rPr>
      <t xml:space="preserve"> / montagem / torno / broq / encamisar</t>
    </r>
  </si>
  <si>
    <t>84"</t>
  </si>
  <si>
    <t>torno / coletor / radial / boquilha / montagem / torno / broq / encamisar</t>
  </si>
  <si>
    <t>EM USINAGEM</t>
  </si>
  <si>
    <t>84(01)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</si>
  <si>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</si>
  <si>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</si>
  <si>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</si>
  <si>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</si>
  <si>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</si>
  <si>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</si>
  <si>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</si>
  <si>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</si>
  <si>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Nº Eixo2</t>
  </si>
  <si>
    <t>84(03)</t>
  </si>
  <si>
    <t>84(02)</t>
  </si>
  <si>
    <t>Embuch</t>
  </si>
  <si>
    <t>RP4</t>
  </si>
  <si>
    <t>AN24</t>
  </si>
  <si>
    <t>Prazo
Entrega
Eixo</t>
  </si>
  <si>
    <t>Prazo
Entrega
Camisa</t>
  </si>
  <si>
    <t>Prazo
Fund</t>
  </si>
  <si>
    <t>Prazo
Fund Real</t>
  </si>
  <si>
    <t>Grafitar - Torno - Solda</t>
  </si>
  <si>
    <t>Rec
Eixo</t>
  </si>
  <si>
    <t>AG. LIBERAÇÃO CLIENTE</t>
  </si>
  <si>
    <t xml:space="preserve"> Insp - Laudo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</si>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</sst>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d/mm/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trike/>
      <sz val="10"/>
      <color theme="1"/>
      <name val="Aptos Display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14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118" dataDxfId="117">
  <autoFilter ref="A1:AI114" xr:uid="{0B979512-8F08-4F92-A755-B1320B33B48D}">
    <filterColumn colId="12">
      <filters>
        <dateGroupItem year="2026" month="7" day="10" dateTimeGrouping="day"/>
        <dateGroupItem year="2026" month="7" day="17" dateTimeGrouping="day"/>
        <dateGroupItem year="2026" month="7" day="24" dateTimeGrouping="day"/>
        <dateGroupItem year="2026" month="7" day="31" dateTimeGrouping="day"/>
      </filters>
    </filterColumn>
  </autoFilter>
  <tableColumns count="35">
    <tableColumn id="1" xr3:uid="{2AE87B23-57FB-4D7F-8BFD-D65EC0053BA3}" name="PV" dataDxfId="116"/>
    <tableColumn id="2" xr3:uid="{81052488-0765-4420-B185-DA73AE55FD88}" name="Item" dataDxfId="115"/>
    <tableColumn id="3" xr3:uid="{0E7DB960-0044-4341-ADB4-2A033B27B993}" name="O.S." dataDxfId="114"/>
    <tableColumn id="4" xr3:uid="{B0F20CBE-FFF4-445B-B0BF-7A9C6A140189}" name="Item2" dataDxfId="113"/>
    <tableColumn id="5" xr3:uid="{D1656E30-4AB0-4CD0-BF13-6D5A49C6E4A0}" name="Cliente" dataDxfId="112"/>
    <tableColumn id="6" xr3:uid="{71A11213-5711-429D-A6E0-A2F44677AD5D}" name="Peça" dataDxfId="111"/>
    <tableColumn id="7" xr3:uid="{3F7FD9F6-0726-4021-82B3-E31575A97A46}" name="Seq." dataDxfId="110"/>
    <tableColumn id="8" xr3:uid="{0D871CDA-AC7B-4365-B4FD-95C8967CF254}" name="Descrição" dataDxfId="109"/>
    <tableColumn id="9" xr3:uid="{9C6311D3-DE8E-4A12-8716-11D7CF745EA9}" name="Qtde." dataDxfId="108"/>
    <tableColumn id="10" xr3:uid="{0D119764-5D6A-44D7-A0C6-EAAE37326AEF}" name="Prazo_x000a_Fundido" dataDxfId="107"/>
    <tableColumn id="20" xr3:uid="{2835FDBA-B893-4E1E-9252-D088967B6B9B}" name="Semana_x000a_Fundido" dataDxfId="106">
      <calculatedColumnFormula>WEEKNUM(Tabela1[[#This Row],[Prazo
Fundido]])</calculatedColumnFormula>
    </tableColumn>
    <tableColumn id="11" xr3:uid="{357F67DE-6B6F-4353-906F-4FBB26ED7226}" name="Pz Fundido_x000a_Real" dataDxfId="105"/>
    <tableColumn id="12" xr3:uid="{5CF37CA2-8EC2-4A06-8A50-1305C1129D14}" name="Prazo_x000a_Entrega" dataDxfId="104"/>
    <tableColumn id="36" xr3:uid="{903E641C-0F4A-465E-9B87-4C77A3724350}" name="Pz Entrega_x000a_Real" dataDxfId="103"/>
    <tableColumn id="14" xr3:uid="{49E3A48F-4FBA-45ED-9BE5-0D3F2C039F64}" name="Dias_x000a_Falta2" dataDxfId="102">
      <calculatedColumnFormula>Tabela1[[#This Row],[Prazo
Entrega]]-TODAY()</calculatedColumnFormula>
    </tableColumn>
    <tableColumn id="24" xr3:uid="{FE82CCB3-C196-4A10-9CDF-EC3AAB610284}" name="Indicador" dataDxfId="101">
      <calculatedColumnFormula>IF(O2&lt;0,"ATRASADO",IF(O2&lt;=15,"ATENÇÃO","NO PRAZO"))</calculatedColumnFormula>
    </tableColumn>
    <tableColumn id="21" xr3:uid="{0E3EA19A-D149-4026-9EFA-582C442CDE24}" name="Semana_x000a_Entrega" dataDxfId="100">
      <calculatedColumnFormula>WEEKNUM(Tabela1[[#This Row],[Prazo
Entrega]],1)</calculatedColumnFormula>
    </tableColumn>
    <tableColumn id="22" xr3:uid="{8BBF8940-A612-415C-B30B-5BED69C42E59}" name="CONDIÇÃO" dataDxfId="99"/>
    <tableColumn id="35" xr3:uid="{DF0F32C7-2632-41CB-B20E-BE67D32DDFF8}" name="Desenho_x000a_Previsão" dataDxfId="98"/>
    <tableColumn id="33" xr3:uid="{B0C0F319-983E-42D8-8584-16523AED9BC7}" name="Des." dataDxfId="97"/>
    <tableColumn id="32" xr3:uid="{BB84EAAB-24E7-433E-8DE8-B7705F525D65}" name="Plainar" dataDxfId="96"/>
    <tableColumn id="31" xr3:uid="{811011C2-9E33-4F8A-BCD2-260DDF4CC060}" name="Facear" dataDxfId="95"/>
    <tableColumn id="30" xr3:uid="{EFE986D2-325F-4223-A6FC-89AFC0782517}" name="Serrar" dataDxfId="94"/>
    <tableColumn id="29" xr3:uid="{806CC413-43AC-4EDE-9413-A2852780B283}" name="Solda Dura" dataDxfId="93"/>
    <tableColumn id="28" xr3:uid="{669E3B74-6C47-4551-B95C-DE764412CB09}" name="Encaixe" dataDxfId="92"/>
    <tableColumn id="27" xr3:uid="{33B1427B-026C-4955-BEDC-C39ECFB35542}" name="Furação" dataDxfId="91"/>
    <tableColumn id="34" xr3:uid="{2004DA6B-65E8-4CFF-8DD6-03937C8E23A7}" name="Acabam." dataDxfId="90"/>
    <tableColumn id="25" xr3:uid="{94AD153B-B1BE-422C-9B64-A3F125946AE5}" name="Liberação" dataDxfId="89"/>
    <tableColumn id="23" xr3:uid="{6FFD36BA-4C85-4732-ACA9-BC9D46F4C26B}" name="Status Usinagem" dataDxfId="88">
      <calculatedColumnFormula>IF(L2="","AG. FUNDIDO",IF(U2="AG","AG. USINAGEM","EM USINAGEM"))</calculatedColumnFormula>
    </tableColumn>
    <tableColumn id="26" xr3:uid="{DF8CD1DA-6F25-4291-9F78-DB8D5E9AF463}" name="Observação" dataDxfId="87"/>
    <tableColumn id="15" xr3:uid="{8F53CFFE-8E1C-41F5-9090-488AE701829C}" name="Plainar_x000a_Facear" dataDxfId="86"/>
    <tableColumn id="16" xr3:uid="{EB12A620-BA24-453B-B639-A28F83CF7950}" name="Serrar2" dataDxfId="85"/>
    <tableColumn id="17" xr3:uid="{46D65A07-940A-4560-AFE5-056D37171937}" name="Solda_x000a_Dura2" dataDxfId="84"/>
    <tableColumn id="18" xr3:uid="{97823986-0C6D-4D6F-9BEE-2E43C2286AB2}" name="Encaixe /_x000a_Furação" dataDxfId="83"/>
    <tableColumn id="19" xr3:uid="{6F1924AE-480F-421A-BD70-FA16D1D4E641}" name="Acabam./_x000a_Inspeção" dataDxfId="82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31" totalsRowShown="0" headerRowDxfId="81" dataDxfId="80">
  <autoFilter ref="A1:V131" xr:uid="{71E71FAB-CF6D-4765-90BA-ABDE8C3299DB}">
    <filterColumn colId="5">
      <filters>
        <filter val="1495052"/>
      </filters>
    </filterColumn>
  </autoFilter>
  <tableColumns count="22">
    <tableColumn id="1" xr3:uid="{8F000DF9-1B1A-450A-B138-9EDBA7F17698}" name="PV" dataDxfId="79"/>
    <tableColumn id="2" xr3:uid="{4269DD7F-E557-42AF-949B-69AB74B45D7E}" name="Item" dataDxfId="78"/>
    <tableColumn id="3" xr3:uid="{B8E3D127-9007-43BC-9B71-611446984BAE}" name="O.S." dataDxfId="77"/>
    <tableColumn id="4" xr3:uid="{8A9FBC4E-431D-4132-B7C4-86DD1CC31C1D}" name="Item2" dataDxfId="76"/>
    <tableColumn id="5" xr3:uid="{E43CCBA4-A724-44DA-9BFB-2AD45322EC54}" name="Cliente" dataDxfId="75"/>
    <tableColumn id="6" xr3:uid="{301560AA-7C28-4FE5-AC00-2A14532B12A0}" name="Peça" dataDxfId="74"/>
    <tableColumn id="7" xr3:uid="{864BB541-5CD2-4DAB-AEC1-ADDD341A77F2}" name="Seq." dataDxfId="73"/>
    <tableColumn id="8" xr3:uid="{39F09B1D-71EC-461C-93C5-C5FCECCA0EC0}" name="Descrição" dataDxfId="72"/>
    <tableColumn id="9" xr3:uid="{0CC8781A-4370-473C-AD18-F562622EB79C}" name="Qtde." dataDxfId="71"/>
    <tableColumn id="10" xr3:uid="{8FC48674-090B-441A-B05D-5E7E4AB5177C}" name="Prazo_x000a_Fundido" dataDxfId="70"/>
    <tableColumn id="11" xr3:uid="{2B85402B-261F-4CF1-8AC4-DE439E438480}" name="Semana_x000a_Fundido" dataDxfId="69">
      <calculatedColumnFormula>WEEKNUM(Tabela3[[#This Row],[Prazo
Fundido]])</calculatedColumnFormula>
    </tableColumn>
    <tableColumn id="12" xr3:uid="{F410DF31-AFC5-4525-B8D3-A2AB464611B3}" name="Pz Fundido_x000a_Real" dataDxfId="68"/>
    <tableColumn id="13" xr3:uid="{7330A8B8-B0FE-4571-921F-35503842576A}" name="Prazo_x000a_Entrega" dataDxfId="67"/>
    <tableColumn id="23" xr3:uid="{050BF892-6E0A-4C1A-85E3-06353D54D7AC}" name="Pz Entrega_x000a_Real" dataDxfId="66"/>
    <tableColumn id="22" xr3:uid="{07396B9E-F2A0-47CC-B1C1-8D6A8D782E82}" name="Desenho_x000a_Previsão" dataDxfId="65"/>
    <tableColumn id="14" xr3:uid="{98904960-EE6F-4F44-87C3-8646B8C2D461}" name="Des." dataDxfId="64"/>
    <tableColumn id="15" xr3:uid="{4C38D84D-3A40-493A-A007-3826C38C0F9D}" name="Dias_x000a_Falta2" dataDxfId="63">
      <calculatedColumnFormula>Tabela3[[#This Row],[Prazo
Entrega]]-TODAY()</calculatedColumnFormula>
    </tableColumn>
    <tableColumn id="16" xr3:uid="{431C9D70-8530-4071-911B-7AAC65DE848C}" name="Indicador" dataDxfId="62">
      <calculatedColumnFormula>IF(Q2&lt;0,"ATRASADO",IF(Q2&lt;=15,"ATENÇÃO","NO PRAZO"))</calculatedColumnFormula>
    </tableColumn>
    <tableColumn id="17" xr3:uid="{37B1BAB9-4A72-4AB5-85A7-CFF0F27D94A6}" name="Semana_x000a_Entrega" dataDxfId="61">
      <calculatedColumnFormula>WEEKNUM(Tabela3[[#This Row],[Prazo
Entrega]])</calculatedColumnFormula>
    </tableColumn>
    <tableColumn id="19" xr3:uid="{A127FC22-0D53-4D0F-B783-28394B3FD90C}" name="CONDIÇÃO" dataDxfId="60"/>
    <tableColumn id="20" xr3:uid="{F610A49E-78E2-480E-B901-6B99A41E5174}" name="Status Usinagem" dataDxfId="59"/>
    <tableColumn id="21" xr3:uid="{FA7288EB-0143-4C36-8591-BF7231A8226E}" name="Observação" dataDxfId="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5" totalsRowShown="0" headerRowDxfId="57" dataDxfId="56">
  <autoFilter ref="A1:Z35" xr:uid="{2AC5416C-4E1B-4478-8A2A-B698870CAB96}"/>
  <tableColumns count="26">
    <tableColumn id="1" xr3:uid="{9A983B4E-3365-4153-9B40-D7FE26E8B98F}" name="PV " dataDxfId="55"/>
    <tableColumn id="2" xr3:uid="{4F16CD54-AAD4-4149-8D48-CC3FFEA93AA5}" name="Item" dataDxfId="54"/>
    <tableColumn id="3" xr3:uid="{27DB1DBC-B9DA-4067-9696-8CA5ACAAA450}" name="OS" dataDxfId="53"/>
    <tableColumn id="4" xr3:uid="{02C5E283-8ABF-44F8-B3B8-C3F186B4DF63}" name="Item2" dataDxfId="52"/>
    <tableColumn id="5" xr3:uid="{B1051CBE-EA72-4A43-8721-8756F3E2C9C9}" name="Cliente" dataDxfId="51"/>
    <tableColumn id="6" xr3:uid="{D81DBB81-327B-4EA3-89A3-229D33F3C14C}" name="Cod." dataDxfId="50"/>
    <tableColumn id="7" xr3:uid="{05B3DC4D-BFB9-401F-A18F-0D1B8527380B}" name="Seq." dataDxfId="49"/>
    <tableColumn id="8" xr3:uid="{9EBF401A-1F29-4CB3-BFA3-F2B326242AB0}" name="Descrição" dataDxfId="48"/>
    <tableColumn id="14" xr3:uid="{85D3397C-7F95-49C7-BFFB-35012CA3B716}" name="Qtd." dataDxfId="47"/>
    <tableColumn id="9" xr3:uid="{0D04583C-577A-446B-9773-A173C5C1C166}" name="Data Prev._x000a_Fundido" dataDxfId="46"/>
    <tableColumn id="10" xr3:uid="{935D3899-0C12-4408-89DF-490A507F79BA}" name="Data Real_x000a_Fundido" dataDxfId="45"/>
    <tableColumn id="11" xr3:uid="{0F06941F-293B-4C15-9764-BB3495C5D3BD}" name="Data Prev._x000a_Entrega" dataDxfId="44"/>
    <tableColumn id="12" xr3:uid="{92FF2511-5498-45BF-9B68-94DBEA588C5A}" name="Data Real_x000a_Entrega" dataDxfId="43"/>
    <tableColumn id="25" xr3:uid="{98545C7E-9674-485C-A07D-715E8945B00E}" name="Falta_x000a_Dias" dataDxfId="42">
      <calculatedColumnFormula>Tabela13[[#This Row],[Data Prev.
Entrega]]-TODAY()</calculatedColumnFormula>
    </tableColumn>
    <tableColumn id="27" xr3:uid="{4EB63243-AA79-4695-93C8-CEA977B11387}" name="Indicador" dataDxfId="41">
      <calculatedColumnFormula>IF(N2&lt;0,"ATRASADO",IF(N2&lt;=15,"ATENÇÃO","NO PRAZO"))</calculatedColumnFormula>
    </tableColumn>
    <tableColumn id="15" xr3:uid="{7AB992C1-F70E-4469-85BB-EBB7763B2038}" name="Condição" dataDxfId="40"/>
    <tableColumn id="24" xr3:uid="{B5965349-4BC8-4DF7-9EB4-857B6D471E8A}" name="Desenho_x000a_Previsão" dataDxfId="39"/>
    <tableColumn id="13" xr3:uid="{FD827F61-5F7F-4B65-8A60-B59D23455B46}" name="Des." dataDxfId="38"/>
    <tableColumn id="16" xr3:uid="{3D186A5F-076F-4232-B21C-37E58E5373B2}" name="Desb." dataDxfId="37"/>
    <tableColumn id="17" xr3:uid="{6EEDF11E-F341-4B3E-8CD2-5595785C3427}" name="T.T." dataDxfId="36"/>
    <tableColumn id="18" xr3:uid="{A84EFCF4-218F-4B17-8F46-8D5412141429}" name="Us. Final" dataDxfId="35"/>
    <tableColumn id="19" xr3:uid="{EBD50149-594D-440E-BFBB-E73ACAF7B6F8}" name="Fundo D." dataDxfId="34"/>
    <tableColumn id="20" xr3:uid="{91BE30ED-20C1-4F30-9041-45A50CCA04F0}" name="Acabam." dataDxfId="33"/>
    <tableColumn id="21" xr3:uid="{A1A12DF6-FC3D-4466-8284-DBD00DEAF994}" name="Liberação" dataDxfId="32"/>
    <tableColumn id="22" xr3:uid="{436F202D-DCF4-4376-A550-2541153BD99F}" name="Status Usinagem" dataDxfId="31">
      <calculatedColumnFormula>IF(K2="","AG. FUNDIDO",IF(X2="OK","LIBERADA","EM USINAGEM"))</calculatedColumnFormula>
    </tableColumn>
    <tableColumn id="23" xr3:uid="{F71E5739-8B79-47B3-9A24-E2E4D1DD46E6}" name="Observação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89" totalsRowShown="0" headerRowDxfId="29" dataDxfId="28">
  <autoFilter ref="A1:T89" xr:uid="{8F2F252D-0322-4579-B9EF-622E98B5994C}"/>
  <tableColumns count="20">
    <tableColumn id="1" xr3:uid="{56D3DA8E-4CA8-4DC6-8208-BAB93CDE51C0}" name="PV" dataDxfId="27"/>
    <tableColumn id="2" xr3:uid="{B14AE1B6-8C05-4725-BF42-3DBDB37AA4E3}" name="item" dataDxfId="26"/>
    <tableColumn id="3" xr3:uid="{24FE1002-C88A-4623-8882-5F391ECAB319}" name="OS" dataDxfId="25"/>
    <tableColumn id="4" xr3:uid="{4ED6249C-2003-4F3F-AE5A-67316434275E}" name="Item2" dataDxfId="24"/>
    <tableColumn id="5" xr3:uid="{6CE5B2E1-F32C-4D32-93F0-A17C05267ADB}" name="Cliente" dataDxfId="23"/>
    <tableColumn id="6" xr3:uid="{605F51C8-79D3-407B-8642-02F131952C62}" name="Qtd." dataDxfId="22"/>
    <tableColumn id="7" xr3:uid="{3AC59FFB-0DC5-477B-B780-880A1FD84811}" name="Peça" dataDxfId="21"/>
    <tableColumn id="8" xr3:uid="{2EE377A7-B17C-442E-A107-012310DB953B}" name="Seq." dataDxfId="20"/>
    <tableColumn id="9" xr3:uid="{5366226E-7F3B-42E4-AC0C-86C659505CC8}" name="Descrição" dataDxfId="19"/>
    <tableColumn id="10" xr3:uid="{B0D229C5-5F5A-4951-A0B4-FEA62AEFBB36}" name="Prazo_x000a_Fundido" dataDxfId="18"/>
    <tableColumn id="11" xr3:uid="{8AE09F18-EB17-4537-8FBD-24671292144B}" name="Pz Fundido_x000a_Real" dataDxfId="17"/>
    <tableColumn id="12" xr3:uid="{965E0234-7E4B-482D-8943-132C1520AD21}" name="Prazo_x000a_Entrega" dataDxfId="16"/>
    <tableColumn id="13" xr3:uid="{D70BE32E-86AF-4C0F-893D-AC939E731683}" name="Pz Entrega_x000a_Real" dataDxfId="15"/>
    <tableColumn id="15" xr3:uid="{2FE637E5-62E2-4AE9-AE5A-BC264DC93D4F}" name="Falta_x000a_Dias" dataDxfId="14">
      <calculatedColumnFormula>Tabela4[[#This Row],[Prazo
Entrega]]-TODAY()</calculatedColumnFormula>
    </tableColumn>
    <tableColumn id="14" xr3:uid="{23AEF4D3-817F-4A15-AFBA-EC837E4BE1AE}" name="Indicador" dataDxfId="13">
      <calculatedColumnFormula>IF(N2&lt;0,"ATRASADO",IF(N2&lt;=15,"ATENÇÃO","NO PRAZO"))</calculatedColumnFormula>
    </tableColumn>
    <tableColumn id="16" xr3:uid="{78F55B7C-8E60-49C5-B1F7-B023E76BDA6E}" name="Condição" dataDxfId="12"/>
    <tableColumn id="20" xr3:uid="{A889C1FB-2FE0-407A-B849-FEB9F2CA4F96}" name="Desenho_x000a_Previsão" dataDxfId="11"/>
    <tableColumn id="19" xr3:uid="{FB1E21D0-A118-422F-AA5B-F56FFBA7B5E4}" name="Des." dataDxfId="10"/>
    <tableColumn id="17" xr3:uid="{C14325D6-C653-45B3-B85F-6AF107A71546}" name="Status" dataDxfId="9"/>
    <tableColumn id="18" xr3:uid="{C6F7CA6A-B8B3-4E22-B3E8-05FFB1A03AB6}" name="Observação" dataDxfId="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X18" totalsRowShown="0" headerRowDxfId="144" dataDxfId="143">
  <autoFilter ref="A1:X18" xr:uid="{08F50CE1-35A6-4ABA-9594-79B9C39908E8}"/>
  <tableColumns count="24">
    <tableColumn id="1" xr3:uid="{C25E2119-68FD-4765-BAFB-8CC2FA75E790}" name="PV" dataDxfId="142"/>
    <tableColumn id="2" xr3:uid="{39E67E43-7C76-4E6C-9319-15A91DE1C08C}" name="Item" dataDxfId="141"/>
    <tableColumn id="4" xr3:uid="{5B6759FC-B832-438E-B60C-770FAF7723FA}" name="Cliente" dataDxfId="140"/>
    <tableColumn id="5" xr3:uid="{20CFBF4C-4BD9-4F05-86D4-8A4AFFC243B2}" name="_x000a_O.S./Peça" dataDxfId="139"/>
    <tableColumn id="6" xr3:uid="{3994BD48-BFFD-46D2-9740-EDD282F2590D}" name="Descrição" dataDxfId="138"/>
    <tableColumn id="7" xr3:uid="{261AA518-FC82-431F-8839-D26554B59355}" name="Qtde." dataDxfId="137"/>
    <tableColumn id="24" xr3:uid="{0C566A21-B9D9-4AD7-A8B3-328E480EA286}" name="Bit" dataDxfId="136"/>
    <tableColumn id="26" xr3:uid="{C41F63A6-DC4C-42FE-A13B-3E56F237270D}" name="Terno" dataDxfId="135"/>
    <tableColumn id="16" xr3:uid="{FF0A908E-E8EE-4CA0-96FA-38C032BFEFDE}" name="Forma" dataDxfId="134"/>
    <tableColumn id="9" xr3:uid="{DE0283F8-D4F6-449C-A9CA-7DBCB898DFD9}" name="Prazo_x000a_Fund" dataDxfId="133"/>
    <tableColumn id="10" xr3:uid="{663D9716-4C25-4ACC-A105-E9E7A474BCE6}" name="Prazo_x000a_Fund Real" dataDxfId="132"/>
    <tableColumn id="11" xr3:uid="{6EF58C27-546C-4B57-B05D-BB07C2046388}" name="Prazo_x000a_Entrega_x000a_Camisa" dataDxfId="131"/>
    <tableColumn id="12" xr3:uid="{AC626966-9CA5-4150-82F1-50338494E847}" name="Pz Entrega_x000a_Real" dataDxfId="130"/>
    <tableColumn id="13" xr3:uid="{506EC589-7ED2-4A3B-BED8-6CA8F57277E1}" name="Desenho_x000a_Previsão" dataDxfId="129"/>
    <tableColumn id="14" xr3:uid="{A31AB572-7F13-4A5C-A42E-7E7A20433BDA}" name="Des." dataDxfId="128"/>
    <tableColumn id="17" xr3:uid="{6C88AA43-E1BE-49A6-BA89-47D0A25BCB2C}" name="Recurso Usinagem_x000a_Camisa" dataDxfId="127"/>
    <tableColumn id="18" xr3:uid="{F5387D14-C7D5-4022-901B-04E5D65304C7}" name="Status_x000a_Camisa" dataDxfId="126"/>
    <tableColumn id="32" xr3:uid="{BEC53105-CFFD-422E-9C30-4E4BC1816678}" name="Nº Eixo2" dataDxfId="125"/>
    <tableColumn id="31" xr3:uid="{75A53AF4-0F54-4590-BD96-F05C1573DAAA}" name="Rec_x000a_Eixo" dataDxfId="124"/>
    <tableColumn id="21" xr3:uid="{E4F9165E-8213-4A74-8458-2B70C50F9169}" name="Recurso Usinagem_x000a_Eixo" dataDxfId="123"/>
    <tableColumn id="22" xr3:uid="{DD97A210-9E2B-4A0B-AAFA-22D7F8571D7D}" name="Nº Laudo" dataDxfId="122"/>
    <tableColumn id="29" xr3:uid="{9A0D9E97-0991-4A6E-8B85-EED9CC983F8A}" name="Prazo_x000a_Entrega_x000a_Eixo" dataDxfId="121"/>
    <tableColumn id="23" xr3:uid="{28D59365-C375-479F-85A6-0CBB39E36BC5}" name="Status_x000a_Eixo" dataDxfId="120"/>
    <tableColumn id="19" xr3:uid="{A08285BC-8B0E-4492-A6AF-090B851B036D}" name="Observação" dataDxfId="1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view="pageBreakPreview" topLeftCell="B1" zoomScaleNormal="100" zoomScaleSheetLayoutView="100" workbookViewId="0">
      <selection activeCell="O11" sqref="O11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109</v>
      </c>
      <c r="T1" s="38" t="s">
        <v>84</v>
      </c>
      <c r="U1" s="38" t="s">
        <v>79</v>
      </c>
      <c r="V1" s="38" t="s">
        <v>80</v>
      </c>
      <c r="W1" s="38" t="s">
        <v>27</v>
      </c>
      <c r="X1" s="38" t="s">
        <v>86</v>
      </c>
      <c r="Y1" s="38" t="s">
        <v>83</v>
      </c>
      <c r="Z1" s="38" t="s">
        <v>87</v>
      </c>
      <c r="AA1" s="38" t="s">
        <v>88</v>
      </c>
      <c r="AB1" s="38" t="s">
        <v>89</v>
      </c>
      <c r="AC1" s="38" t="s">
        <v>60</v>
      </c>
      <c r="AD1" s="38" t="s">
        <v>73</v>
      </c>
      <c r="AE1" s="39" t="s">
        <v>26</v>
      </c>
      <c r="AF1" s="39" t="s">
        <v>81</v>
      </c>
      <c r="AG1" s="39" t="s">
        <v>82</v>
      </c>
      <c r="AH1" s="39" t="s">
        <v>29</v>
      </c>
      <c r="AI1" s="39" t="s">
        <v>30</v>
      </c>
    </row>
    <row r="2" spans="1:35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/>
      <c r="O2" s="40">
        <f ca="1">Tabela1[[#This Row],[Prazo
Entrega]]-TODAY()</f>
        <v>15</v>
      </c>
      <c r="P2" s="40" t="str">
        <f t="shared" ref="P2:P33" ca="1" si="0">IF(O2&lt;0,"ATRASADO",IF(O2&lt;=15,"ATENÇÃO","NO PRAZO"))</f>
        <v>ATENÇÃO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72</v>
      </c>
      <c r="X2" s="10" t="s">
        <v>77</v>
      </c>
      <c r="Y2" s="10" t="s">
        <v>69</v>
      </c>
      <c r="Z2" s="10" t="s">
        <v>69</v>
      </c>
      <c r="AA2" s="10" t="s">
        <v>85</v>
      </c>
      <c r="AB2" s="10" t="s">
        <v>72</v>
      </c>
      <c r="AC2" s="10" t="str">
        <f t="shared" ref="AC2:AC33" si="1">IF(L2="","AG. FUNDIDO",IF(U2="AG","AG. USINAGEM","EM USINAGEM"))</f>
        <v>EM USINAGEM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22</v>
      </c>
      <c r="P3" s="40" t="str">
        <f t="shared" ca="1" si="0"/>
        <v>NO PRAZO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85</v>
      </c>
      <c r="V3" s="10" t="s">
        <v>72</v>
      </c>
      <c r="W3" s="10" t="s">
        <v>72</v>
      </c>
      <c r="X3" s="10" t="s">
        <v>77</v>
      </c>
      <c r="Y3" s="10" t="s">
        <v>72</v>
      </c>
      <c r="Z3" s="10" t="s">
        <v>72</v>
      </c>
      <c r="AA3" s="10" t="s">
        <v>72</v>
      </c>
      <c r="AB3" s="10" t="s">
        <v>72</v>
      </c>
      <c r="AC3" s="10" t="str">
        <f t="shared" si="1"/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/>
      <c r="O4" s="40">
        <f ca="1">Tabela1[[#This Row],[Prazo
Entrega]]-TODAY()</f>
        <v>22</v>
      </c>
      <c r="P4" s="40" t="str">
        <f t="shared" ca="1" si="0"/>
        <v>NO PRAZO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85</v>
      </c>
      <c r="V4" s="10" t="s">
        <v>72</v>
      </c>
      <c r="W4" s="10" t="s">
        <v>72</v>
      </c>
      <c r="X4" s="10" t="s">
        <v>77</v>
      </c>
      <c r="Y4" s="10" t="s">
        <v>72</v>
      </c>
      <c r="Z4" s="10" t="s">
        <v>72</v>
      </c>
      <c r="AA4" s="10" t="s">
        <v>72</v>
      </c>
      <c r="AB4" s="10" t="s">
        <v>72</v>
      </c>
      <c r="AC4" s="10" t="str">
        <f t="shared" si="1"/>
        <v>EM USINAGEM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22</v>
      </c>
      <c r="P5" s="40" t="str">
        <f t="shared" ca="1" si="0"/>
        <v>NO PRAZO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85</v>
      </c>
      <c r="V5" s="10" t="s">
        <v>72</v>
      </c>
      <c r="W5" s="10" t="s">
        <v>72</v>
      </c>
      <c r="X5" s="10" t="s">
        <v>77</v>
      </c>
      <c r="Y5" s="10" t="s">
        <v>72</v>
      </c>
      <c r="Z5" s="10" t="s">
        <v>72</v>
      </c>
      <c r="AA5" s="10" t="s">
        <v>72</v>
      </c>
      <c r="AB5" s="10" t="s">
        <v>72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22</v>
      </c>
      <c r="P6" s="40" t="str">
        <f t="shared" ca="1" si="0"/>
        <v>NO PRAZO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85</v>
      </c>
      <c r="V6" s="10" t="s">
        <v>72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EM USINAGEM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22</v>
      </c>
      <c r="P7" s="40" t="str">
        <f t="shared" ca="1" si="0"/>
        <v>NO PRAZO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85</v>
      </c>
      <c r="V7" s="10" t="s">
        <v>72</v>
      </c>
      <c r="W7" s="10" t="s">
        <v>72</v>
      </c>
      <c r="X7" s="10" t="s">
        <v>77</v>
      </c>
      <c r="Y7" s="10" t="s">
        <v>72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/>
      <c r="O8" s="40">
        <f ca="1">Tabela1[[#This Row],[Prazo
Entrega]]-TODAY()</f>
        <v>15</v>
      </c>
      <c r="P8" s="40" t="str">
        <f t="shared" ca="1" si="0"/>
        <v>ATENÇÃO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69</v>
      </c>
      <c r="Z8" s="10" t="s">
        <v>72</v>
      </c>
      <c r="AA8" s="10" t="s">
        <v>72</v>
      </c>
      <c r="AB8" s="10" t="s">
        <v>72</v>
      </c>
      <c r="AC8" s="10" t="str">
        <f t="shared" si="1"/>
        <v>EM USINAGEM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/>
      <c r="O9" s="40">
        <f ca="1">Tabela1[[#This Row],[Prazo
Entrega]]-TODAY()</f>
        <v>15</v>
      </c>
      <c r="P9" s="40" t="str">
        <f t="shared" ca="1" si="0"/>
        <v>ATENÇÃO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69</v>
      </c>
      <c r="Z9" s="10" t="s">
        <v>72</v>
      </c>
      <c r="AA9" s="10" t="s">
        <v>72</v>
      </c>
      <c r="AB9" s="10" t="s">
        <v>72</v>
      </c>
      <c r="AC9" s="10" t="str">
        <f t="shared" si="1"/>
        <v>EM USINAGEM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/>
      <c r="O10" s="40">
        <f ca="1">Tabela1[[#This Row],[Prazo
Entrega]]-TODAY()</f>
        <v>15</v>
      </c>
      <c r="P10" s="40" t="str">
        <f t="shared" ca="1" si="0"/>
        <v>ATENÇÃO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69</v>
      </c>
      <c r="Z10" s="10" t="s">
        <v>72</v>
      </c>
      <c r="AA10" s="10" t="s">
        <v>72</v>
      </c>
      <c r="AB10" s="10" t="s">
        <v>72</v>
      </c>
      <c r="AC10" s="10" t="str">
        <f t="shared" si="1"/>
        <v>EM USINAGEM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/>
      <c r="O11" s="40">
        <f ca="1">Tabela1[[#This Row],[Prazo
Entrega]]-TODAY()</f>
        <v>15</v>
      </c>
      <c r="P11" s="40" t="str">
        <f t="shared" ca="1" si="0"/>
        <v>ATENÇÃO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85</v>
      </c>
      <c r="AA11" s="10" t="s">
        <v>72</v>
      </c>
      <c r="AB11" s="10" t="s">
        <v>72</v>
      </c>
      <c r="AC11" s="10" t="str">
        <f t="shared" si="1"/>
        <v>EM USINAGEM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22</v>
      </c>
      <c r="P12" s="40" t="str">
        <f t="shared" ca="1" si="0"/>
        <v>NO PRAZO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85</v>
      </c>
      <c r="V12" s="10" t="s">
        <v>72</v>
      </c>
      <c r="W12" s="10" t="s">
        <v>72</v>
      </c>
      <c r="X12" s="10" t="s">
        <v>77</v>
      </c>
      <c r="Y12" s="10" t="s">
        <v>72</v>
      </c>
      <c r="Z12" s="10" t="s">
        <v>72</v>
      </c>
      <c r="AA12" s="10" t="s">
        <v>72</v>
      </c>
      <c r="AB12" s="10" t="s">
        <v>72</v>
      </c>
      <c r="AC12" s="10" t="str">
        <f t="shared" si="1"/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22</v>
      </c>
      <c r="P13" s="40" t="str">
        <f t="shared" ca="1" si="0"/>
        <v>NO PRAZO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85</v>
      </c>
      <c r="V13" s="10" t="s">
        <v>72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22</v>
      </c>
      <c r="P14" s="40" t="str">
        <f t="shared" ca="1" si="0"/>
        <v>NO PRAZO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85</v>
      </c>
      <c r="V14" s="10" t="s">
        <v>72</v>
      </c>
      <c r="W14" s="10" t="s">
        <v>72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22</v>
      </c>
      <c r="P15" s="40" t="str">
        <f t="shared" ca="1" si="0"/>
        <v>NO PRAZO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72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46213</v>
      </c>
      <c r="N16" s="16"/>
      <c r="O16" s="40">
        <f ca="1">Tabela1[[#This Row],[Prazo
Entrega]]-TODAY()</f>
        <v>15</v>
      </c>
      <c r="P16" s="40" t="str">
        <f t="shared" ca="1" si="0"/>
        <v>ATENÇÃO</v>
      </c>
      <c r="Q16" s="40">
        <f>WEEKNUM(Tabela1[[#This Row],[Prazo
Entrega]],1)</f>
        <v>28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69</v>
      </c>
      <c r="AA16" s="10" t="s">
        <v>85</v>
      </c>
      <c r="AB16" s="10" t="s">
        <v>72</v>
      </c>
      <c r="AC16" s="10" t="str">
        <f t="shared" si="1"/>
        <v>EM USINAGEM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/>
      <c r="O17" s="40">
        <f ca="1">Tabela1[[#This Row],[Prazo
Entrega]]-TODAY()</f>
        <v>15</v>
      </c>
      <c r="P17" s="40" t="str">
        <f t="shared" ca="1" si="0"/>
        <v>ATENÇÃO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85</v>
      </c>
      <c r="Z17" s="10" t="s">
        <v>72</v>
      </c>
      <c r="AA17" s="10" t="s">
        <v>72</v>
      </c>
      <c r="AB17" s="10" t="s">
        <v>72</v>
      </c>
      <c r="AC17" s="10" t="str">
        <f t="shared" si="1"/>
        <v>EM USINAGEM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/>
      <c r="O18" s="40">
        <f ca="1">Tabela1[[#This Row],[Prazo
Entrega]]-TODAY()</f>
        <v>15</v>
      </c>
      <c r="P18" s="40" t="str">
        <f t="shared" ca="1" si="0"/>
        <v>ATENÇÃO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72</v>
      </c>
      <c r="AA18" s="10" t="s">
        <v>72</v>
      </c>
      <c r="AB18" s="10" t="s">
        <v>72</v>
      </c>
      <c r="AC18" s="10" t="str">
        <f t="shared" si="1"/>
        <v>EM USINAGEM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/>
      <c r="O19" s="40">
        <f ca="1">Tabela1[[#This Row],[Prazo
Entrega]]-TODAY()</f>
        <v>15</v>
      </c>
      <c r="P19" s="40" t="str">
        <f t="shared" ca="1" si="0"/>
        <v>ATENÇÃO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69</v>
      </c>
      <c r="Z19" s="10" t="s">
        <v>72</v>
      </c>
      <c r="AA19" s="10" t="s">
        <v>72</v>
      </c>
      <c r="AB19" s="10" t="s">
        <v>72</v>
      </c>
      <c r="AC19" s="10" t="str">
        <f t="shared" si="1"/>
        <v>EM USINAGEM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M20" s="16">
        <v>46227</v>
      </c>
      <c r="N20" s="16"/>
      <c r="O20" s="40">
        <f ca="1">Tabela1[[#This Row],[Prazo
Entrega]]-TODAY()</f>
        <v>29</v>
      </c>
      <c r="P20" s="40" t="str">
        <f t="shared" ca="1" si="0"/>
        <v>NO PRAZO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72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AG. FUNDIDO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M21" s="16">
        <v>46220</v>
      </c>
      <c r="N21" s="16"/>
      <c r="O21" s="40">
        <f ca="1">Tabela1[[#This Row],[Prazo
Entrega]]-TODAY()</f>
        <v>22</v>
      </c>
      <c r="P21" s="40" t="str">
        <f t="shared" ca="1" si="0"/>
        <v>NO PRAZO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72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AG. FUNDIDO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29</v>
      </c>
      <c r="P22" s="40" t="str">
        <f t="shared" ca="1" si="0"/>
        <v>NO PRAZO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72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AG.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29</v>
      </c>
      <c r="P23" s="40" t="str">
        <f t="shared" ca="1" si="0"/>
        <v>NO PRAZO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72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AG.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12</v>
      </c>
      <c r="P24" s="40" t="str">
        <f t="shared" ca="1" si="0"/>
        <v>ATENÇÃO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72</v>
      </c>
      <c r="X24" s="10" t="s">
        <v>77</v>
      </c>
      <c r="Y24" s="10" t="s">
        <v>72</v>
      </c>
      <c r="Z24" s="10" t="s">
        <v>72</v>
      </c>
      <c r="AA24" s="10" t="s">
        <v>72</v>
      </c>
      <c r="AB24" s="10" t="s">
        <v>72</v>
      </c>
      <c r="AC24" s="10" t="str">
        <f t="shared" si="1"/>
        <v>EM USINAGEM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12</v>
      </c>
      <c r="P25" s="40" t="str">
        <f t="shared" ca="1" si="0"/>
        <v>ATENÇÃO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72</v>
      </c>
      <c r="X25" s="10" t="s">
        <v>77</v>
      </c>
      <c r="Y25" s="10" t="s">
        <v>72</v>
      </c>
      <c r="Z25" s="10" t="s">
        <v>72</v>
      </c>
      <c r="AA25" s="10" t="s">
        <v>72</v>
      </c>
      <c r="AB25" s="10" t="s">
        <v>72</v>
      </c>
      <c r="AC25" s="10" t="str">
        <f t="shared" si="1"/>
        <v>EM USINAGEM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12</v>
      </c>
      <c r="P26" s="40" t="str">
        <f t="shared" ca="1" si="0"/>
        <v>ATENÇÃO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72</v>
      </c>
      <c r="W26" s="10" t="s">
        <v>72</v>
      </c>
      <c r="X26" s="10" t="s">
        <v>77</v>
      </c>
      <c r="Y26" s="10" t="s">
        <v>72</v>
      </c>
      <c r="Z26" s="10" t="s">
        <v>72</v>
      </c>
      <c r="AA26" s="10" t="s">
        <v>72</v>
      </c>
      <c r="AB26" s="10" t="s">
        <v>72</v>
      </c>
      <c r="AC26" s="10" t="str">
        <f t="shared" si="1"/>
        <v>EM USINAGEM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12</v>
      </c>
      <c r="P27" s="40" t="str">
        <f t="shared" ca="1" si="0"/>
        <v>ATENÇÃO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85</v>
      </c>
      <c r="W27" s="10" t="s">
        <v>72</v>
      </c>
      <c r="X27" s="10" t="s">
        <v>77</v>
      </c>
      <c r="Y27" s="10" t="s">
        <v>72</v>
      </c>
      <c r="Z27" s="10" t="s">
        <v>72</v>
      </c>
      <c r="AA27" s="10" t="s">
        <v>72</v>
      </c>
      <c r="AB27" s="10" t="s">
        <v>72</v>
      </c>
      <c r="AC27" s="10" t="str">
        <f t="shared" si="1"/>
        <v>EM USINAGEM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12</v>
      </c>
      <c r="P28" s="40" t="str">
        <f t="shared" ca="1" si="0"/>
        <v>ATENÇÃO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85</v>
      </c>
      <c r="W28" s="10" t="s">
        <v>72</v>
      </c>
      <c r="X28" s="10" t="s">
        <v>77</v>
      </c>
      <c r="Y28" s="10" t="s">
        <v>72</v>
      </c>
      <c r="Z28" s="10" t="s">
        <v>72</v>
      </c>
      <c r="AA28" s="10" t="s">
        <v>72</v>
      </c>
      <c r="AB28" s="10" t="s">
        <v>72</v>
      </c>
      <c r="AC28" s="10" t="str">
        <f t="shared" si="1"/>
        <v>EM USINAGEM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12</v>
      </c>
      <c r="P29" s="40" t="str">
        <f t="shared" ca="1" si="0"/>
        <v>ATENÇÃO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72</v>
      </c>
      <c r="W29" s="10" t="s">
        <v>72</v>
      </c>
      <c r="X29" s="10" t="s">
        <v>77</v>
      </c>
      <c r="Y29" s="10" t="s">
        <v>72</v>
      </c>
      <c r="Z29" s="10" t="s">
        <v>72</v>
      </c>
      <c r="AA29" s="10" t="s">
        <v>72</v>
      </c>
      <c r="AB29" s="10" t="s">
        <v>72</v>
      </c>
      <c r="AC29" s="10" t="str">
        <f t="shared" si="1"/>
        <v>EM USINAGEM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29</v>
      </c>
      <c r="P30" s="40" t="str">
        <f t="shared" ca="1" si="0"/>
        <v>NO PRAZO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72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AG.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/>
      <c r="O31" s="40">
        <f ca="1">Tabela1[[#This Row],[Prazo
Entrega]]-TODAY()</f>
        <v>15</v>
      </c>
      <c r="P31" s="40" t="str">
        <f t="shared" ca="1" si="0"/>
        <v>ATENÇÃO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85</v>
      </c>
      <c r="Z31" s="10" t="s">
        <v>72</v>
      </c>
      <c r="AA31" s="10" t="s">
        <v>72</v>
      </c>
      <c r="AB31" s="10" t="s">
        <v>72</v>
      </c>
      <c r="AC31" s="10" t="str">
        <f t="shared" si="1"/>
        <v>EM USINAGEM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29</v>
      </c>
      <c r="P32" s="40" t="str">
        <f t="shared" ca="1" si="0"/>
        <v>NO PRAZO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72</v>
      </c>
      <c r="V32" s="10" t="s">
        <v>72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AG.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29</v>
      </c>
      <c r="P33" s="40" t="str">
        <f t="shared" ca="1" si="0"/>
        <v>NO PRAZO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72</v>
      </c>
      <c r="V33" s="10" t="s">
        <v>72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AG.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29</v>
      </c>
      <c r="P34" s="40" t="str">
        <f t="shared" ref="P34:P65" ca="1" si="2">IF(O34&lt;0,"ATRASADO",IF(O34&lt;=15,"ATENÇÃO","NO PRAZO"))</f>
        <v>NO PRAZO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72</v>
      </c>
      <c r="V34" s="10" t="s">
        <v>72</v>
      </c>
      <c r="W34" s="10" t="s">
        <v>72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AG.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29</v>
      </c>
      <c r="P35" s="40" t="str">
        <f t="shared" ca="1" si="2"/>
        <v>NO PRAZO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72</v>
      </c>
      <c r="V35" s="10" t="s">
        <v>72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AG.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29</v>
      </c>
      <c r="P36" s="40" t="str">
        <f t="shared" ca="1" si="2"/>
        <v>NO PRAZO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72</v>
      </c>
      <c r="V36" s="10" t="s">
        <v>72</v>
      </c>
      <c r="W36" s="10" t="s">
        <v>72</v>
      </c>
      <c r="X36" s="10" t="s">
        <v>77</v>
      </c>
      <c r="Y36" s="10" t="s">
        <v>72</v>
      </c>
      <c r="Z36" s="10" t="s">
        <v>72</v>
      </c>
      <c r="AA36" s="10" t="s">
        <v>72</v>
      </c>
      <c r="AB36" s="10" t="s">
        <v>72</v>
      </c>
      <c r="AC36" s="10" t="str">
        <f t="shared" si="3"/>
        <v>AG.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29</v>
      </c>
      <c r="P37" s="40" t="str">
        <f t="shared" ca="1" si="2"/>
        <v>NO PRAZO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36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72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AG.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M39" s="16">
        <v>46234</v>
      </c>
      <c r="N39" s="16"/>
      <c r="O39" s="40">
        <f ca="1">Tabela1[[#This Row],[Prazo
Entrega]]-TODAY()</f>
        <v>36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>
        <v>46203</v>
      </c>
      <c r="T39" s="16" t="s">
        <v>72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tr">
        <f t="shared" si="3"/>
        <v>AG. FUNDIDO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36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>
        <v>46203</v>
      </c>
      <c r="T40" s="16" t="s">
        <v>72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36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>
        <v>46203</v>
      </c>
      <c r="T41" s="16" t="s">
        <v>72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36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>
        <v>46203</v>
      </c>
      <c r="T42" s="16" t="s">
        <v>72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36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>
        <v>46203</v>
      </c>
      <c r="T43" s="16" t="s">
        <v>72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36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>
        <v>46203</v>
      </c>
      <c r="T44" s="16" t="s">
        <v>72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36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72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AG.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36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36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72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AG.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M48" s="16">
        <v>46241</v>
      </c>
      <c r="N48" s="16"/>
      <c r="O48" s="40">
        <f ca="1">Tabela1[[#This Row],[Prazo
Entrega]]-TODAY()</f>
        <v>43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FUNDIDO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43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72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AG.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43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72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AG.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43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72</v>
      </c>
      <c r="V51" s="10" t="s">
        <v>72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AG.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43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72</v>
      </c>
      <c r="V52" s="10" t="s">
        <v>72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AG.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43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M54" s="16">
        <v>46241</v>
      </c>
      <c r="N54" s="16"/>
      <c r="O54" s="40">
        <f ca="1">Tabela1[[#This Row],[Prazo
Entrega]]-TODAY()</f>
        <v>43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FUNDIDO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43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M56" s="16">
        <v>46241</v>
      </c>
      <c r="N56" s="16"/>
      <c r="O56" s="40">
        <f ca="1">Tabela1[[#This Row],[Prazo
Entrega]]-TODAY()</f>
        <v>43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FUNDIDO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43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50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50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M60" s="16">
        <v>46234</v>
      </c>
      <c r="N60" s="16"/>
      <c r="O60" s="40">
        <f ca="1">Tabela1[[#This Row],[Prazo
Entrega]]-TODAY()</f>
        <v>36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FUNDIDO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M61" s="16">
        <v>46234</v>
      </c>
      <c r="N61" s="16"/>
      <c r="O61" s="40">
        <f ca="1">Tabela1[[#This Row],[Prazo
Entrega]]-TODAY()</f>
        <v>36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FUNDIDO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36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36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36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M65" s="16">
        <v>46234</v>
      </c>
      <c r="N65" s="16"/>
      <c r="O65" s="40">
        <f ca="1">Tabela1[[#This Row],[Prazo
Entrega]]-TODAY()</f>
        <v>36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FUNDIDO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36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97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50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50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M69" s="16">
        <v>46255</v>
      </c>
      <c r="N69" s="16"/>
      <c r="O69" s="40">
        <f ca="1">Tabela1[[#This Row],[Prazo
Entrega]]-TODAY()</f>
        <v>57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M70" s="16">
        <v>46255</v>
      </c>
      <c r="N70" s="16"/>
      <c r="O70" s="40">
        <f ca="1">Tabela1[[#This Row],[Prazo
Entrega]]-TODAY()</f>
        <v>57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M71" s="16">
        <v>46255</v>
      </c>
      <c r="N71" s="16"/>
      <c r="O71" s="40">
        <f ca="1">Tabela1[[#This Row],[Prazo
Entrega]]-TODAY()</f>
        <v>57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M72" s="16">
        <v>46255</v>
      </c>
      <c r="N72" s="16"/>
      <c r="O72" s="40">
        <f ca="1">Tabela1[[#This Row],[Prazo
Entrega]]-TODAY()</f>
        <v>57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M73" s="16">
        <v>46255</v>
      </c>
      <c r="N73" s="16"/>
      <c r="O73" s="40">
        <f ca="1">Tabela1[[#This Row],[Prazo
Entrega]]-TODAY()</f>
        <v>57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M74" s="16">
        <v>46255</v>
      </c>
      <c r="N74" s="16"/>
      <c r="O74" s="40">
        <f ca="1">Tabela1[[#This Row],[Prazo
Entrega]]-TODAY()</f>
        <v>57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61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61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61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37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97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37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68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68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97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112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112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112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112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112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112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83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83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83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83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83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158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158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158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158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ref="AC98:AC114" si="8">IF(L98="","AG. FUNDIDO",IF(U98="AG","AG. USINAGEM","EM USINAGEM"))</f>
        <v>AG. FUNDIDO</v>
      </c>
      <c r="AE98" s="43"/>
      <c r="AF98" s="44"/>
      <c r="AG98" s="44"/>
      <c r="AH98" s="44"/>
      <c r="AI98" s="45"/>
    </row>
    <row r="99" spans="1:35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158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8"/>
        <v>AG. FUNDIDO</v>
      </c>
      <c r="AE99" s="43"/>
      <c r="AF99" s="44"/>
      <c r="AG99" s="44"/>
      <c r="AH99" s="44"/>
      <c r="AI99" s="45"/>
    </row>
    <row r="100" spans="1:35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142</v>
      </c>
      <c r="F100" s="15" t="s">
        <v>77</v>
      </c>
      <c r="G100" s="15" t="s">
        <v>77</v>
      </c>
      <c r="H100" s="15" t="s">
        <v>149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158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8"/>
        <v>AG. FUNDIDO</v>
      </c>
      <c r="AE100" s="43"/>
      <c r="AF100" s="44"/>
      <c r="AG100" s="44"/>
      <c r="AH100" s="44"/>
      <c r="AI100" s="45"/>
    </row>
    <row r="101" spans="1:35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142</v>
      </c>
      <c r="F101" s="15" t="s">
        <v>77</v>
      </c>
      <c r="G101" s="15" t="s">
        <v>77</v>
      </c>
      <c r="H101" s="15" t="s">
        <v>150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158</v>
      </c>
      <c r="P101" s="40" t="str">
        <f t="shared" ref="P101:P109" ca="1" si="9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8"/>
        <v>AG. FUNDIDO</v>
      </c>
      <c r="AE101" s="43"/>
      <c r="AF101" s="44"/>
      <c r="AG101" s="44"/>
      <c r="AH101" s="44"/>
      <c r="AI101" s="45"/>
    </row>
    <row r="102" spans="1:35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142</v>
      </c>
      <c r="F102" s="15" t="s">
        <v>77</v>
      </c>
      <c r="G102" s="15" t="s">
        <v>77</v>
      </c>
      <c r="H102" s="15" t="s">
        <v>150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158</v>
      </c>
      <c r="P102" s="40" t="str">
        <f t="shared" ca="1" si="9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8"/>
        <v>AG. FUNDIDO</v>
      </c>
      <c r="AE102" s="43"/>
      <c r="AF102" s="44"/>
      <c r="AG102" s="44"/>
      <c r="AH102" s="44"/>
      <c r="AI102" s="45"/>
    </row>
    <row r="103" spans="1:35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142</v>
      </c>
      <c r="F103" s="15" t="s">
        <v>77</v>
      </c>
      <c r="G103" s="15" t="s">
        <v>77</v>
      </c>
      <c r="H103" s="15" t="s">
        <v>150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158</v>
      </c>
      <c r="P103" s="40" t="str">
        <f t="shared" ca="1" si="9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8"/>
        <v>AG. FUNDIDO</v>
      </c>
      <c r="AE103" s="43"/>
      <c r="AF103" s="44"/>
      <c r="AG103" s="44"/>
      <c r="AH103" s="44"/>
      <c r="AI103" s="45"/>
    </row>
    <row r="104" spans="1:35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142</v>
      </c>
      <c r="F104" s="15" t="s">
        <v>77</v>
      </c>
      <c r="G104" s="15" t="s">
        <v>77</v>
      </c>
      <c r="H104" s="15" t="s">
        <v>150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158</v>
      </c>
      <c r="P104" s="40" t="str">
        <f t="shared" ca="1" si="9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8"/>
        <v>AG. FUNDIDO</v>
      </c>
      <c r="AE104" s="43"/>
      <c r="AF104" s="44"/>
      <c r="AG104" s="44"/>
      <c r="AH104" s="44"/>
      <c r="AI104" s="45"/>
    </row>
    <row r="105" spans="1:35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142</v>
      </c>
      <c r="F105" s="15" t="s">
        <v>77</v>
      </c>
      <c r="G105" s="15" t="s">
        <v>77</v>
      </c>
      <c r="H105" s="15" t="s">
        <v>149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158</v>
      </c>
      <c r="P105" s="40" t="str">
        <f t="shared" ca="1" si="9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8"/>
        <v>AG. FUNDIDO</v>
      </c>
      <c r="AE105" s="43"/>
      <c r="AF105" s="44"/>
      <c r="AG105" s="44"/>
      <c r="AH105" s="44"/>
      <c r="AI105" s="45"/>
    </row>
    <row r="106" spans="1:35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142</v>
      </c>
      <c r="F106" s="15" t="s">
        <v>77</v>
      </c>
      <c r="G106" s="15" t="s">
        <v>77</v>
      </c>
      <c r="H106" s="15" t="s">
        <v>150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158</v>
      </c>
      <c r="P106" s="40" t="str">
        <f t="shared" ca="1" si="9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8"/>
        <v>AG. FUNDIDO</v>
      </c>
      <c r="AE106" s="43"/>
      <c r="AF106" s="44"/>
      <c r="AG106" s="44"/>
      <c r="AH106" s="44"/>
      <c r="AI106" s="45"/>
    </row>
    <row r="107" spans="1:35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142</v>
      </c>
      <c r="F107" s="15" t="s">
        <v>77</v>
      </c>
      <c r="G107" s="15" t="s">
        <v>77</v>
      </c>
      <c r="H107" s="15" t="s">
        <v>150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158</v>
      </c>
      <c r="P107" s="40" t="str">
        <f t="shared" ca="1" si="9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8"/>
        <v>AG. FUNDIDO</v>
      </c>
      <c r="AE107" s="43"/>
      <c r="AF107" s="44"/>
      <c r="AG107" s="44"/>
      <c r="AH107" s="44"/>
      <c r="AI107" s="45"/>
    </row>
    <row r="108" spans="1:35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142</v>
      </c>
      <c r="F108" s="15" t="s">
        <v>77</v>
      </c>
      <c r="G108" s="15" t="s">
        <v>77</v>
      </c>
      <c r="H108" s="15" t="s">
        <v>150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158</v>
      </c>
      <c r="P108" s="40" t="str">
        <f t="shared" ca="1" si="9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8"/>
        <v>AG. FUNDIDO</v>
      </c>
      <c r="AE108" s="43"/>
      <c r="AF108" s="44"/>
      <c r="AG108" s="44"/>
      <c r="AH108" s="44"/>
      <c r="AI108" s="45"/>
    </row>
    <row r="109" spans="1:35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142</v>
      </c>
      <c r="F109" s="15" t="s">
        <v>77</v>
      </c>
      <c r="G109" s="15" t="s">
        <v>77</v>
      </c>
      <c r="H109" s="15" t="s">
        <v>150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158</v>
      </c>
      <c r="P109" s="40" t="str">
        <f t="shared" ca="1" si="9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8"/>
        <v>AG. FUNDIDO</v>
      </c>
      <c r="AE109" s="43"/>
      <c r="AF109" s="44"/>
      <c r="AG109" s="44"/>
      <c r="AH109" s="44"/>
      <c r="AI109" s="45"/>
    </row>
    <row r="110" spans="1:35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155</v>
      </c>
      <c r="F110" s="15" t="s">
        <v>77</v>
      </c>
      <c r="G110" s="15" t="s">
        <v>77</v>
      </c>
      <c r="H110" s="15" t="s">
        <v>156</v>
      </c>
      <c r="I110" s="15">
        <v>1</v>
      </c>
      <c r="J110" s="16">
        <v>46295</v>
      </c>
      <c r="K110" s="40">
        <f>WEEKNUM(Tabela1[[#This Row],[Prazo
Fundido]])</f>
        <v>40</v>
      </c>
      <c r="M110" s="16">
        <v>46356</v>
      </c>
      <c r="N110" s="16"/>
      <c r="O110" s="40">
        <f ca="1">Tabela1[[#This Row],[Prazo
Entrega]]-TODAY()</f>
        <v>158</v>
      </c>
      <c r="P110" s="40" t="str">
        <f ca="1">IF(O110&lt;0,"ATRASADO",IF(O110&lt;=15,"ATENÇÃO","NO PRAZO"))</f>
        <v>NO PRAZO</v>
      </c>
      <c r="Q110" s="40">
        <f>WEEKNUM(Tabela1[[#This Row],[Prazo
Entrega]],1)</f>
        <v>49</v>
      </c>
      <c r="R110" s="10" t="s">
        <v>43</v>
      </c>
      <c r="S110" s="41">
        <v>46233</v>
      </c>
      <c r="T110" s="16" t="s">
        <v>72</v>
      </c>
      <c r="U110" s="10" t="s">
        <v>72</v>
      </c>
      <c r="V110" s="10" t="s">
        <v>72</v>
      </c>
      <c r="W110" s="10" t="s">
        <v>72</v>
      </c>
      <c r="X110" s="10" t="s">
        <v>72</v>
      </c>
      <c r="Y110" s="10" t="s">
        <v>72</v>
      </c>
      <c r="Z110" s="10" t="s">
        <v>72</v>
      </c>
      <c r="AA110" s="10" t="s">
        <v>72</v>
      </c>
      <c r="AB110" s="10" t="s">
        <v>72</v>
      </c>
      <c r="AC110" s="10" t="str">
        <f t="shared" si="8"/>
        <v>AG. FUNDIDO</v>
      </c>
      <c r="AE110" s="43"/>
      <c r="AF110" s="44"/>
      <c r="AG110" s="44"/>
      <c r="AH110" s="44"/>
      <c r="AI110" s="45"/>
    </row>
    <row r="111" spans="1:35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155</v>
      </c>
      <c r="F111" s="15" t="s">
        <v>77</v>
      </c>
      <c r="G111" s="15" t="s">
        <v>77</v>
      </c>
      <c r="H111" s="15" t="s">
        <v>156</v>
      </c>
      <c r="I111" s="15">
        <v>1</v>
      </c>
      <c r="J111" s="16">
        <v>46295</v>
      </c>
      <c r="K111" s="40">
        <f>WEEKNUM(Tabela1[[#This Row],[Prazo
Fundido]])</f>
        <v>40</v>
      </c>
      <c r="M111" s="16">
        <v>46356</v>
      </c>
      <c r="N111" s="16"/>
      <c r="O111" s="40">
        <f ca="1">Tabela1[[#This Row],[Prazo
Entrega]]-TODAY()</f>
        <v>158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49</v>
      </c>
      <c r="R111" s="10" t="s">
        <v>43</v>
      </c>
      <c r="S111" s="41">
        <v>46233</v>
      </c>
      <c r="T111" s="16" t="s">
        <v>72</v>
      </c>
      <c r="U111" s="10" t="s">
        <v>72</v>
      </c>
      <c r="V111" s="10" t="s">
        <v>72</v>
      </c>
      <c r="W111" s="10" t="s">
        <v>72</v>
      </c>
      <c r="X111" s="10" t="s">
        <v>72</v>
      </c>
      <c r="Y111" s="10" t="s">
        <v>72</v>
      </c>
      <c r="Z111" s="10" t="s">
        <v>72</v>
      </c>
      <c r="AA111" s="10" t="s">
        <v>72</v>
      </c>
      <c r="AB111" s="10" t="s">
        <v>72</v>
      </c>
      <c r="AC111" s="10" t="str">
        <f t="shared" si="8"/>
        <v>AG. FUNDIDO</v>
      </c>
      <c r="AE111" s="43"/>
      <c r="AF111" s="44"/>
      <c r="AG111" s="44"/>
      <c r="AH111" s="44"/>
      <c r="AI111" s="45"/>
    </row>
    <row r="112" spans="1:35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155</v>
      </c>
      <c r="F112" s="15" t="s">
        <v>77</v>
      </c>
      <c r="G112" s="15" t="s">
        <v>77</v>
      </c>
      <c r="H112" s="15" t="s">
        <v>156</v>
      </c>
      <c r="I112" s="15">
        <v>1</v>
      </c>
      <c r="J112" s="16">
        <v>46295</v>
      </c>
      <c r="K112" s="40">
        <f>WEEKNUM(Tabela1[[#This Row],[Prazo
Fundido]])</f>
        <v>40</v>
      </c>
      <c r="M112" s="16">
        <v>46356</v>
      </c>
      <c r="N112" s="16"/>
      <c r="O112" s="40">
        <f ca="1">Tabela1[[#This Row],[Prazo
Entrega]]-TODAY()</f>
        <v>158</v>
      </c>
      <c r="P112" s="40" t="str">
        <f t="shared" ca="1" si="10"/>
        <v>NO PRAZO</v>
      </c>
      <c r="Q112" s="40">
        <f>WEEKNUM(Tabela1[[#This Row],[Prazo
Entrega]],1)</f>
        <v>49</v>
      </c>
      <c r="R112" s="10" t="s">
        <v>43</v>
      </c>
      <c r="S112" s="41">
        <v>46233</v>
      </c>
      <c r="T112" s="16" t="s">
        <v>72</v>
      </c>
      <c r="U112" s="10" t="s">
        <v>72</v>
      </c>
      <c r="V112" s="10" t="s">
        <v>72</v>
      </c>
      <c r="W112" s="10" t="s">
        <v>72</v>
      </c>
      <c r="X112" s="10" t="s">
        <v>72</v>
      </c>
      <c r="Y112" s="10" t="s">
        <v>72</v>
      </c>
      <c r="Z112" s="10" t="s">
        <v>72</v>
      </c>
      <c r="AA112" s="10" t="s">
        <v>72</v>
      </c>
      <c r="AB112" s="10" t="s">
        <v>72</v>
      </c>
      <c r="AC112" s="10" t="str">
        <f t="shared" si="8"/>
        <v>AG. FUNDIDO</v>
      </c>
      <c r="AE112" s="43"/>
      <c r="AF112" s="44"/>
      <c r="AG112" s="44"/>
      <c r="AH112" s="44"/>
      <c r="AI112" s="45"/>
    </row>
    <row r="113" spans="1:35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155</v>
      </c>
      <c r="F113" s="15" t="s">
        <v>77</v>
      </c>
      <c r="G113" s="15" t="s">
        <v>77</v>
      </c>
      <c r="H113" s="15" t="s">
        <v>156</v>
      </c>
      <c r="I113" s="15">
        <v>1</v>
      </c>
      <c r="J113" s="16">
        <v>46295</v>
      </c>
      <c r="K113" s="40">
        <f>WEEKNUM(Tabela1[[#This Row],[Prazo
Fundido]])</f>
        <v>40</v>
      </c>
      <c r="M113" s="16">
        <v>46356</v>
      </c>
      <c r="N113" s="16"/>
      <c r="O113" s="40">
        <f ca="1">Tabela1[[#This Row],[Prazo
Entrega]]-TODAY()</f>
        <v>158</v>
      </c>
      <c r="P113" s="40" t="str">
        <f t="shared" ca="1" si="10"/>
        <v>NO PRAZO</v>
      </c>
      <c r="Q113" s="40">
        <f>WEEKNUM(Tabela1[[#This Row],[Prazo
Entrega]],1)</f>
        <v>49</v>
      </c>
      <c r="R113" s="10" t="s">
        <v>43</v>
      </c>
      <c r="S113" s="41">
        <v>46233</v>
      </c>
      <c r="T113" s="16" t="s">
        <v>72</v>
      </c>
      <c r="U113" s="10" t="s">
        <v>72</v>
      </c>
      <c r="V113" s="10" t="s">
        <v>72</v>
      </c>
      <c r="W113" s="10" t="s">
        <v>72</v>
      </c>
      <c r="X113" s="10" t="s">
        <v>72</v>
      </c>
      <c r="Y113" s="10" t="s">
        <v>72</v>
      </c>
      <c r="Z113" s="10" t="s">
        <v>72</v>
      </c>
      <c r="AA113" s="10" t="s">
        <v>72</v>
      </c>
      <c r="AB113" s="10" t="s">
        <v>72</v>
      </c>
      <c r="AC113" s="10" t="str">
        <f t="shared" si="8"/>
        <v>AG. FUNDIDO</v>
      </c>
      <c r="AE113" s="43"/>
      <c r="AF113" s="44"/>
      <c r="AG113" s="44"/>
      <c r="AH113" s="44"/>
      <c r="AI113" s="45"/>
    </row>
    <row r="114" spans="1:35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155</v>
      </c>
      <c r="F114" s="15" t="s">
        <v>77</v>
      </c>
      <c r="G114" s="15" t="s">
        <v>77</v>
      </c>
      <c r="H114" s="15" t="s">
        <v>156</v>
      </c>
      <c r="I114" s="15">
        <v>1</v>
      </c>
      <c r="J114" s="16">
        <v>46295</v>
      </c>
      <c r="K114" s="40">
        <f>WEEKNUM(Tabela1[[#This Row],[Prazo
Fundido]])</f>
        <v>40</v>
      </c>
      <c r="M114" s="16">
        <v>46356</v>
      </c>
      <c r="N114" s="16"/>
      <c r="O114" s="40">
        <f ca="1">Tabela1[[#This Row],[Prazo
Entrega]]-TODAY()</f>
        <v>158</v>
      </c>
      <c r="P114" s="40" t="str">
        <f t="shared" ca="1" si="10"/>
        <v>NO PRAZO</v>
      </c>
      <c r="Q114" s="40">
        <f>WEEKNUM(Tabela1[[#This Row],[Prazo
Entrega]],1)</f>
        <v>49</v>
      </c>
      <c r="R114" s="10" t="s">
        <v>43</v>
      </c>
      <c r="S114" s="41">
        <v>46233</v>
      </c>
      <c r="T114" s="16" t="s">
        <v>72</v>
      </c>
      <c r="U114" s="10" t="s">
        <v>72</v>
      </c>
      <c r="V114" s="10" t="s">
        <v>72</v>
      </c>
      <c r="W114" s="10" t="s">
        <v>72</v>
      </c>
      <c r="X114" s="10" t="s">
        <v>72</v>
      </c>
      <c r="Y114" s="10" t="s">
        <v>72</v>
      </c>
      <c r="Z114" s="10" t="s">
        <v>72</v>
      </c>
      <c r="AA114" s="10" t="s">
        <v>72</v>
      </c>
      <c r="AB114" s="10" t="s">
        <v>72</v>
      </c>
      <c r="AC114" s="10" t="str">
        <f t="shared" si="8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31"/>
  <sheetViews>
    <sheetView tabSelected="1" workbookViewId="0">
      <selection activeCell="U3" sqref="U3:U10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13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270</v>
      </c>
      <c r="V2" s="10"/>
    </row>
    <row r="3" spans="1:22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13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270</v>
      </c>
      <c r="V3" s="10"/>
    </row>
    <row r="4" spans="1:22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13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270</v>
      </c>
      <c r="V4" s="10"/>
    </row>
    <row r="5" spans="1:22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13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270</v>
      </c>
      <c r="V5" s="10"/>
    </row>
    <row r="6" spans="1:22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13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270</v>
      </c>
      <c r="V6" s="10"/>
    </row>
    <row r="7" spans="1:22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13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270</v>
      </c>
      <c r="V7" s="10"/>
    </row>
    <row r="8" spans="1:22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13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270</v>
      </c>
      <c r="V8" s="10"/>
    </row>
    <row r="9" spans="1:22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13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270</v>
      </c>
      <c r="V9" s="10"/>
    </row>
    <row r="10" spans="1:22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13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270</v>
      </c>
      <c r="V10" s="10"/>
    </row>
    <row r="11" spans="1:22" hidden="1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13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 t="s">
        <v>170</v>
      </c>
    </row>
    <row r="12" spans="1:22" hidden="1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13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 t="s">
        <v>170</v>
      </c>
    </row>
    <row r="13" spans="1:22" hidden="1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13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 t="s">
        <v>170</v>
      </c>
    </row>
    <row r="14" spans="1:22" hidden="1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13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71</v>
      </c>
      <c r="V14" s="10"/>
    </row>
    <row r="15" spans="1:22" hidden="1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13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71</v>
      </c>
      <c r="V15" s="10"/>
    </row>
    <row r="16" spans="1:22" hidden="1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13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71</v>
      </c>
      <c r="V16" s="10"/>
    </row>
    <row r="17" spans="1:22" hidden="1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13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71</v>
      </c>
      <c r="V17" s="10"/>
    </row>
    <row r="18" spans="1:22" hidden="1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13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71</v>
      </c>
      <c r="V18" s="10"/>
    </row>
    <row r="19" spans="1:22" hidden="1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13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71</v>
      </c>
      <c r="V19" s="10"/>
    </row>
    <row r="20" spans="1:22" hidden="1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13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71</v>
      </c>
      <c r="V20" s="10"/>
    </row>
    <row r="21" spans="1:22" hidden="1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13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71</v>
      </c>
      <c r="V21" s="10"/>
    </row>
    <row r="22" spans="1:22" hidden="1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13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71</v>
      </c>
      <c r="V22" s="10"/>
    </row>
    <row r="23" spans="1:22" hidden="1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13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71</v>
      </c>
      <c r="V23" s="10"/>
    </row>
    <row r="24" spans="1:22" hidden="1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13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71</v>
      </c>
      <c r="V24" s="10"/>
    </row>
    <row r="25" spans="1:22" hidden="1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13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hidden="1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13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71</v>
      </c>
      <c r="V26" s="10"/>
    </row>
    <row r="27" spans="1:22" hidden="1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13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hidden="1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13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hidden="1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13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hidden="1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13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hidden="1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13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hidden="1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13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hidden="1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132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35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/>
    </row>
    <row r="34" spans="1:22" hidden="1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132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35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/>
    </row>
    <row r="35" spans="1:22" hidden="1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132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35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/>
    </row>
    <row r="36" spans="1:22" hidden="1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132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35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/>
    </row>
    <row r="37" spans="1:22" hidden="1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132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35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/>
    </row>
    <row r="38" spans="1:22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68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68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68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68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68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68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68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68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68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68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68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68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78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78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78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78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78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78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78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78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78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78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78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78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78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78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78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88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88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88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88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88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88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88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88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88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88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88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88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88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88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88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68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68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68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98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98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98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98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98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98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98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98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98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155</v>
      </c>
      <c r="F92" s="10" t="s">
        <v>77</v>
      </c>
      <c r="G92" s="10" t="s">
        <v>77</v>
      </c>
      <c r="H92" s="10" t="s">
        <v>171</v>
      </c>
      <c r="I92" s="10">
        <v>1</v>
      </c>
      <c r="J92" s="11">
        <v>46266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46256</v>
      </c>
      <c r="P92" s="10" t="s">
        <v>72</v>
      </c>
      <c r="Q92" s="12">
        <f ca="1">Tabela3[[#This Row],[Prazo
Entrega]]-TODAY()</f>
        <v>127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155</v>
      </c>
      <c r="F93" s="10" t="s">
        <v>77</v>
      </c>
      <c r="G93" s="10" t="s">
        <v>77</v>
      </c>
      <c r="H93" s="10" t="s">
        <v>171</v>
      </c>
      <c r="I93" s="10">
        <v>1</v>
      </c>
      <c r="J93" s="11">
        <v>46266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46256</v>
      </c>
      <c r="P93" s="10" t="s">
        <v>72</v>
      </c>
      <c r="Q93" s="12">
        <f ca="1">Tabela3[[#This Row],[Prazo
Entrega]]-TODAY()</f>
        <v>127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155</v>
      </c>
      <c r="F94" s="10" t="s">
        <v>77</v>
      </c>
      <c r="G94" s="10" t="s">
        <v>77</v>
      </c>
      <c r="H94" s="10" t="s">
        <v>171</v>
      </c>
      <c r="I94" s="10">
        <v>1</v>
      </c>
      <c r="J94" s="11">
        <v>46266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46256</v>
      </c>
      <c r="P94" s="10" t="s">
        <v>72</v>
      </c>
      <c r="Q94" s="12">
        <f ca="1">Tabela3[[#This Row],[Prazo
Entrega]]-TODAY()</f>
        <v>127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155</v>
      </c>
      <c r="F95" s="10" t="s">
        <v>77</v>
      </c>
      <c r="G95" s="10" t="s">
        <v>77</v>
      </c>
      <c r="H95" s="10" t="s">
        <v>171</v>
      </c>
      <c r="I95" s="10">
        <v>1</v>
      </c>
      <c r="J95" s="11">
        <v>46266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46256</v>
      </c>
      <c r="P95" s="10" t="s">
        <v>72</v>
      </c>
      <c r="Q95" s="12">
        <f ca="1">Tabela3[[#This Row],[Prazo
Entrega]]-TODAY()</f>
        <v>127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155</v>
      </c>
      <c r="F96" s="10" t="s">
        <v>77</v>
      </c>
      <c r="G96" s="10" t="s">
        <v>77</v>
      </c>
      <c r="H96" s="10" t="s">
        <v>171</v>
      </c>
      <c r="I96" s="10">
        <v>1</v>
      </c>
      <c r="J96" s="11">
        <v>46266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46256</v>
      </c>
      <c r="P96" s="10" t="s">
        <v>72</v>
      </c>
      <c r="Q96" s="12">
        <f ca="1">Tabela3[[#This Row],[Prazo
Entrega]]-TODAY()</f>
        <v>127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155</v>
      </c>
      <c r="F97" s="10" t="s">
        <v>77</v>
      </c>
      <c r="G97" s="10" t="s">
        <v>77</v>
      </c>
      <c r="H97" s="10" t="s">
        <v>171</v>
      </c>
      <c r="I97" s="10">
        <v>1</v>
      </c>
      <c r="J97" s="11">
        <v>46266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46256</v>
      </c>
      <c r="P97" s="10" t="s">
        <v>72</v>
      </c>
      <c r="Q97" s="12">
        <f ca="1">Tabela3[[#This Row],[Prazo
Entrega]]-TODAY()</f>
        <v>127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155</v>
      </c>
      <c r="F98" s="10" t="s">
        <v>77</v>
      </c>
      <c r="G98" s="10" t="s">
        <v>77</v>
      </c>
      <c r="H98" s="10" t="s">
        <v>171</v>
      </c>
      <c r="I98" s="10">
        <v>1</v>
      </c>
      <c r="J98" s="11">
        <v>46266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46256</v>
      </c>
      <c r="P98" s="10" t="s">
        <v>72</v>
      </c>
      <c r="Q98" s="12">
        <f ca="1">Tabela3[[#This Row],[Prazo
Entrega]]-TODAY()</f>
        <v>127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155</v>
      </c>
      <c r="F99" s="10" t="s">
        <v>77</v>
      </c>
      <c r="G99" s="10" t="s">
        <v>77</v>
      </c>
      <c r="H99" s="10" t="s">
        <v>171</v>
      </c>
      <c r="I99" s="10">
        <v>1</v>
      </c>
      <c r="J99" s="11">
        <v>46266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46256</v>
      </c>
      <c r="P99" s="10" t="s">
        <v>72</v>
      </c>
      <c r="Q99" s="12">
        <f ca="1">Tabela3[[#This Row],[Prazo
Entrega]]-TODAY()</f>
        <v>127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155</v>
      </c>
      <c r="F100" s="10" t="s">
        <v>77</v>
      </c>
      <c r="G100" s="10" t="s">
        <v>77</v>
      </c>
      <c r="H100" s="10" t="s">
        <v>171</v>
      </c>
      <c r="I100" s="10">
        <v>1</v>
      </c>
      <c r="J100" s="11">
        <v>46266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46256</v>
      </c>
      <c r="P100" s="10" t="s">
        <v>72</v>
      </c>
      <c r="Q100" s="12">
        <f ca="1">Tabela3[[#This Row],[Prazo
Entrega]]-TODAY()</f>
        <v>127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155</v>
      </c>
      <c r="F101" s="10" t="s">
        <v>77</v>
      </c>
      <c r="G101" s="10" t="s">
        <v>77</v>
      </c>
      <c r="H101" s="10" t="s">
        <v>171</v>
      </c>
      <c r="I101" s="10">
        <v>1</v>
      </c>
      <c r="J101" s="11">
        <v>46266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46256</v>
      </c>
      <c r="P101" s="10" t="s">
        <v>72</v>
      </c>
      <c r="Q101" s="12">
        <f ca="1">Tabela3[[#This Row],[Prazo
Entrega]]-TODAY()</f>
        <v>127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155</v>
      </c>
      <c r="F102" s="10" t="s">
        <v>77</v>
      </c>
      <c r="G102" s="10" t="s">
        <v>77</v>
      </c>
      <c r="H102" s="10" t="s">
        <v>171</v>
      </c>
      <c r="I102" s="10">
        <v>1</v>
      </c>
      <c r="J102" s="11">
        <v>46266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46256</v>
      </c>
      <c r="P102" s="10" t="s">
        <v>72</v>
      </c>
      <c r="Q102" s="12">
        <f ca="1">Tabela3[[#This Row],[Prazo
Entrega]]-TODAY()</f>
        <v>127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155</v>
      </c>
      <c r="F103" s="10" t="s">
        <v>77</v>
      </c>
      <c r="G103" s="10" t="s">
        <v>77</v>
      </c>
      <c r="H103" s="10" t="s">
        <v>171</v>
      </c>
      <c r="I103" s="10">
        <v>1</v>
      </c>
      <c r="J103" s="11">
        <v>46266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46256</v>
      </c>
      <c r="P103" s="10" t="s">
        <v>72</v>
      </c>
      <c r="Q103" s="12">
        <f ca="1">Tabela3[[#This Row],[Prazo
Entrega]]-TODAY()</f>
        <v>127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155</v>
      </c>
      <c r="F104" s="10" t="s">
        <v>77</v>
      </c>
      <c r="G104" s="10" t="s">
        <v>77</v>
      </c>
      <c r="H104" s="10" t="s">
        <v>171</v>
      </c>
      <c r="I104" s="10">
        <v>1</v>
      </c>
      <c r="J104" s="11">
        <v>46266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46256</v>
      </c>
      <c r="P104" s="10" t="s">
        <v>72</v>
      </c>
      <c r="Q104" s="12">
        <f ca="1">Tabela3[[#This Row],[Prazo
Entrega]]-TODAY()</f>
        <v>127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155</v>
      </c>
      <c r="F105" s="10" t="s">
        <v>77</v>
      </c>
      <c r="G105" s="10" t="s">
        <v>77</v>
      </c>
      <c r="H105" s="10" t="s">
        <v>172</v>
      </c>
      <c r="I105" s="10">
        <v>1</v>
      </c>
      <c r="J105" s="11">
        <v>46266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46256</v>
      </c>
      <c r="P105" s="10" t="s">
        <v>72</v>
      </c>
      <c r="Q105" s="12">
        <f ca="1">Tabela3[[#This Row],[Prazo
Entrega]]-TODAY()</f>
        <v>127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155</v>
      </c>
      <c r="F106" s="10" t="s">
        <v>77</v>
      </c>
      <c r="G106" s="10" t="s">
        <v>77</v>
      </c>
      <c r="H106" s="10" t="s">
        <v>172</v>
      </c>
      <c r="I106" s="10">
        <v>1</v>
      </c>
      <c r="J106" s="11">
        <v>46266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46256</v>
      </c>
      <c r="P106" s="10" t="s">
        <v>72</v>
      </c>
      <c r="Q106" s="12">
        <f ca="1">Tabela3[[#This Row],[Prazo
Entrega]]-TODAY()</f>
        <v>127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155</v>
      </c>
      <c r="F107" s="10" t="s">
        <v>77</v>
      </c>
      <c r="G107" s="10" t="s">
        <v>77</v>
      </c>
      <c r="H107" s="10" t="s">
        <v>172</v>
      </c>
      <c r="I107" s="10">
        <v>1</v>
      </c>
      <c r="J107" s="11">
        <v>46266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46256</v>
      </c>
      <c r="P107" s="10" t="s">
        <v>72</v>
      </c>
      <c r="Q107" s="12">
        <f ca="1">Tabela3[[#This Row],[Prazo
Entrega]]-TODAY()</f>
        <v>127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155</v>
      </c>
      <c r="F108" s="10" t="s">
        <v>77</v>
      </c>
      <c r="G108" s="10" t="s">
        <v>77</v>
      </c>
      <c r="H108" s="10" t="s">
        <v>172</v>
      </c>
      <c r="I108" s="10">
        <v>1</v>
      </c>
      <c r="J108" s="11">
        <v>46266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46256</v>
      </c>
      <c r="P108" s="10" t="s">
        <v>72</v>
      </c>
      <c r="Q108" s="12">
        <f ca="1">Tabela3[[#This Row],[Prazo
Entrega]]-TODAY()</f>
        <v>127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155</v>
      </c>
      <c r="F109" s="10" t="s">
        <v>77</v>
      </c>
      <c r="G109" s="10" t="s">
        <v>77</v>
      </c>
      <c r="H109" s="10" t="s">
        <v>172</v>
      </c>
      <c r="I109" s="10">
        <v>1</v>
      </c>
      <c r="J109" s="11">
        <v>46266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46256</v>
      </c>
      <c r="P109" s="10" t="s">
        <v>72</v>
      </c>
      <c r="Q109" s="12">
        <f ca="1">Tabela3[[#This Row],[Prazo
Entrega]]-TODAY()</f>
        <v>127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155</v>
      </c>
      <c r="F110" s="10" t="s">
        <v>77</v>
      </c>
      <c r="G110" s="10" t="s">
        <v>77</v>
      </c>
      <c r="H110" s="10" t="s">
        <v>172</v>
      </c>
      <c r="I110" s="10">
        <v>1</v>
      </c>
      <c r="J110" s="11">
        <v>46266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46256</v>
      </c>
      <c r="P110" s="10" t="s">
        <v>72</v>
      </c>
      <c r="Q110" s="12">
        <f ca="1">Tabela3[[#This Row],[Prazo
Entrega]]-TODAY()</f>
        <v>127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155</v>
      </c>
      <c r="F111" s="10" t="s">
        <v>77</v>
      </c>
      <c r="G111" s="10" t="s">
        <v>77</v>
      </c>
      <c r="H111" s="10" t="s">
        <v>172</v>
      </c>
      <c r="I111" s="10">
        <v>1</v>
      </c>
      <c r="J111" s="11">
        <v>46266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46256</v>
      </c>
      <c r="P111" s="10" t="s">
        <v>72</v>
      </c>
      <c r="Q111" s="12">
        <f ca="1">Tabela3[[#This Row],[Prazo
Entrega]]-TODAY()</f>
        <v>127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155</v>
      </c>
      <c r="F112" s="10" t="s">
        <v>77</v>
      </c>
      <c r="G112" s="10" t="s">
        <v>77</v>
      </c>
      <c r="H112" s="10" t="s">
        <v>172</v>
      </c>
      <c r="I112" s="10">
        <v>1</v>
      </c>
      <c r="J112" s="11">
        <v>46266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46256</v>
      </c>
      <c r="P112" s="10" t="s">
        <v>72</v>
      </c>
      <c r="Q112" s="12">
        <f ca="1">Tabela3[[#This Row],[Prazo
Entrega]]-TODAY()</f>
        <v>127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155</v>
      </c>
      <c r="F113" s="10" t="s">
        <v>77</v>
      </c>
      <c r="G113" s="10" t="s">
        <v>77</v>
      </c>
      <c r="H113" s="10" t="s">
        <v>172</v>
      </c>
      <c r="I113" s="10">
        <v>1</v>
      </c>
      <c r="J113" s="11">
        <v>46266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46256</v>
      </c>
      <c r="P113" s="10" t="s">
        <v>72</v>
      </c>
      <c r="Q113" s="12">
        <f ca="1">Tabela3[[#This Row],[Prazo
Entrega]]-TODAY()</f>
        <v>127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155</v>
      </c>
      <c r="F114" s="10" t="s">
        <v>77</v>
      </c>
      <c r="G114" s="10" t="s">
        <v>77</v>
      </c>
      <c r="H114" s="10" t="s">
        <v>172</v>
      </c>
      <c r="I114" s="10">
        <v>1</v>
      </c>
      <c r="J114" s="11">
        <v>46266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46256</v>
      </c>
      <c r="P114" s="10" t="s">
        <v>72</v>
      </c>
      <c r="Q114" s="12">
        <f ca="1">Tabela3[[#This Row],[Prazo
Entrega]]-TODAY()</f>
        <v>127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155</v>
      </c>
      <c r="F115" s="10" t="s">
        <v>77</v>
      </c>
      <c r="G115" s="10" t="s">
        <v>77</v>
      </c>
      <c r="H115" s="10" t="s">
        <v>172</v>
      </c>
      <c r="I115" s="10">
        <v>1</v>
      </c>
      <c r="J115" s="11">
        <v>46266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46256</v>
      </c>
      <c r="P115" s="10" t="s">
        <v>72</v>
      </c>
      <c r="Q115" s="12">
        <f ca="1">Tabela3[[#This Row],[Prazo
Entrega]]-TODAY()</f>
        <v>127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155</v>
      </c>
      <c r="F116" s="10" t="s">
        <v>77</v>
      </c>
      <c r="G116" s="10" t="s">
        <v>77</v>
      </c>
      <c r="H116" s="10" t="s">
        <v>173</v>
      </c>
      <c r="I116" s="10">
        <v>1</v>
      </c>
      <c r="J116" s="11">
        <v>46266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46256</v>
      </c>
      <c r="P116" s="10" t="s">
        <v>72</v>
      </c>
      <c r="Q116" s="12">
        <f ca="1">Tabela3[[#This Row],[Prazo
Entrega]]-TODAY()</f>
        <v>127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155</v>
      </c>
      <c r="F117" s="10" t="s">
        <v>77</v>
      </c>
      <c r="G117" s="10" t="s">
        <v>77</v>
      </c>
      <c r="H117" s="10" t="s">
        <v>173</v>
      </c>
      <c r="I117" s="10">
        <v>1</v>
      </c>
      <c r="J117" s="11">
        <v>46266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46256</v>
      </c>
      <c r="P117" s="10" t="s">
        <v>72</v>
      </c>
      <c r="Q117" s="12">
        <f ca="1">Tabela3[[#This Row],[Prazo
Entrega]]-TODAY()</f>
        <v>127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155</v>
      </c>
      <c r="F118" s="10" t="s">
        <v>77</v>
      </c>
      <c r="G118" s="10" t="s">
        <v>77</v>
      </c>
      <c r="H118" s="10" t="s">
        <v>173</v>
      </c>
      <c r="I118" s="10">
        <v>1</v>
      </c>
      <c r="J118" s="11">
        <v>46266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46256</v>
      </c>
      <c r="P118" s="10" t="s">
        <v>72</v>
      </c>
      <c r="Q118" s="12">
        <f ca="1">Tabela3[[#This Row],[Prazo
Entrega]]-TODAY()</f>
        <v>127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155</v>
      </c>
      <c r="F119" s="10" t="s">
        <v>77</v>
      </c>
      <c r="G119" s="10" t="s">
        <v>77</v>
      </c>
      <c r="H119" s="10" t="s">
        <v>173</v>
      </c>
      <c r="I119" s="10">
        <v>1</v>
      </c>
      <c r="J119" s="11">
        <v>46266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46256</v>
      </c>
      <c r="P119" s="10" t="s">
        <v>72</v>
      </c>
      <c r="Q119" s="12">
        <f ca="1">Tabela3[[#This Row],[Prazo
Entrega]]-TODAY()</f>
        <v>127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155</v>
      </c>
      <c r="F120" s="10" t="s">
        <v>77</v>
      </c>
      <c r="G120" s="10" t="s">
        <v>77</v>
      </c>
      <c r="H120" s="10" t="s">
        <v>173</v>
      </c>
      <c r="I120" s="10">
        <v>1</v>
      </c>
      <c r="J120" s="11">
        <v>46266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46256</v>
      </c>
      <c r="P120" s="10" t="s">
        <v>72</v>
      </c>
      <c r="Q120" s="12">
        <f ca="1">Tabela3[[#This Row],[Prazo
Entrega]]-TODAY()</f>
        <v>127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155</v>
      </c>
      <c r="F121" s="10" t="s">
        <v>77</v>
      </c>
      <c r="G121" s="10" t="s">
        <v>77</v>
      </c>
      <c r="H121" s="10" t="s">
        <v>173</v>
      </c>
      <c r="I121" s="10">
        <v>1</v>
      </c>
      <c r="J121" s="11">
        <v>46266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46256</v>
      </c>
      <c r="P121" s="10" t="s">
        <v>72</v>
      </c>
      <c r="Q121" s="12">
        <f ca="1">Tabela3[[#This Row],[Prazo
Entrega]]-TODAY()</f>
        <v>127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155</v>
      </c>
      <c r="F122" s="10" t="s">
        <v>77</v>
      </c>
      <c r="G122" s="10" t="s">
        <v>77</v>
      </c>
      <c r="H122" s="10" t="s">
        <v>173</v>
      </c>
      <c r="I122" s="10">
        <v>1</v>
      </c>
      <c r="J122" s="11">
        <v>46266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46256</v>
      </c>
      <c r="P122" s="10" t="s">
        <v>72</v>
      </c>
      <c r="Q122" s="12">
        <f ca="1">Tabela3[[#This Row],[Prazo
Entrega]]-TODAY()</f>
        <v>127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155</v>
      </c>
      <c r="F123" s="10" t="s">
        <v>77</v>
      </c>
      <c r="G123" s="10" t="s">
        <v>77</v>
      </c>
      <c r="H123" s="10" t="s">
        <v>173</v>
      </c>
      <c r="I123" s="10">
        <v>1</v>
      </c>
      <c r="J123" s="11">
        <v>46266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46256</v>
      </c>
      <c r="P123" s="10" t="s">
        <v>72</v>
      </c>
      <c r="Q123" s="12">
        <f ca="1">Tabela3[[#This Row],[Prazo
Entrega]]-TODAY()</f>
        <v>127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155</v>
      </c>
      <c r="F124" s="10" t="s">
        <v>77</v>
      </c>
      <c r="G124" s="10" t="s">
        <v>77</v>
      </c>
      <c r="H124" s="10" t="s">
        <v>174</v>
      </c>
      <c r="I124" s="10">
        <v>1</v>
      </c>
      <c r="J124" s="11">
        <v>46266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46256</v>
      </c>
      <c r="P124" s="10" t="s">
        <v>72</v>
      </c>
      <c r="Q124" s="12">
        <f ca="1">Tabela3[[#This Row],[Prazo
Entrega]]-TODAY()</f>
        <v>127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155</v>
      </c>
      <c r="F125" s="10" t="s">
        <v>77</v>
      </c>
      <c r="G125" s="10" t="s">
        <v>77</v>
      </c>
      <c r="H125" s="10" t="s">
        <v>174</v>
      </c>
      <c r="I125" s="10">
        <v>1</v>
      </c>
      <c r="J125" s="11">
        <v>46266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46256</v>
      </c>
      <c r="P125" s="10" t="s">
        <v>72</v>
      </c>
      <c r="Q125" s="12">
        <f ca="1">Tabela3[[#This Row],[Prazo
Entrega]]-TODAY()</f>
        <v>127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155</v>
      </c>
      <c r="F126" s="10" t="s">
        <v>77</v>
      </c>
      <c r="G126" s="10" t="s">
        <v>77</v>
      </c>
      <c r="H126" s="10" t="s">
        <v>174</v>
      </c>
      <c r="I126" s="10">
        <v>1</v>
      </c>
      <c r="J126" s="11">
        <v>46266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46256</v>
      </c>
      <c r="P126" s="10" t="s">
        <v>72</v>
      </c>
      <c r="Q126" s="12">
        <f ca="1">Tabela3[[#This Row],[Prazo
Entrega]]-TODAY()</f>
        <v>127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155</v>
      </c>
      <c r="F127" s="10" t="s">
        <v>77</v>
      </c>
      <c r="G127" s="10" t="s">
        <v>77</v>
      </c>
      <c r="H127" s="10" t="s">
        <v>174</v>
      </c>
      <c r="I127" s="10">
        <v>1</v>
      </c>
      <c r="J127" s="11">
        <v>46266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46256</v>
      </c>
      <c r="P127" s="10" t="s">
        <v>72</v>
      </c>
      <c r="Q127" s="12">
        <f ca="1">Tabela3[[#This Row],[Prazo
Entrega]]-TODAY()</f>
        <v>127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155</v>
      </c>
      <c r="F128" s="10" t="s">
        <v>77</v>
      </c>
      <c r="G128" s="10" t="s">
        <v>77</v>
      </c>
      <c r="H128" s="10" t="s">
        <v>174</v>
      </c>
      <c r="I128" s="10">
        <v>1</v>
      </c>
      <c r="J128" s="11">
        <v>46266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46256</v>
      </c>
      <c r="P128" s="10" t="s">
        <v>72</v>
      </c>
      <c r="Q128" s="12">
        <f ca="1">Tabela3[[#This Row],[Prazo
Entrega]]-TODAY()</f>
        <v>127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155</v>
      </c>
      <c r="F129" s="10" t="s">
        <v>77</v>
      </c>
      <c r="G129" s="10" t="s">
        <v>77</v>
      </c>
      <c r="H129" s="10" t="s">
        <v>174</v>
      </c>
      <c r="I129" s="10">
        <v>1</v>
      </c>
      <c r="J129" s="11">
        <v>46266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46256</v>
      </c>
      <c r="P129" s="10" t="s">
        <v>72</v>
      </c>
      <c r="Q129" s="12">
        <f ca="1">Tabela3[[#This Row],[Prazo
Entrega]]-TODAY()</f>
        <v>127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155</v>
      </c>
      <c r="F130" s="10" t="s">
        <v>77</v>
      </c>
      <c r="G130" s="10" t="s">
        <v>77</v>
      </c>
      <c r="H130" s="10" t="s">
        <v>174</v>
      </c>
      <c r="I130" s="10">
        <v>1</v>
      </c>
      <c r="J130" s="11">
        <v>46266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46256</v>
      </c>
      <c r="P130" s="10" t="s">
        <v>72</v>
      </c>
      <c r="Q130" s="12">
        <f ca="1">Tabela3[[#This Row],[Prazo
Entrega]]-TODAY()</f>
        <v>127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155</v>
      </c>
      <c r="F131" s="10" t="s">
        <v>77</v>
      </c>
      <c r="G131" s="10" t="s">
        <v>77</v>
      </c>
      <c r="H131" s="10" t="s">
        <v>174</v>
      </c>
      <c r="I131" s="10">
        <v>1</v>
      </c>
      <c r="J131" s="11">
        <v>46266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46256</v>
      </c>
      <c r="P131" s="10" t="s">
        <v>72</v>
      </c>
      <c r="Q131" s="12">
        <f ca="1">Tabela3[[#This Row],[Prazo
Entrega]]-TODAY()</f>
        <v>127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R3" sqref="R3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95</v>
      </c>
      <c r="O1" s="29" t="s">
        <v>65</v>
      </c>
      <c r="P1" s="29" t="s">
        <v>59</v>
      </c>
      <c r="Q1" s="30" t="s">
        <v>109</v>
      </c>
      <c r="R1" s="30" t="s">
        <v>84</v>
      </c>
      <c r="S1" s="30" t="s">
        <v>91</v>
      </c>
      <c r="T1" s="30" t="s">
        <v>92</v>
      </c>
      <c r="U1" s="30" t="s">
        <v>93</v>
      </c>
      <c r="V1" s="30" t="s">
        <v>94</v>
      </c>
      <c r="W1" s="30" t="s">
        <v>88</v>
      </c>
      <c r="X1" s="30" t="s">
        <v>89</v>
      </c>
      <c r="Y1" s="30" t="s">
        <v>60</v>
      </c>
      <c r="Z1" s="29" t="s">
        <v>73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71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71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41</v>
      </c>
      <c r="O4" s="13" t="str">
        <f t="shared" ca="1" si="0"/>
        <v>NO PRAZO</v>
      </c>
      <c r="P4" t="s">
        <v>90</v>
      </c>
      <c r="Q4" s="32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41</v>
      </c>
      <c r="O5" s="13" t="str">
        <f t="shared" ca="1" si="0"/>
        <v>NO PRAZO</v>
      </c>
      <c r="P5" t="s">
        <v>90</v>
      </c>
      <c r="Q5" s="32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41</v>
      </c>
      <c r="O6" s="13" t="str">
        <f t="shared" ca="1" si="0"/>
        <v>NO PRAZO</v>
      </c>
      <c r="P6" t="s">
        <v>90</v>
      </c>
      <c r="Q6" s="32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97</v>
      </c>
      <c r="O7" s="13" t="str">
        <f t="shared" ca="1" si="0"/>
        <v>NO PRAZO</v>
      </c>
      <c r="P7" t="s">
        <v>90</v>
      </c>
      <c r="Q7" s="32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41</v>
      </c>
      <c r="O8" s="13" t="str">
        <f t="shared" ca="1" si="0"/>
        <v>NO PRAZO</v>
      </c>
      <c r="P8" t="s">
        <v>90</v>
      </c>
      <c r="Q8" s="32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68</v>
      </c>
      <c r="O9" s="13" t="str">
        <f t="shared" ca="1" si="0"/>
        <v>NO PRAZO</v>
      </c>
      <c r="P9" t="s">
        <v>90</v>
      </c>
      <c r="Q9" s="32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68</v>
      </c>
      <c r="O10" s="13" t="str">
        <f t="shared" ca="1" si="0"/>
        <v>NO PRAZO</v>
      </c>
      <c r="P10" t="s">
        <v>90</v>
      </c>
      <c r="Q10" s="32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68</v>
      </c>
      <c r="O11" s="13" t="str">
        <f t="shared" ca="1" si="0"/>
        <v>NO PRAZO</v>
      </c>
      <c r="P11" t="s">
        <v>90</v>
      </c>
      <c r="Q11" s="32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68</v>
      </c>
      <c r="O12" s="13" t="str">
        <f t="shared" ca="1" si="0"/>
        <v>NO PRAZO</v>
      </c>
      <c r="P12" t="s">
        <v>90</v>
      </c>
      <c r="Q12" s="32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68</v>
      </c>
      <c r="O13" s="13" t="str">
        <f t="shared" ca="1" si="0"/>
        <v>NO PRAZO</v>
      </c>
      <c r="P13" t="s">
        <v>90</v>
      </c>
      <c r="Q13" s="32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97</v>
      </c>
      <c r="O14" s="13" t="str">
        <f t="shared" ca="1" si="0"/>
        <v>NO PRAZO</v>
      </c>
      <c r="P14" t="s">
        <v>90</v>
      </c>
      <c r="Q14" s="32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97</v>
      </c>
      <c r="O15" s="13" t="str">
        <f t="shared" ca="1" si="0"/>
        <v>NO PRAZO</v>
      </c>
      <c r="P15" t="s">
        <v>90</v>
      </c>
      <c r="Q15" s="32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97</v>
      </c>
      <c r="O16" s="13" t="str">
        <f t="shared" ca="1" si="0"/>
        <v>NO PRAZO</v>
      </c>
      <c r="P16" t="s">
        <v>90</v>
      </c>
      <c r="Q16" s="32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82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82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82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82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82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82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82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82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82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176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176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176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 t="s">
        <v>77</v>
      </c>
      <c r="G29" s="14" t="s">
        <v>77</v>
      </c>
      <c r="H29" s="6" t="s">
        <v>125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88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72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 t="s">
        <v>77</v>
      </c>
      <c r="G30" s="14" t="s">
        <v>77</v>
      </c>
      <c r="H30" s="6" t="s">
        <v>125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88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72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 t="s">
        <v>77</v>
      </c>
      <c r="G31" s="14" t="s">
        <v>77</v>
      </c>
      <c r="H31" s="6" t="s">
        <v>125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88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72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142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176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142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176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142</v>
      </c>
      <c r="F34" s="14" t="s">
        <v>77</v>
      </c>
      <c r="G34" s="14" t="s">
        <v>77</v>
      </c>
      <c r="H34" s="6" t="s">
        <v>143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176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142</v>
      </c>
      <c r="F35" s="14" t="s">
        <v>77</v>
      </c>
      <c r="G35" s="14" t="s">
        <v>77</v>
      </c>
      <c r="H35" s="6" t="s">
        <v>143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176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x14ac:dyDescent="0.25">
      <c r="N36" s="13"/>
      <c r="O36" s="13"/>
    </row>
    <row r="37" spans="1:25" x14ac:dyDescent="0.25">
      <c r="N37" s="13"/>
      <c r="O37" s="13"/>
    </row>
    <row r="38" spans="1:25" x14ac:dyDescent="0.25">
      <c r="N38" s="13"/>
      <c r="O38" s="13"/>
    </row>
    <row r="39" spans="1:25" x14ac:dyDescent="0.25">
      <c r="N39" s="13"/>
      <c r="O39" s="13"/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89"/>
  <sheetViews>
    <sheetView topLeftCell="A62" workbookViewId="0">
      <selection activeCell="I96" sqref="I95:I96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95</v>
      </c>
      <c r="O1" s="34" t="s">
        <v>65</v>
      </c>
      <c r="P1" s="34" t="s">
        <v>59</v>
      </c>
      <c r="Q1" s="30" t="s">
        <v>109</v>
      </c>
      <c r="R1" s="34" t="s">
        <v>84</v>
      </c>
      <c r="S1" s="34" t="s">
        <v>99</v>
      </c>
      <c r="T1" s="34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133</v>
      </c>
      <c r="F2" s="14">
        <v>1</v>
      </c>
      <c r="G2" s="14">
        <v>434129</v>
      </c>
      <c r="H2" s="14">
        <v>1</v>
      </c>
      <c r="I2" s="6" t="s">
        <v>141</v>
      </c>
      <c r="J2" s="7">
        <v>46204</v>
      </c>
      <c r="L2" s="7">
        <v>46254</v>
      </c>
      <c r="N2" s="13">
        <f ca="1">Tabela4[[#This Row],[Prazo
Entrega]]-TODAY()</f>
        <v>56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100</v>
      </c>
      <c r="S2" t="s">
        <v>61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133</v>
      </c>
      <c r="F3" s="14">
        <v>1</v>
      </c>
      <c r="G3" s="14">
        <v>434129</v>
      </c>
      <c r="H3" s="14">
        <v>2</v>
      </c>
      <c r="I3" s="6" t="s">
        <v>141</v>
      </c>
      <c r="J3" s="7">
        <v>46204</v>
      </c>
      <c r="L3" s="7">
        <v>46254</v>
      </c>
      <c r="N3" s="13">
        <f ca="1">Tabela4[[#This Row],[Prazo
Entrega]]-TODAY()</f>
        <v>56</v>
      </c>
      <c r="O3" t="str">
        <f t="shared" ca="1" si="0"/>
        <v>NO PRAZO</v>
      </c>
      <c r="P3" t="s">
        <v>43</v>
      </c>
      <c r="Q3" s="31">
        <v>46199</v>
      </c>
      <c r="R3" s="1" t="s">
        <v>100</v>
      </c>
      <c r="S3" t="s">
        <v>61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133</v>
      </c>
      <c r="F4" s="14">
        <v>1</v>
      </c>
      <c r="G4" s="14">
        <v>434129</v>
      </c>
      <c r="H4" s="14">
        <v>3</v>
      </c>
      <c r="I4" s="6" t="s">
        <v>141</v>
      </c>
      <c r="J4" s="7">
        <v>46204</v>
      </c>
      <c r="L4" s="7">
        <v>46254</v>
      </c>
      <c r="N4" s="13">
        <f ca="1">Tabela4[[#This Row],[Prazo
Entrega]]-TODAY()</f>
        <v>56</v>
      </c>
      <c r="O4" t="str">
        <f t="shared" ca="1" si="0"/>
        <v>NO PRAZO</v>
      </c>
      <c r="P4" t="s">
        <v>43</v>
      </c>
      <c r="Q4" s="31">
        <v>46199</v>
      </c>
      <c r="R4" s="1" t="s">
        <v>100</v>
      </c>
      <c r="S4" t="s">
        <v>61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133</v>
      </c>
      <c r="F5" s="14">
        <v>1</v>
      </c>
      <c r="G5" s="14">
        <v>434129</v>
      </c>
      <c r="H5" s="14">
        <v>4</v>
      </c>
      <c r="I5" s="6" t="s">
        <v>141</v>
      </c>
      <c r="J5" s="7">
        <v>46204</v>
      </c>
      <c r="L5" s="7">
        <v>46254</v>
      </c>
      <c r="N5" s="13">
        <f ca="1">Tabela4[[#This Row],[Prazo
Entrega]]-TODAY()</f>
        <v>56</v>
      </c>
      <c r="O5" t="str">
        <f t="shared" ca="1" si="0"/>
        <v>NO PRAZO</v>
      </c>
      <c r="P5" t="s">
        <v>43</v>
      </c>
      <c r="Q5" s="31">
        <v>46199</v>
      </c>
      <c r="R5" s="1" t="s">
        <v>100</v>
      </c>
      <c r="S5" t="s">
        <v>61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133</v>
      </c>
      <c r="F6" s="14">
        <v>1</v>
      </c>
      <c r="G6" s="14">
        <v>434130</v>
      </c>
      <c r="H6" s="14">
        <v>1</v>
      </c>
      <c r="I6" s="6" t="s">
        <v>141</v>
      </c>
      <c r="J6" s="7">
        <v>46204</v>
      </c>
      <c r="L6" s="7">
        <v>46254</v>
      </c>
      <c r="N6" s="13">
        <f ca="1">Tabela4[[#This Row],[Prazo
Entrega]]-TODAY()</f>
        <v>56</v>
      </c>
      <c r="O6" t="str">
        <f t="shared" ca="1" si="0"/>
        <v>NO PRAZO</v>
      </c>
      <c r="P6" t="s">
        <v>43</v>
      </c>
      <c r="Q6" s="31">
        <v>46199</v>
      </c>
      <c r="R6" s="1" t="s">
        <v>100</v>
      </c>
      <c r="S6" t="s">
        <v>61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133</v>
      </c>
      <c r="F7" s="14">
        <v>1</v>
      </c>
      <c r="G7" s="14">
        <v>434130</v>
      </c>
      <c r="H7" s="14">
        <v>2</v>
      </c>
      <c r="I7" s="6" t="s">
        <v>141</v>
      </c>
      <c r="J7" s="7">
        <v>46204</v>
      </c>
      <c r="L7" s="7">
        <v>46254</v>
      </c>
      <c r="N7" s="13">
        <f ca="1">Tabela4[[#This Row],[Prazo
Entrega]]-TODAY()</f>
        <v>56</v>
      </c>
      <c r="O7" t="str">
        <f t="shared" ca="1" si="0"/>
        <v>NO PRAZO</v>
      </c>
      <c r="P7" t="s">
        <v>43</v>
      </c>
      <c r="Q7" s="31">
        <v>46199</v>
      </c>
      <c r="R7" s="1" t="s">
        <v>100</v>
      </c>
      <c r="S7" t="s">
        <v>61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133</v>
      </c>
      <c r="F8" s="14">
        <v>1</v>
      </c>
      <c r="G8" s="14">
        <v>434130</v>
      </c>
      <c r="H8" s="14">
        <v>3</v>
      </c>
      <c r="I8" s="6" t="s">
        <v>141</v>
      </c>
      <c r="J8" s="7">
        <v>46204</v>
      </c>
      <c r="L8" s="7">
        <v>46254</v>
      </c>
      <c r="N8" s="13">
        <f ca="1">Tabela4[[#This Row],[Prazo
Entrega]]-TODAY()</f>
        <v>56</v>
      </c>
      <c r="O8" t="str">
        <f t="shared" ca="1" si="0"/>
        <v>NO PRAZO</v>
      </c>
      <c r="P8" t="s">
        <v>43</v>
      </c>
      <c r="Q8" s="31">
        <v>46199</v>
      </c>
      <c r="R8" s="1" t="s">
        <v>100</v>
      </c>
      <c r="S8" t="s">
        <v>61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133</v>
      </c>
      <c r="F9" s="14">
        <v>1</v>
      </c>
      <c r="G9" s="14">
        <v>434130</v>
      </c>
      <c r="H9" s="14">
        <v>4</v>
      </c>
      <c r="I9" s="6" t="s">
        <v>141</v>
      </c>
      <c r="J9" s="7">
        <v>46204</v>
      </c>
      <c r="L9" s="7">
        <v>46254</v>
      </c>
      <c r="N9" s="13">
        <f ca="1">Tabela4[[#This Row],[Prazo
Entrega]]-TODAY()</f>
        <v>56</v>
      </c>
      <c r="O9" t="str">
        <f t="shared" ca="1" si="0"/>
        <v>NO PRAZO</v>
      </c>
      <c r="P9" t="s">
        <v>43</v>
      </c>
      <c r="Q9" s="31">
        <v>46199</v>
      </c>
      <c r="R9" s="1" t="s">
        <v>100</v>
      </c>
      <c r="S9" t="s">
        <v>61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134</v>
      </c>
      <c r="F10" s="15">
        <v>1</v>
      </c>
      <c r="G10" s="15" t="s">
        <v>77</v>
      </c>
      <c r="H10" s="15" t="s">
        <v>77</v>
      </c>
      <c r="I10" s="17" t="s">
        <v>135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-20</v>
      </c>
      <c r="O10" s="33" t="s">
        <v>102</v>
      </c>
      <c r="P10" s="10" t="s">
        <v>43</v>
      </c>
      <c r="Q10" s="10" t="s">
        <v>69</v>
      </c>
      <c r="R10" s="10" t="s">
        <v>69</v>
      </c>
      <c r="S10" s="35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136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178</v>
      </c>
      <c r="O11" s="1" t="str">
        <f ca="1">IF(N11&lt;0,"ATRASADO",IF(N11&lt;=15,"ATENÇÃO","NO PRAZO"))</f>
        <v>NO PRAZO</v>
      </c>
      <c r="P11" s="10" t="s">
        <v>43</v>
      </c>
      <c r="Q11" s="11">
        <v>46203</v>
      </c>
      <c r="R11" s="1" t="s">
        <v>100</v>
      </c>
      <c r="S11" t="s">
        <v>120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137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178</v>
      </c>
      <c r="O12" t="str">
        <f ca="1">IF(N12&lt;0,"ATRASADO",IF(N12&lt;=15,"ATENÇÃO","NO PRAZO"))</f>
        <v>NO PRAZO</v>
      </c>
      <c r="P12" s="10" t="s">
        <v>43</v>
      </c>
      <c r="Q12" s="11">
        <v>46203</v>
      </c>
      <c r="R12" s="1" t="s">
        <v>100</v>
      </c>
      <c r="S12" t="s">
        <v>120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138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178</v>
      </c>
      <c r="O13" t="str">
        <f ca="1">IF(N13&lt;0,"ATRASADO",IF(N13&lt;=15,"ATENÇÃO","NO PRAZO"))</f>
        <v>NO PRAZO</v>
      </c>
      <c r="P13" s="10" t="s">
        <v>43</v>
      </c>
      <c r="Q13" s="11">
        <v>46203</v>
      </c>
      <c r="R13" s="1" t="s">
        <v>100</v>
      </c>
      <c r="S13" t="s">
        <v>120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139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178</v>
      </c>
      <c r="O14" t="str">
        <f ca="1">IF(N14&lt;0,"ATRASADO",IF(N14&lt;=15,"ATENÇÃO","NO PRAZO"))</f>
        <v>NO PRAZO</v>
      </c>
      <c r="P14" s="10" t="s">
        <v>43</v>
      </c>
      <c r="Q14" s="11">
        <v>46203</v>
      </c>
      <c r="R14" s="1" t="s">
        <v>100</v>
      </c>
      <c r="S14" t="s">
        <v>120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139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178</v>
      </c>
      <c r="O15" t="str">
        <f t="shared" ref="O15:O16" ca="1" si="1">IF(N15&lt;0,"ATRASADO",IF(N15&lt;=15,"ATENÇÃO","NO PRAZO"))</f>
        <v>NO PRAZO</v>
      </c>
      <c r="P15" s="10" t="s">
        <v>43</v>
      </c>
      <c r="Q15" s="11">
        <v>46203</v>
      </c>
      <c r="R15" s="1" t="s">
        <v>100</v>
      </c>
      <c r="S15" t="s">
        <v>120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139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178</v>
      </c>
      <c r="O16" t="str">
        <f t="shared" ca="1" si="1"/>
        <v>NO PRAZO</v>
      </c>
      <c r="P16" s="10" t="s">
        <v>43</v>
      </c>
      <c r="Q16" s="11">
        <v>46203</v>
      </c>
      <c r="R16" s="1" t="s">
        <v>100</v>
      </c>
      <c r="S16" t="s">
        <v>120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140</v>
      </c>
      <c r="J17" s="7">
        <v>46251</v>
      </c>
      <c r="L17" s="7">
        <v>46281</v>
      </c>
      <c r="N17" s="13">
        <f ca="1">Tabela4[[#This Row],[Prazo
Entrega]]-TODAY()</f>
        <v>83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140</v>
      </c>
      <c r="J18" s="7">
        <v>46251</v>
      </c>
      <c r="L18" s="7">
        <v>46281</v>
      </c>
      <c r="N18" s="13">
        <f ca="1">Tabela4[[#This Row],[Prazo
Entrega]]-TODAY()</f>
        <v>83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142</v>
      </c>
      <c r="F19" s="14">
        <v>1</v>
      </c>
      <c r="G19" s="14" t="s">
        <v>77</v>
      </c>
      <c r="H19" s="14" t="s">
        <v>77</v>
      </c>
      <c r="I19" s="6" t="s">
        <v>144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178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142</v>
      </c>
      <c r="F20" s="14">
        <v>1</v>
      </c>
      <c r="G20" s="14" t="s">
        <v>77</v>
      </c>
      <c r="H20" s="14" t="s">
        <v>77</v>
      </c>
      <c r="I20" s="6" t="s">
        <v>144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178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142</v>
      </c>
      <c r="F21" s="14">
        <v>1</v>
      </c>
      <c r="G21" s="14" t="s">
        <v>77</v>
      </c>
      <c r="H21" s="14" t="s">
        <v>77</v>
      </c>
      <c r="I21" s="6" t="s">
        <v>145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178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142</v>
      </c>
      <c r="F22" s="14">
        <v>1</v>
      </c>
      <c r="G22" s="14" t="s">
        <v>77</v>
      </c>
      <c r="H22" s="14" t="s">
        <v>77</v>
      </c>
      <c r="I22" s="6" t="s">
        <v>145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178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142</v>
      </c>
      <c r="F23" s="14">
        <v>1</v>
      </c>
      <c r="G23" s="14" t="s">
        <v>77</v>
      </c>
      <c r="H23" s="14" t="s">
        <v>77</v>
      </c>
      <c r="I23" s="6" t="s">
        <v>145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178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142</v>
      </c>
      <c r="F24" s="14">
        <v>1</v>
      </c>
      <c r="G24" s="14" t="s">
        <v>77</v>
      </c>
      <c r="H24" s="14" t="s">
        <v>77</v>
      </c>
      <c r="I24" s="6" t="s">
        <v>145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178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142</v>
      </c>
      <c r="F25" s="14">
        <v>1</v>
      </c>
      <c r="G25" s="14" t="s">
        <v>77</v>
      </c>
      <c r="H25" s="14" t="s">
        <v>77</v>
      </c>
      <c r="I25" s="6" t="s">
        <v>145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178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142</v>
      </c>
      <c r="F26" s="14">
        <v>1</v>
      </c>
      <c r="G26" s="14" t="s">
        <v>77</v>
      </c>
      <c r="H26" s="14" t="s">
        <v>77</v>
      </c>
      <c r="I26" s="6" t="s">
        <v>145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178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142</v>
      </c>
      <c r="F27" s="14">
        <v>1</v>
      </c>
      <c r="G27" s="14" t="s">
        <v>77</v>
      </c>
      <c r="H27" s="14" t="s">
        <v>77</v>
      </c>
      <c r="I27" s="6" t="s">
        <v>146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178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142</v>
      </c>
      <c r="F28" s="14">
        <v>1</v>
      </c>
      <c r="G28" s="14" t="s">
        <v>77</v>
      </c>
      <c r="H28" s="14" t="s">
        <v>77</v>
      </c>
      <c r="I28" s="6" t="s">
        <v>146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178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142</v>
      </c>
      <c r="F29" s="14">
        <v>1</v>
      </c>
      <c r="G29" s="14" t="s">
        <v>77</v>
      </c>
      <c r="H29" s="14" t="s">
        <v>77</v>
      </c>
      <c r="I29" s="6" t="s">
        <v>146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178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142</v>
      </c>
      <c r="F30" s="14">
        <v>1</v>
      </c>
      <c r="G30" s="14" t="s">
        <v>77</v>
      </c>
      <c r="H30" s="14" t="s">
        <v>77</v>
      </c>
      <c r="I30" s="6" t="s">
        <v>146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178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142</v>
      </c>
      <c r="F31" s="14">
        <v>1</v>
      </c>
      <c r="G31" s="14" t="s">
        <v>77</v>
      </c>
      <c r="H31" s="14" t="s">
        <v>77</v>
      </c>
      <c r="I31" s="6" t="s">
        <v>146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178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142</v>
      </c>
      <c r="F32" s="14">
        <v>1</v>
      </c>
      <c r="G32" s="14" t="s">
        <v>77</v>
      </c>
      <c r="H32" s="14" t="s">
        <v>77</v>
      </c>
      <c r="I32" s="6" t="s">
        <v>146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178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142</v>
      </c>
      <c r="F33" s="14">
        <v>1</v>
      </c>
      <c r="G33" s="14" t="s">
        <v>77</v>
      </c>
      <c r="H33" s="14" t="s">
        <v>77</v>
      </c>
      <c r="I33" s="6" t="s">
        <v>146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178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142</v>
      </c>
      <c r="F34" s="14">
        <v>1</v>
      </c>
      <c r="G34" s="14" t="s">
        <v>77</v>
      </c>
      <c r="H34" s="14" t="s">
        <v>77</v>
      </c>
      <c r="I34" s="6" t="s">
        <v>146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178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142</v>
      </c>
      <c r="F35" s="14">
        <v>1</v>
      </c>
      <c r="G35" s="14" t="s">
        <v>77</v>
      </c>
      <c r="H35" s="14" t="s">
        <v>77</v>
      </c>
      <c r="I35" s="6" t="s">
        <v>147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178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142</v>
      </c>
      <c r="F36" s="14">
        <v>1</v>
      </c>
      <c r="G36" s="14" t="s">
        <v>77</v>
      </c>
      <c r="H36" s="14" t="s">
        <v>77</v>
      </c>
      <c r="I36" s="6" t="s">
        <v>147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178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142</v>
      </c>
      <c r="F37" s="14">
        <v>1</v>
      </c>
      <c r="G37" s="14" t="s">
        <v>77</v>
      </c>
      <c r="H37" s="14" t="s">
        <v>77</v>
      </c>
      <c r="I37" s="6" t="s">
        <v>148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178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142</v>
      </c>
      <c r="F38" s="14">
        <v>1</v>
      </c>
      <c r="G38" s="14" t="s">
        <v>77</v>
      </c>
      <c r="H38" s="14" t="s">
        <v>77</v>
      </c>
      <c r="I38" s="6" t="s">
        <v>148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178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142</v>
      </c>
      <c r="F39" s="14">
        <v>1</v>
      </c>
      <c r="G39" s="14" t="s">
        <v>77</v>
      </c>
      <c r="H39" s="14" t="s">
        <v>77</v>
      </c>
      <c r="I39" s="6" t="s">
        <v>148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178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142</v>
      </c>
      <c r="F40" s="14">
        <v>1</v>
      </c>
      <c r="G40" s="14" t="s">
        <v>77</v>
      </c>
      <c r="H40" s="14" t="s">
        <v>77</v>
      </c>
      <c r="I40" s="6" t="s">
        <v>148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178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142</v>
      </c>
      <c r="F41" s="14">
        <v>1</v>
      </c>
      <c r="G41" s="14" t="s">
        <v>77</v>
      </c>
      <c r="H41" s="14" t="s">
        <v>77</v>
      </c>
      <c r="I41" s="6" t="s">
        <v>148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178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142</v>
      </c>
      <c r="F42" s="14">
        <v>1</v>
      </c>
      <c r="G42" s="14" t="s">
        <v>77</v>
      </c>
      <c r="H42" s="14" t="s">
        <v>77</v>
      </c>
      <c r="I42" s="6" t="s">
        <v>148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178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142</v>
      </c>
      <c r="F43" s="14">
        <v>1</v>
      </c>
      <c r="G43" s="14" t="s">
        <v>77</v>
      </c>
      <c r="H43" s="14" t="s">
        <v>77</v>
      </c>
      <c r="I43" s="6" t="s">
        <v>148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178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142</v>
      </c>
      <c r="F44" s="14">
        <v>1</v>
      </c>
      <c r="G44" s="14" t="s">
        <v>77</v>
      </c>
      <c r="H44" s="14" t="s">
        <v>77</v>
      </c>
      <c r="I44" s="6" t="s">
        <v>148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178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142</v>
      </c>
      <c r="F45" s="14">
        <v>1</v>
      </c>
      <c r="G45" s="14" t="s">
        <v>77</v>
      </c>
      <c r="H45" s="14" t="s">
        <v>77</v>
      </c>
      <c r="I45" s="6" t="s">
        <v>148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178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142</v>
      </c>
      <c r="F46" s="14">
        <v>1</v>
      </c>
      <c r="G46" s="14" t="s">
        <v>77</v>
      </c>
      <c r="H46" s="14" t="s">
        <v>77</v>
      </c>
      <c r="I46" s="6" t="s">
        <v>148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178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142</v>
      </c>
      <c r="F47" s="14">
        <v>1</v>
      </c>
      <c r="G47" s="14" t="s">
        <v>77</v>
      </c>
      <c r="H47" s="14" t="s">
        <v>77</v>
      </c>
      <c r="I47" s="6" t="s">
        <v>148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178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142</v>
      </c>
      <c r="F48" s="14">
        <v>1</v>
      </c>
      <c r="G48" s="14" t="s">
        <v>77</v>
      </c>
      <c r="H48" s="14" t="s">
        <v>77</v>
      </c>
      <c r="I48" s="6" t="s">
        <v>148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178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19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142</v>
      </c>
      <c r="F49" s="14">
        <v>1</v>
      </c>
      <c r="G49" s="14" t="s">
        <v>77</v>
      </c>
      <c r="H49" s="14" t="s">
        <v>77</v>
      </c>
      <c r="I49" s="6" t="s">
        <v>148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178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19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142</v>
      </c>
      <c r="F50" s="14">
        <v>1</v>
      </c>
      <c r="G50" s="14" t="s">
        <v>77</v>
      </c>
      <c r="H50" s="14" t="s">
        <v>77</v>
      </c>
      <c r="I50" s="6" t="s">
        <v>148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178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19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142</v>
      </c>
      <c r="F51" s="14">
        <v>1</v>
      </c>
      <c r="G51" s="14" t="s">
        <v>77</v>
      </c>
      <c r="H51" s="14" t="s">
        <v>77</v>
      </c>
      <c r="I51" s="6" t="s">
        <v>148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178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19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142</v>
      </c>
      <c r="F52" s="14">
        <v>1</v>
      </c>
      <c r="G52" s="14" t="s">
        <v>77</v>
      </c>
      <c r="H52" s="14" t="s">
        <v>77</v>
      </c>
      <c r="I52" s="6" t="s">
        <v>148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178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  <row r="53" spans="1:19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152</v>
      </c>
      <c r="F53" s="14">
        <v>1</v>
      </c>
      <c r="G53" s="14">
        <v>1343033</v>
      </c>
      <c r="H53" s="14">
        <v>1</v>
      </c>
      <c r="I53" s="6" t="s">
        <v>153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5</v>
      </c>
      <c r="O53" t="s">
        <v>154</v>
      </c>
      <c r="P53" s="10" t="s">
        <v>43</v>
      </c>
      <c r="Q53" s="10" t="s">
        <v>69</v>
      </c>
      <c r="R53" s="1" t="s">
        <v>69</v>
      </c>
      <c r="S53" t="s">
        <v>101</v>
      </c>
    </row>
    <row r="54" spans="1:19" x14ac:dyDescent="0.25">
      <c r="A54" s="15">
        <v>2333</v>
      </c>
      <c r="B54" s="15">
        <v>8</v>
      </c>
      <c r="C54" s="15" t="s">
        <v>77</v>
      </c>
      <c r="D54" s="15" t="s">
        <v>77</v>
      </c>
      <c r="E54" s="20" t="s">
        <v>155</v>
      </c>
      <c r="F54" s="14">
        <v>1</v>
      </c>
      <c r="G54" s="14" t="s">
        <v>77</v>
      </c>
      <c r="H54" s="14" t="s">
        <v>77</v>
      </c>
      <c r="I54" s="6" t="s">
        <v>157</v>
      </c>
      <c r="J54" s="16" t="s">
        <v>77</v>
      </c>
      <c r="K54" s="16" t="s">
        <v>77</v>
      </c>
      <c r="L54" s="7">
        <v>46356</v>
      </c>
      <c r="N54" s="13">
        <f ca="1">Tabela4[[#This Row],[Prazo
Entrega]]-TODAY()</f>
        <v>158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100</v>
      </c>
      <c r="S54" t="s">
        <v>120</v>
      </c>
    </row>
    <row r="55" spans="1:19" x14ac:dyDescent="0.25">
      <c r="A55" s="15">
        <v>2333</v>
      </c>
      <c r="B55" s="15">
        <v>9</v>
      </c>
      <c r="C55" s="15" t="s">
        <v>77</v>
      </c>
      <c r="D55" s="15" t="s">
        <v>77</v>
      </c>
      <c r="E55" s="20" t="s">
        <v>155</v>
      </c>
      <c r="F55" s="14">
        <v>1</v>
      </c>
      <c r="G55" s="14" t="s">
        <v>77</v>
      </c>
      <c r="H55" s="14" t="s">
        <v>77</v>
      </c>
      <c r="I55" s="6" t="s">
        <v>157</v>
      </c>
      <c r="J55" s="16" t="s">
        <v>77</v>
      </c>
      <c r="K55" s="16" t="s">
        <v>77</v>
      </c>
      <c r="L55" s="7">
        <v>46356</v>
      </c>
      <c r="N55" s="13">
        <f ca="1">Tabela4[[#This Row],[Prazo
Entrega]]-TODAY()</f>
        <v>158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100</v>
      </c>
      <c r="S55" t="s">
        <v>120</v>
      </c>
    </row>
    <row r="56" spans="1:19" x14ac:dyDescent="0.25">
      <c r="A56" s="15">
        <v>2333</v>
      </c>
      <c r="B56" s="15">
        <v>11</v>
      </c>
      <c r="C56" s="15" t="s">
        <v>77</v>
      </c>
      <c r="D56" s="15" t="s">
        <v>77</v>
      </c>
      <c r="E56" s="20" t="s">
        <v>155</v>
      </c>
      <c r="F56" s="14">
        <v>1</v>
      </c>
      <c r="G56" s="14" t="s">
        <v>77</v>
      </c>
      <c r="H56" s="14" t="s">
        <v>77</v>
      </c>
      <c r="I56" s="6" t="s">
        <v>158</v>
      </c>
      <c r="J56" s="16" t="s">
        <v>77</v>
      </c>
      <c r="K56" s="16" t="s">
        <v>77</v>
      </c>
      <c r="L56" s="7">
        <v>46356</v>
      </c>
      <c r="N56" s="13">
        <f ca="1">Tabela4[[#This Row],[Prazo
Entrega]]-TODAY()</f>
        <v>158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100</v>
      </c>
      <c r="S56" t="s">
        <v>120</v>
      </c>
    </row>
    <row r="57" spans="1:19" x14ac:dyDescent="0.25">
      <c r="A57" s="15">
        <v>2333</v>
      </c>
      <c r="B57" s="15">
        <v>12</v>
      </c>
      <c r="C57" s="15" t="s">
        <v>77</v>
      </c>
      <c r="D57" s="15" t="s">
        <v>77</v>
      </c>
      <c r="E57" s="20" t="s">
        <v>155</v>
      </c>
      <c r="F57" s="14">
        <v>1</v>
      </c>
      <c r="G57" s="14" t="s">
        <v>77</v>
      </c>
      <c r="H57" s="14" t="s">
        <v>77</v>
      </c>
      <c r="I57" s="6" t="s">
        <v>158</v>
      </c>
      <c r="J57" s="16" t="s">
        <v>77</v>
      </c>
      <c r="K57" s="16" t="s">
        <v>77</v>
      </c>
      <c r="L57" s="7">
        <v>46356</v>
      </c>
      <c r="N57" s="13">
        <f ca="1">Tabela4[[#This Row],[Prazo
Entrega]]-TODAY()</f>
        <v>158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100</v>
      </c>
      <c r="S57" t="s">
        <v>120</v>
      </c>
    </row>
    <row r="58" spans="1:19" x14ac:dyDescent="0.25">
      <c r="A58" s="15">
        <v>2333</v>
      </c>
      <c r="B58" s="15">
        <v>13</v>
      </c>
      <c r="C58" s="15" t="s">
        <v>77</v>
      </c>
      <c r="D58" s="15" t="s">
        <v>77</v>
      </c>
      <c r="E58" s="20" t="s">
        <v>155</v>
      </c>
      <c r="F58" s="14">
        <v>1</v>
      </c>
      <c r="G58" s="14" t="s">
        <v>77</v>
      </c>
      <c r="H58" s="14" t="s">
        <v>77</v>
      </c>
      <c r="I58" s="6" t="s">
        <v>159</v>
      </c>
      <c r="J58" s="16" t="s">
        <v>77</v>
      </c>
      <c r="K58" s="16" t="s">
        <v>77</v>
      </c>
      <c r="L58" s="7">
        <v>46356</v>
      </c>
      <c r="N58" s="13">
        <f ca="1">Tabela4[[#This Row],[Prazo
Entrega]]-TODAY()</f>
        <v>158</v>
      </c>
      <c r="O58" t="str">
        <f t="shared" ca="1" si="7"/>
        <v>NO PRAZO</v>
      </c>
      <c r="P58" s="10" t="s">
        <v>43</v>
      </c>
      <c r="Q58" s="11">
        <v>46203</v>
      </c>
      <c r="R58" s="1" t="s">
        <v>100</v>
      </c>
      <c r="S58" t="s">
        <v>120</v>
      </c>
    </row>
    <row r="59" spans="1:19" x14ac:dyDescent="0.25">
      <c r="A59" s="15">
        <v>2333</v>
      </c>
      <c r="B59" s="15">
        <v>14</v>
      </c>
      <c r="C59" s="15" t="s">
        <v>77</v>
      </c>
      <c r="D59" s="15" t="s">
        <v>77</v>
      </c>
      <c r="E59" s="20" t="s">
        <v>155</v>
      </c>
      <c r="F59" s="14">
        <v>1</v>
      </c>
      <c r="G59" s="14" t="s">
        <v>77</v>
      </c>
      <c r="H59" s="14" t="s">
        <v>77</v>
      </c>
      <c r="I59" s="6" t="s">
        <v>159</v>
      </c>
      <c r="J59" s="16" t="s">
        <v>77</v>
      </c>
      <c r="K59" s="16" t="s">
        <v>77</v>
      </c>
      <c r="L59" s="7">
        <v>46356</v>
      </c>
      <c r="N59" s="13">
        <f ca="1">Tabela4[[#This Row],[Prazo
Entrega]]-TODAY()</f>
        <v>158</v>
      </c>
      <c r="O59" t="str">
        <f t="shared" ca="1" si="7"/>
        <v>NO PRAZO</v>
      </c>
      <c r="P59" s="10" t="s">
        <v>43</v>
      </c>
      <c r="Q59" s="11">
        <v>46203</v>
      </c>
      <c r="R59" s="1" t="s">
        <v>100</v>
      </c>
      <c r="S59" t="s">
        <v>120</v>
      </c>
    </row>
    <row r="60" spans="1:19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155</v>
      </c>
      <c r="F60" s="14">
        <v>1</v>
      </c>
      <c r="G60" s="14" t="s">
        <v>77</v>
      </c>
      <c r="H60" s="14" t="s">
        <v>77</v>
      </c>
      <c r="I60" s="6" t="s">
        <v>160</v>
      </c>
      <c r="J60" s="7">
        <v>46295</v>
      </c>
      <c r="L60" s="7">
        <v>46356</v>
      </c>
      <c r="N60" s="13">
        <f ca="1">Tabela4[[#This Row],[Prazo
Entrega]]-TODAY()</f>
        <v>158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100</v>
      </c>
      <c r="S60" t="s">
        <v>120</v>
      </c>
    </row>
    <row r="61" spans="1:19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155</v>
      </c>
      <c r="F61" s="14">
        <v>1</v>
      </c>
      <c r="G61" s="14" t="s">
        <v>77</v>
      </c>
      <c r="H61" s="14" t="s">
        <v>77</v>
      </c>
      <c r="I61" s="6" t="s">
        <v>160</v>
      </c>
      <c r="J61" s="7">
        <v>46295</v>
      </c>
      <c r="L61" s="7">
        <v>46356</v>
      </c>
      <c r="N61" s="13">
        <f ca="1">Tabela4[[#This Row],[Prazo
Entrega]]-TODAY()</f>
        <v>158</v>
      </c>
      <c r="O61" t="str">
        <f t="shared" ca="1" si="8"/>
        <v>NO PRAZO</v>
      </c>
      <c r="P61" s="10" t="s">
        <v>43</v>
      </c>
      <c r="Q61" s="11">
        <v>46203</v>
      </c>
      <c r="R61" s="1" t="s">
        <v>100</v>
      </c>
      <c r="S61" t="s">
        <v>120</v>
      </c>
    </row>
    <row r="62" spans="1:19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155</v>
      </c>
      <c r="F62" s="14">
        <v>1</v>
      </c>
      <c r="G62" s="14" t="s">
        <v>77</v>
      </c>
      <c r="H62" s="14" t="s">
        <v>77</v>
      </c>
      <c r="I62" s="6" t="s">
        <v>161</v>
      </c>
      <c r="J62" s="7">
        <v>46295</v>
      </c>
      <c r="L62" s="7">
        <v>46356</v>
      </c>
      <c r="N62" s="13">
        <f ca="1">Tabela4[[#This Row],[Prazo
Entrega]]-TODAY()</f>
        <v>158</v>
      </c>
      <c r="O62" t="str">
        <f t="shared" ca="1" si="8"/>
        <v>NO PRAZO</v>
      </c>
      <c r="P62" s="10" t="s">
        <v>43</v>
      </c>
      <c r="Q62" s="11">
        <v>46203</v>
      </c>
      <c r="R62" s="1" t="s">
        <v>100</v>
      </c>
      <c r="S62" t="s">
        <v>120</v>
      </c>
    </row>
    <row r="63" spans="1:19" x14ac:dyDescent="0.25">
      <c r="A63" s="15">
        <v>2333</v>
      </c>
      <c r="B63" s="15">
        <v>63</v>
      </c>
      <c r="C63" s="15" t="s">
        <v>77</v>
      </c>
      <c r="D63" s="15" t="s">
        <v>77</v>
      </c>
      <c r="E63" s="20" t="s">
        <v>155</v>
      </c>
      <c r="F63" s="14">
        <v>1</v>
      </c>
      <c r="G63" s="14" t="s">
        <v>77</v>
      </c>
      <c r="H63" s="14" t="s">
        <v>77</v>
      </c>
      <c r="I63" s="6" t="s">
        <v>162</v>
      </c>
      <c r="J63" s="16" t="s">
        <v>77</v>
      </c>
      <c r="K63" s="16" t="s">
        <v>77</v>
      </c>
      <c r="L63" s="7">
        <v>46356</v>
      </c>
      <c r="N63" s="13">
        <f ca="1">Tabela4[[#This Row],[Prazo
Entrega]]-TODAY()</f>
        <v>158</v>
      </c>
      <c r="O63" t="str">
        <f ca="1">IF(N63&lt;0,"ATRASADO",IF(N63&lt;=15,"ATENÇÃO","NO PRAZO"))</f>
        <v>NO PRAZO</v>
      </c>
      <c r="P63" s="16" t="s">
        <v>77</v>
      </c>
      <c r="Q63" s="11">
        <v>46233</v>
      </c>
      <c r="R63" s="1" t="s">
        <v>100</v>
      </c>
      <c r="S63" t="s">
        <v>120</v>
      </c>
    </row>
    <row r="64" spans="1:19" x14ac:dyDescent="0.25">
      <c r="A64" s="15">
        <v>2333</v>
      </c>
      <c r="B64" s="15">
        <v>64</v>
      </c>
      <c r="C64" s="15" t="s">
        <v>77</v>
      </c>
      <c r="D64" s="15" t="s">
        <v>77</v>
      </c>
      <c r="E64" s="20" t="s">
        <v>155</v>
      </c>
      <c r="F64" s="14">
        <v>1</v>
      </c>
      <c r="G64" s="14" t="s">
        <v>77</v>
      </c>
      <c r="H64" s="14" t="s">
        <v>77</v>
      </c>
      <c r="I64" s="6" t="s">
        <v>162</v>
      </c>
      <c r="J64" s="16" t="s">
        <v>77</v>
      </c>
      <c r="K64" s="16" t="s">
        <v>77</v>
      </c>
      <c r="L64" s="7">
        <v>46356</v>
      </c>
      <c r="N64" s="13">
        <f ca="1">Tabela4[[#This Row],[Prazo
Entrega]]-TODAY()</f>
        <v>158</v>
      </c>
      <c r="O64" t="str">
        <f t="shared" ref="O64:O76" ca="1" si="9">IF(N64&lt;0,"ATRASADO",IF(N64&lt;=15,"ATENÇÃO","NO PRAZO"))</f>
        <v>NO PRAZO</v>
      </c>
      <c r="P64" s="16" t="s">
        <v>77</v>
      </c>
      <c r="Q64" s="11">
        <v>46233</v>
      </c>
      <c r="R64" s="1" t="s">
        <v>100</v>
      </c>
      <c r="S64" t="s">
        <v>120</v>
      </c>
    </row>
    <row r="65" spans="1:19" x14ac:dyDescent="0.25">
      <c r="A65" s="15">
        <v>2333</v>
      </c>
      <c r="B65" s="15">
        <v>65</v>
      </c>
      <c r="C65" s="15" t="s">
        <v>77</v>
      </c>
      <c r="D65" s="15" t="s">
        <v>77</v>
      </c>
      <c r="E65" s="20" t="s">
        <v>155</v>
      </c>
      <c r="F65" s="14">
        <v>1</v>
      </c>
      <c r="G65" s="14" t="s">
        <v>77</v>
      </c>
      <c r="H65" s="14" t="s">
        <v>77</v>
      </c>
      <c r="I65" s="6" t="s">
        <v>162</v>
      </c>
      <c r="J65" s="16" t="s">
        <v>77</v>
      </c>
      <c r="K65" s="16" t="s">
        <v>77</v>
      </c>
      <c r="L65" s="7">
        <v>46356</v>
      </c>
      <c r="N65" s="13">
        <f ca="1">Tabela4[[#This Row],[Prazo
Entrega]]-TODAY()</f>
        <v>158</v>
      </c>
      <c r="O65" t="str">
        <f t="shared" ca="1" si="9"/>
        <v>NO PRAZO</v>
      </c>
      <c r="P65" s="16" t="s">
        <v>77</v>
      </c>
      <c r="Q65" s="11">
        <v>46233</v>
      </c>
      <c r="R65" s="1" t="s">
        <v>100</v>
      </c>
      <c r="S65" t="s">
        <v>120</v>
      </c>
    </row>
    <row r="66" spans="1:19" x14ac:dyDescent="0.25">
      <c r="A66" s="15">
        <v>2333</v>
      </c>
      <c r="B66" s="15">
        <v>66</v>
      </c>
      <c r="C66" s="15" t="s">
        <v>77</v>
      </c>
      <c r="D66" s="15" t="s">
        <v>77</v>
      </c>
      <c r="E66" s="20" t="s">
        <v>155</v>
      </c>
      <c r="F66" s="14">
        <v>1</v>
      </c>
      <c r="G66" s="14" t="s">
        <v>77</v>
      </c>
      <c r="H66" s="14" t="s">
        <v>77</v>
      </c>
      <c r="I66" s="6" t="s">
        <v>162</v>
      </c>
      <c r="J66" s="16" t="s">
        <v>77</v>
      </c>
      <c r="K66" s="16" t="s">
        <v>77</v>
      </c>
      <c r="L66" s="7">
        <v>46356</v>
      </c>
      <c r="N66" s="13">
        <f ca="1">Tabela4[[#This Row],[Prazo
Entrega]]-TODAY()</f>
        <v>158</v>
      </c>
      <c r="O66" t="str">
        <f t="shared" ca="1" si="9"/>
        <v>NO PRAZO</v>
      </c>
      <c r="P66" s="16" t="s">
        <v>77</v>
      </c>
      <c r="Q66" s="11">
        <v>46233</v>
      </c>
      <c r="R66" s="1" t="s">
        <v>100</v>
      </c>
      <c r="S66" t="s">
        <v>120</v>
      </c>
    </row>
    <row r="67" spans="1:19" x14ac:dyDescent="0.25">
      <c r="A67" s="15">
        <v>2333</v>
      </c>
      <c r="B67" s="15">
        <v>67</v>
      </c>
      <c r="C67" s="15" t="s">
        <v>77</v>
      </c>
      <c r="D67" s="15" t="s">
        <v>77</v>
      </c>
      <c r="E67" s="20" t="s">
        <v>155</v>
      </c>
      <c r="F67" s="14">
        <v>1</v>
      </c>
      <c r="G67" s="14" t="s">
        <v>77</v>
      </c>
      <c r="H67" s="14" t="s">
        <v>77</v>
      </c>
      <c r="I67" s="6" t="s">
        <v>162</v>
      </c>
      <c r="J67" s="16" t="s">
        <v>77</v>
      </c>
      <c r="K67" s="16" t="s">
        <v>77</v>
      </c>
      <c r="L67" s="7">
        <v>46356</v>
      </c>
      <c r="N67" s="13">
        <f ca="1">Tabela4[[#This Row],[Prazo
Entrega]]-TODAY()</f>
        <v>158</v>
      </c>
      <c r="O67" t="str">
        <f t="shared" ca="1" si="9"/>
        <v>NO PRAZO</v>
      </c>
      <c r="P67" s="16" t="s">
        <v>77</v>
      </c>
      <c r="Q67" s="11">
        <v>46233</v>
      </c>
      <c r="R67" s="1" t="s">
        <v>100</v>
      </c>
      <c r="S67" t="s">
        <v>120</v>
      </c>
    </row>
    <row r="68" spans="1:19" x14ac:dyDescent="0.25">
      <c r="A68" s="15">
        <v>2333</v>
      </c>
      <c r="B68" s="15">
        <v>68</v>
      </c>
      <c r="C68" s="15" t="s">
        <v>77</v>
      </c>
      <c r="D68" s="15" t="s">
        <v>77</v>
      </c>
      <c r="E68" s="20" t="s">
        <v>155</v>
      </c>
      <c r="F68" s="14">
        <v>1</v>
      </c>
      <c r="G68" s="14" t="s">
        <v>77</v>
      </c>
      <c r="H68" s="14" t="s">
        <v>77</v>
      </c>
      <c r="I68" s="6" t="s">
        <v>163</v>
      </c>
      <c r="J68" s="16" t="s">
        <v>77</v>
      </c>
      <c r="K68" s="16" t="s">
        <v>77</v>
      </c>
      <c r="L68" s="7">
        <v>46356</v>
      </c>
      <c r="N68" s="13">
        <f ca="1">Tabela4[[#This Row],[Prazo
Entrega]]-TODAY()</f>
        <v>158</v>
      </c>
      <c r="O68" t="str">
        <f t="shared" ca="1" si="9"/>
        <v>NO PRAZO</v>
      </c>
      <c r="P68" s="16" t="s">
        <v>77</v>
      </c>
      <c r="Q68" s="11">
        <v>46233</v>
      </c>
      <c r="R68" s="1" t="s">
        <v>100</v>
      </c>
      <c r="S68" t="s">
        <v>120</v>
      </c>
    </row>
    <row r="69" spans="1:19" x14ac:dyDescent="0.25">
      <c r="A69" s="15">
        <v>2333</v>
      </c>
      <c r="B69" s="15">
        <v>69</v>
      </c>
      <c r="C69" s="15" t="s">
        <v>77</v>
      </c>
      <c r="D69" s="15" t="s">
        <v>77</v>
      </c>
      <c r="E69" s="20" t="s">
        <v>155</v>
      </c>
      <c r="F69" s="14">
        <v>1</v>
      </c>
      <c r="G69" s="14" t="s">
        <v>77</v>
      </c>
      <c r="H69" s="14" t="s">
        <v>77</v>
      </c>
      <c r="I69" s="6" t="s">
        <v>163</v>
      </c>
      <c r="J69" s="16" t="s">
        <v>77</v>
      </c>
      <c r="K69" s="16" t="s">
        <v>77</v>
      </c>
      <c r="L69" s="7">
        <v>46356</v>
      </c>
      <c r="N69" s="13">
        <f ca="1">Tabela4[[#This Row],[Prazo
Entrega]]-TODAY()</f>
        <v>158</v>
      </c>
      <c r="O69" t="str">
        <f t="shared" ca="1" si="9"/>
        <v>NO PRAZO</v>
      </c>
      <c r="P69" s="16" t="s">
        <v>77</v>
      </c>
      <c r="Q69" s="11">
        <v>46233</v>
      </c>
      <c r="R69" s="1" t="s">
        <v>100</v>
      </c>
      <c r="S69" t="s">
        <v>120</v>
      </c>
    </row>
    <row r="70" spans="1:19" x14ac:dyDescent="0.25">
      <c r="A70" s="15">
        <v>2333</v>
      </c>
      <c r="B70" s="15">
        <v>70</v>
      </c>
      <c r="C70" s="15" t="s">
        <v>77</v>
      </c>
      <c r="D70" s="15" t="s">
        <v>77</v>
      </c>
      <c r="E70" s="20" t="s">
        <v>155</v>
      </c>
      <c r="F70" s="14">
        <v>1</v>
      </c>
      <c r="G70" s="14" t="s">
        <v>77</v>
      </c>
      <c r="H70" s="14" t="s">
        <v>77</v>
      </c>
      <c r="I70" s="6" t="s">
        <v>163</v>
      </c>
      <c r="J70" s="16" t="s">
        <v>77</v>
      </c>
      <c r="K70" s="16" t="s">
        <v>77</v>
      </c>
      <c r="L70" s="7">
        <v>46356</v>
      </c>
      <c r="N70" s="13">
        <f ca="1">Tabela4[[#This Row],[Prazo
Entrega]]-TODAY()</f>
        <v>158</v>
      </c>
      <c r="O70" t="str">
        <f t="shared" ca="1" si="9"/>
        <v>NO PRAZO</v>
      </c>
      <c r="P70" s="16" t="s">
        <v>77</v>
      </c>
      <c r="Q70" s="11">
        <v>46233</v>
      </c>
      <c r="R70" s="1" t="s">
        <v>100</v>
      </c>
      <c r="S70" t="s">
        <v>120</v>
      </c>
    </row>
    <row r="71" spans="1:19" x14ac:dyDescent="0.25">
      <c r="A71" s="15">
        <v>2333</v>
      </c>
      <c r="B71" s="15">
        <v>71</v>
      </c>
      <c r="C71" s="15" t="s">
        <v>77</v>
      </c>
      <c r="D71" s="15" t="s">
        <v>77</v>
      </c>
      <c r="E71" s="20" t="s">
        <v>155</v>
      </c>
      <c r="F71" s="14">
        <v>1</v>
      </c>
      <c r="G71" s="14" t="s">
        <v>77</v>
      </c>
      <c r="H71" s="14" t="s">
        <v>77</v>
      </c>
      <c r="I71" s="6" t="s">
        <v>163</v>
      </c>
      <c r="J71" s="16" t="s">
        <v>77</v>
      </c>
      <c r="K71" s="16" t="s">
        <v>77</v>
      </c>
      <c r="L71" s="7">
        <v>46356</v>
      </c>
      <c r="N71" s="13">
        <f ca="1">Tabela4[[#This Row],[Prazo
Entrega]]-TODAY()</f>
        <v>158</v>
      </c>
      <c r="O71" t="str">
        <f t="shared" ca="1" si="9"/>
        <v>NO PRAZO</v>
      </c>
      <c r="P71" s="16" t="s">
        <v>77</v>
      </c>
      <c r="Q71" s="11">
        <v>46233</v>
      </c>
      <c r="R71" s="1" t="s">
        <v>100</v>
      </c>
      <c r="S71" t="s">
        <v>120</v>
      </c>
    </row>
    <row r="72" spans="1:19" x14ac:dyDescent="0.25">
      <c r="A72" s="15">
        <v>2333</v>
      </c>
      <c r="B72" s="15">
        <v>72</v>
      </c>
      <c r="C72" s="15" t="s">
        <v>77</v>
      </c>
      <c r="D72" s="15" t="s">
        <v>77</v>
      </c>
      <c r="E72" s="20" t="s">
        <v>155</v>
      </c>
      <c r="F72" s="14">
        <v>1</v>
      </c>
      <c r="G72" s="14" t="s">
        <v>77</v>
      </c>
      <c r="H72" s="14" t="s">
        <v>77</v>
      </c>
      <c r="I72" s="6" t="s">
        <v>163</v>
      </c>
      <c r="J72" s="16" t="s">
        <v>77</v>
      </c>
      <c r="K72" s="16" t="s">
        <v>77</v>
      </c>
      <c r="L72" s="7">
        <v>46356</v>
      </c>
      <c r="N72" s="13">
        <f ca="1">Tabela4[[#This Row],[Prazo
Entrega]]-TODAY()</f>
        <v>158</v>
      </c>
      <c r="O72" t="str">
        <f t="shared" ca="1" si="9"/>
        <v>NO PRAZO</v>
      </c>
      <c r="P72" s="16" t="s">
        <v>77</v>
      </c>
      <c r="Q72" s="11">
        <v>46233</v>
      </c>
      <c r="R72" s="1" t="s">
        <v>100</v>
      </c>
      <c r="S72" t="s">
        <v>120</v>
      </c>
    </row>
    <row r="73" spans="1:19" x14ac:dyDescent="0.25">
      <c r="A73" s="15">
        <v>2333</v>
      </c>
      <c r="B73" s="15">
        <v>73</v>
      </c>
      <c r="C73" s="15" t="s">
        <v>77</v>
      </c>
      <c r="D73" s="15" t="s">
        <v>77</v>
      </c>
      <c r="E73" s="20" t="s">
        <v>155</v>
      </c>
      <c r="F73" s="14">
        <v>1</v>
      </c>
      <c r="G73" s="14" t="s">
        <v>77</v>
      </c>
      <c r="H73" s="14" t="s">
        <v>77</v>
      </c>
      <c r="I73" s="6" t="s">
        <v>163</v>
      </c>
      <c r="J73" s="16" t="s">
        <v>77</v>
      </c>
      <c r="K73" s="16" t="s">
        <v>77</v>
      </c>
      <c r="L73" s="7">
        <v>46356</v>
      </c>
      <c r="N73" s="13">
        <f ca="1">Tabela4[[#This Row],[Prazo
Entrega]]-TODAY()</f>
        <v>158</v>
      </c>
      <c r="O73" t="str">
        <f t="shared" ca="1" si="9"/>
        <v>NO PRAZO</v>
      </c>
      <c r="P73" s="16" t="s">
        <v>77</v>
      </c>
      <c r="Q73" s="11">
        <v>46233</v>
      </c>
      <c r="R73" s="1" t="s">
        <v>100</v>
      </c>
      <c r="S73" t="s">
        <v>120</v>
      </c>
    </row>
    <row r="74" spans="1:19" x14ac:dyDescent="0.25">
      <c r="A74" s="15">
        <v>2333</v>
      </c>
      <c r="B74" s="15">
        <v>74</v>
      </c>
      <c r="C74" s="15" t="s">
        <v>77</v>
      </c>
      <c r="D74" s="15" t="s">
        <v>77</v>
      </c>
      <c r="E74" s="20" t="s">
        <v>155</v>
      </c>
      <c r="F74" s="14">
        <v>1</v>
      </c>
      <c r="G74" s="14" t="s">
        <v>77</v>
      </c>
      <c r="H74" s="14" t="s">
        <v>77</v>
      </c>
      <c r="I74" s="6" t="s">
        <v>163</v>
      </c>
      <c r="J74" s="16" t="s">
        <v>77</v>
      </c>
      <c r="K74" s="16" t="s">
        <v>77</v>
      </c>
      <c r="L74" s="7">
        <v>46356</v>
      </c>
      <c r="N74" s="13">
        <f ca="1">Tabela4[[#This Row],[Prazo
Entrega]]-TODAY()</f>
        <v>158</v>
      </c>
      <c r="O74" t="str">
        <f t="shared" ca="1" si="9"/>
        <v>NO PRAZO</v>
      </c>
      <c r="P74" s="16" t="s">
        <v>77</v>
      </c>
      <c r="Q74" s="11">
        <v>46233</v>
      </c>
      <c r="R74" s="1" t="s">
        <v>100</v>
      </c>
      <c r="S74" t="s">
        <v>120</v>
      </c>
    </row>
    <row r="75" spans="1:19" x14ac:dyDescent="0.25">
      <c r="A75" s="15">
        <v>2333</v>
      </c>
      <c r="B75" s="15">
        <v>75</v>
      </c>
      <c r="C75" s="15" t="s">
        <v>77</v>
      </c>
      <c r="D75" s="15" t="s">
        <v>77</v>
      </c>
      <c r="E75" s="20" t="s">
        <v>155</v>
      </c>
      <c r="F75" s="14">
        <v>1</v>
      </c>
      <c r="G75" s="14" t="s">
        <v>77</v>
      </c>
      <c r="H75" s="14" t="s">
        <v>77</v>
      </c>
      <c r="I75" s="6" t="s">
        <v>163</v>
      </c>
      <c r="J75" s="16" t="s">
        <v>77</v>
      </c>
      <c r="K75" s="16" t="s">
        <v>77</v>
      </c>
      <c r="L75" s="7">
        <v>46356</v>
      </c>
      <c r="N75" s="13">
        <f ca="1">Tabela4[[#This Row],[Prazo
Entrega]]-TODAY()</f>
        <v>158</v>
      </c>
      <c r="O75" t="str">
        <f t="shared" ca="1" si="9"/>
        <v>NO PRAZO</v>
      </c>
      <c r="P75" s="16" t="s">
        <v>77</v>
      </c>
      <c r="Q75" s="11">
        <v>46233</v>
      </c>
      <c r="R75" s="1" t="s">
        <v>100</v>
      </c>
      <c r="S75" t="s">
        <v>120</v>
      </c>
    </row>
    <row r="76" spans="1:19" x14ac:dyDescent="0.25">
      <c r="A76" s="15">
        <v>2333</v>
      </c>
      <c r="B76" s="15">
        <v>76</v>
      </c>
      <c r="C76" s="15" t="s">
        <v>77</v>
      </c>
      <c r="D76" s="15" t="s">
        <v>77</v>
      </c>
      <c r="E76" s="20" t="s">
        <v>155</v>
      </c>
      <c r="F76" s="14">
        <v>1</v>
      </c>
      <c r="G76" s="14" t="s">
        <v>77</v>
      </c>
      <c r="H76" s="14" t="s">
        <v>77</v>
      </c>
      <c r="I76" s="6" t="s">
        <v>163</v>
      </c>
      <c r="J76" s="16" t="s">
        <v>77</v>
      </c>
      <c r="K76" s="16" t="s">
        <v>77</v>
      </c>
      <c r="L76" s="7">
        <v>46356</v>
      </c>
      <c r="N76" s="13">
        <f ca="1">Tabela4[[#This Row],[Prazo
Entrega]]-TODAY()</f>
        <v>158</v>
      </c>
      <c r="O76" t="str">
        <f t="shared" ca="1" si="9"/>
        <v>NO PRAZO</v>
      </c>
      <c r="P76" s="16" t="s">
        <v>77</v>
      </c>
      <c r="Q76" s="11">
        <v>46233</v>
      </c>
      <c r="R76" s="1" t="s">
        <v>100</v>
      </c>
      <c r="S76" t="s">
        <v>120</v>
      </c>
    </row>
    <row r="77" spans="1:19" x14ac:dyDescent="0.25">
      <c r="A77" s="15">
        <v>2333</v>
      </c>
      <c r="B77" s="15">
        <v>77</v>
      </c>
      <c r="C77" s="15" t="s">
        <v>77</v>
      </c>
      <c r="D77" s="15" t="s">
        <v>77</v>
      </c>
      <c r="E77" s="20" t="s">
        <v>155</v>
      </c>
      <c r="F77" s="14">
        <v>1</v>
      </c>
      <c r="G77" s="14" t="s">
        <v>77</v>
      </c>
      <c r="H77" s="14" t="s">
        <v>77</v>
      </c>
      <c r="I77" s="6" t="s">
        <v>163</v>
      </c>
      <c r="J77" s="16" t="s">
        <v>77</v>
      </c>
      <c r="K77" s="16" t="s">
        <v>77</v>
      </c>
      <c r="L77" s="7">
        <v>46356</v>
      </c>
      <c r="N77" s="13">
        <f ca="1">Tabela4[[#This Row],[Prazo
Entrega]]-TODAY()</f>
        <v>158</v>
      </c>
      <c r="O77" t="str">
        <f ca="1">IF(N77&lt;0,"ATRASADO",IF(N77&lt;=15,"ATENÇÃO","NO PRAZO"))</f>
        <v>NO PRAZO</v>
      </c>
      <c r="P77" s="16" t="s">
        <v>77</v>
      </c>
      <c r="Q77" s="11">
        <v>46233</v>
      </c>
      <c r="R77" s="1" t="s">
        <v>100</v>
      </c>
      <c r="S77" t="s">
        <v>120</v>
      </c>
    </row>
    <row r="78" spans="1:19" x14ac:dyDescent="0.25">
      <c r="A78" s="15">
        <v>2333</v>
      </c>
      <c r="B78" s="15">
        <v>78</v>
      </c>
      <c r="C78" s="15" t="s">
        <v>77</v>
      </c>
      <c r="D78" s="15" t="s">
        <v>77</v>
      </c>
      <c r="E78" s="20" t="s">
        <v>155</v>
      </c>
      <c r="F78" s="14">
        <v>160</v>
      </c>
      <c r="G78" s="14" t="s">
        <v>77</v>
      </c>
      <c r="H78" s="14" t="s">
        <v>77</v>
      </c>
      <c r="I78" s="6" t="s">
        <v>164</v>
      </c>
      <c r="J78" s="16" t="s">
        <v>77</v>
      </c>
      <c r="K78" s="16" t="s">
        <v>77</v>
      </c>
      <c r="L78" s="7">
        <v>46356</v>
      </c>
      <c r="N78" s="13">
        <f ca="1">Tabela4[[#This Row],[Prazo
Entrega]]-TODAY()</f>
        <v>158</v>
      </c>
      <c r="O78" t="str">
        <f t="shared" ref="O78:O80" ca="1" si="10">IF(N78&lt;0,"ATRASADO",IF(N78&lt;=15,"ATENÇÃO","NO PRAZO"))</f>
        <v>NO PRAZO</v>
      </c>
      <c r="P78" s="16" t="s">
        <v>77</v>
      </c>
      <c r="Q78" s="11">
        <v>46233</v>
      </c>
      <c r="R78" s="1" t="s">
        <v>100</v>
      </c>
      <c r="S78" t="s">
        <v>120</v>
      </c>
    </row>
    <row r="79" spans="1:19" x14ac:dyDescent="0.25">
      <c r="A79" s="15">
        <v>2333</v>
      </c>
      <c r="B79" s="15">
        <v>79</v>
      </c>
      <c r="C79" s="15" t="s">
        <v>77</v>
      </c>
      <c r="D79" s="15" t="s">
        <v>77</v>
      </c>
      <c r="E79" s="20" t="s">
        <v>155</v>
      </c>
      <c r="F79" s="14">
        <v>160</v>
      </c>
      <c r="G79" s="14" t="s">
        <v>77</v>
      </c>
      <c r="H79" s="14" t="s">
        <v>77</v>
      </c>
      <c r="I79" s="6" t="s">
        <v>165</v>
      </c>
      <c r="J79" s="16" t="s">
        <v>77</v>
      </c>
      <c r="K79" s="16" t="s">
        <v>77</v>
      </c>
      <c r="L79" s="7">
        <v>46356</v>
      </c>
      <c r="N79" s="13">
        <f ca="1">Tabela4[[#This Row],[Prazo
Entrega]]-TODAY()</f>
        <v>158</v>
      </c>
      <c r="O79" t="str">
        <f t="shared" ca="1" si="10"/>
        <v>NO PRAZO</v>
      </c>
      <c r="P79" s="16" t="s">
        <v>77</v>
      </c>
      <c r="Q79" s="11">
        <v>46233</v>
      </c>
      <c r="R79" s="1" t="s">
        <v>100</v>
      </c>
      <c r="S79" t="s">
        <v>120</v>
      </c>
    </row>
    <row r="80" spans="1:19" x14ac:dyDescent="0.25">
      <c r="A80" s="15">
        <v>2333</v>
      </c>
      <c r="B80" s="15">
        <v>80</v>
      </c>
      <c r="C80" s="15" t="s">
        <v>77</v>
      </c>
      <c r="D80" s="15" t="s">
        <v>77</v>
      </c>
      <c r="E80" s="20" t="s">
        <v>155</v>
      </c>
      <c r="F80" s="14">
        <v>20</v>
      </c>
      <c r="G80" s="14" t="s">
        <v>77</v>
      </c>
      <c r="H80" s="14" t="s">
        <v>77</v>
      </c>
      <c r="I80" s="6" t="s">
        <v>166</v>
      </c>
      <c r="J80" s="16" t="s">
        <v>77</v>
      </c>
      <c r="K80" s="16" t="s">
        <v>77</v>
      </c>
      <c r="L80" s="7">
        <v>46356</v>
      </c>
      <c r="N80" s="13">
        <f ca="1">Tabela4[[#This Row],[Prazo
Entrega]]-TODAY()</f>
        <v>158</v>
      </c>
      <c r="O80" t="str">
        <f t="shared" ca="1" si="10"/>
        <v>NO PRAZO</v>
      </c>
      <c r="P80" s="16" t="s">
        <v>77</v>
      </c>
      <c r="Q80" s="11">
        <v>46233</v>
      </c>
      <c r="R80" s="1" t="s">
        <v>100</v>
      </c>
      <c r="S80" t="s">
        <v>120</v>
      </c>
    </row>
    <row r="81" spans="1:19" x14ac:dyDescent="0.25">
      <c r="A81" s="15">
        <v>2333</v>
      </c>
      <c r="B81" s="15">
        <v>81</v>
      </c>
      <c r="C81" s="15" t="s">
        <v>77</v>
      </c>
      <c r="D81" s="15" t="s">
        <v>77</v>
      </c>
      <c r="E81" s="20" t="s">
        <v>155</v>
      </c>
      <c r="F81" s="14">
        <v>1</v>
      </c>
      <c r="G81" s="14" t="s">
        <v>77</v>
      </c>
      <c r="H81" s="14" t="s">
        <v>77</v>
      </c>
      <c r="I81" s="6" t="s">
        <v>167</v>
      </c>
      <c r="J81" s="16" t="s">
        <v>77</v>
      </c>
      <c r="K81" s="16" t="s">
        <v>77</v>
      </c>
      <c r="L81" s="7">
        <v>46356</v>
      </c>
      <c r="N81" s="13">
        <f ca="1">Tabela4[[#This Row],[Prazo
Entrega]]-TODAY()</f>
        <v>158</v>
      </c>
      <c r="O81" t="str">
        <f t="shared" ref="O81:O88" ca="1" si="11">IF(N81&lt;0,"ATRASADO",IF(N81&lt;=15,"ATENÇÃO","NO PRAZO"))</f>
        <v>NO PRAZO</v>
      </c>
      <c r="P81" s="16" t="s">
        <v>77</v>
      </c>
      <c r="Q81" s="11">
        <v>46233</v>
      </c>
      <c r="R81" s="1" t="s">
        <v>100</v>
      </c>
      <c r="S81" t="s">
        <v>120</v>
      </c>
    </row>
    <row r="82" spans="1:19" x14ac:dyDescent="0.25">
      <c r="A82" s="15">
        <v>2333</v>
      </c>
      <c r="B82" s="15">
        <v>82</v>
      </c>
      <c r="C82" s="15" t="s">
        <v>77</v>
      </c>
      <c r="D82" s="15" t="s">
        <v>77</v>
      </c>
      <c r="E82" s="20" t="s">
        <v>155</v>
      </c>
      <c r="F82" s="14">
        <v>1</v>
      </c>
      <c r="G82" s="14" t="s">
        <v>77</v>
      </c>
      <c r="H82" s="14" t="s">
        <v>77</v>
      </c>
      <c r="I82" s="6" t="s">
        <v>167</v>
      </c>
      <c r="J82" s="16" t="s">
        <v>77</v>
      </c>
      <c r="K82" s="16" t="s">
        <v>77</v>
      </c>
      <c r="L82" s="7">
        <v>46356</v>
      </c>
      <c r="N82" s="13">
        <f ca="1">Tabela4[[#This Row],[Prazo
Entrega]]-TODAY()</f>
        <v>158</v>
      </c>
      <c r="O82" t="str">
        <f t="shared" ca="1" si="11"/>
        <v>NO PRAZO</v>
      </c>
      <c r="P82" s="16" t="s">
        <v>77</v>
      </c>
      <c r="Q82" s="11">
        <v>46233</v>
      </c>
      <c r="R82" s="1" t="s">
        <v>100</v>
      </c>
      <c r="S82" t="s">
        <v>120</v>
      </c>
    </row>
    <row r="83" spans="1:19" x14ac:dyDescent="0.25">
      <c r="A83" s="15">
        <v>2333</v>
      </c>
      <c r="B83" s="15">
        <v>83</v>
      </c>
      <c r="C83" s="15" t="s">
        <v>77</v>
      </c>
      <c r="D83" s="15" t="s">
        <v>77</v>
      </c>
      <c r="E83" s="20" t="s">
        <v>155</v>
      </c>
      <c r="F83" s="14">
        <v>1</v>
      </c>
      <c r="G83" s="14" t="s">
        <v>77</v>
      </c>
      <c r="H83" s="14" t="s">
        <v>77</v>
      </c>
      <c r="I83" s="6" t="s">
        <v>168</v>
      </c>
      <c r="J83" s="16" t="s">
        <v>77</v>
      </c>
      <c r="K83" s="16" t="s">
        <v>77</v>
      </c>
      <c r="L83" s="7">
        <v>46356</v>
      </c>
      <c r="N83" s="13">
        <f ca="1">Tabela4[[#This Row],[Prazo
Entrega]]-TODAY()</f>
        <v>158</v>
      </c>
      <c r="O83" t="str">
        <f t="shared" ca="1" si="11"/>
        <v>NO PRAZO</v>
      </c>
      <c r="P83" s="16" t="s">
        <v>77</v>
      </c>
      <c r="Q83" s="11">
        <v>46233</v>
      </c>
      <c r="R83" s="1" t="s">
        <v>100</v>
      </c>
      <c r="S83" t="s">
        <v>120</v>
      </c>
    </row>
    <row r="84" spans="1:19" x14ac:dyDescent="0.25">
      <c r="A84" s="15">
        <v>2333</v>
      </c>
      <c r="B84" s="15">
        <v>84</v>
      </c>
      <c r="C84" s="15" t="s">
        <v>77</v>
      </c>
      <c r="D84" s="15" t="s">
        <v>77</v>
      </c>
      <c r="E84" s="20" t="s">
        <v>155</v>
      </c>
      <c r="F84" s="14">
        <v>1</v>
      </c>
      <c r="G84" s="14" t="s">
        <v>77</v>
      </c>
      <c r="H84" s="14" t="s">
        <v>77</v>
      </c>
      <c r="I84" s="6" t="s">
        <v>168</v>
      </c>
      <c r="J84" s="16" t="s">
        <v>77</v>
      </c>
      <c r="K84" s="16" t="s">
        <v>77</v>
      </c>
      <c r="L84" s="7">
        <v>46356</v>
      </c>
      <c r="N84" s="13">
        <f ca="1">Tabela4[[#This Row],[Prazo
Entrega]]-TODAY()</f>
        <v>158</v>
      </c>
      <c r="O84" t="str">
        <f t="shared" ca="1" si="11"/>
        <v>NO PRAZO</v>
      </c>
      <c r="P84" s="16" t="s">
        <v>77</v>
      </c>
      <c r="Q84" s="11">
        <v>46233</v>
      </c>
      <c r="R84" s="1" t="s">
        <v>100</v>
      </c>
      <c r="S84" t="s">
        <v>120</v>
      </c>
    </row>
    <row r="85" spans="1:19" x14ac:dyDescent="0.25">
      <c r="A85" s="15">
        <v>2333</v>
      </c>
      <c r="B85" s="15">
        <v>85</v>
      </c>
      <c r="C85" s="15" t="s">
        <v>77</v>
      </c>
      <c r="D85" s="15" t="s">
        <v>77</v>
      </c>
      <c r="E85" s="20" t="s">
        <v>155</v>
      </c>
      <c r="F85" s="14">
        <v>1</v>
      </c>
      <c r="G85" s="14" t="s">
        <v>77</v>
      </c>
      <c r="H85" s="14" t="s">
        <v>77</v>
      </c>
      <c r="I85" s="6" t="s">
        <v>169</v>
      </c>
      <c r="J85" s="16" t="s">
        <v>77</v>
      </c>
      <c r="K85" s="16" t="s">
        <v>77</v>
      </c>
      <c r="L85" s="7">
        <v>46356</v>
      </c>
      <c r="N85" s="13">
        <f ca="1">Tabela4[[#This Row],[Prazo
Entrega]]-TODAY()</f>
        <v>158</v>
      </c>
      <c r="O85" t="str">
        <f t="shared" ca="1" si="11"/>
        <v>NO PRAZO</v>
      </c>
      <c r="P85" s="16" t="s">
        <v>77</v>
      </c>
      <c r="Q85" s="11">
        <v>46233</v>
      </c>
      <c r="R85" s="1" t="s">
        <v>100</v>
      </c>
      <c r="S85" t="s">
        <v>120</v>
      </c>
    </row>
    <row r="86" spans="1:19" x14ac:dyDescent="0.25">
      <c r="A86" s="15">
        <v>2333</v>
      </c>
      <c r="B86" s="15">
        <v>86</v>
      </c>
      <c r="C86" s="15" t="s">
        <v>77</v>
      </c>
      <c r="D86" s="15" t="s">
        <v>77</v>
      </c>
      <c r="E86" s="20" t="s">
        <v>155</v>
      </c>
      <c r="F86" s="14">
        <v>1</v>
      </c>
      <c r="G86" s="14" t="s">
        <v>77</v>
      </c>
      <c r="H86" s="14" t="s">
        <v>77</v>
      </c>
      <c r="I86" s="6" t="s">
        <v>169</v>
      </c>
      <c r="J86" s="16" t="s">
        <v>77</v>
      </c>
      <c r="K86" s="16" t="s">
        <v>77</v>
      </c>
      <c r="L86" s="7">
        <v>46356</v>
      </c>
      <c r="N86" s="13">
        <f ca="1">Tabela4[[#This Row],[Prazo
Entrega]]-TODAY()</f>
        <v>158</v>
      </c>
      <c r="O86" t="str">
        <f t="shared" ca="1" si="11"/>
        <v>NO PRAZO</v>
      </c>
      <c r="P86" s="16" t="s">
        <v>77</v>
      </c>
      <c r="Q86" s="11">
        <v>46233</v>
      </c>
      <c r="R86" s="1" t="s">
        <v>100</v>
      </c>
      <c r="S86" t="s">
        <v>120</v>
      </c>
    </row>
    <row r="87" spans="1:19" x14ac:dyDescent="0.25">
      <c r="A87" s="15">
        <v>2333</v>
      </c>
      <c r="B87" s="15">
        <v>87</v>
      </c>
      <c r="C87" s="15" t="s">
        <v>77</v>
      </c>
      <c r="D87" s="15" t="s">
        <v>77</v>
      </c>
      <c r="E87" s="20" t="s">
        <v>155</v>
      </c>
      <c r="F87" s="14">
        <v>1</v>
      </c>
      <c r="G87" s="14" t="s">
        <v>77</v>
      </c>
      <c r="H87" s="14" t="s">
        <v>77</v>
      </c>
      <c r="I87" s="6" t="s">
        <v>169</v>
      </c>
      <c r="J87" s="16" t="s">
        <v>77</v>
      </c>
      <c r="K87" s="16" t="s">
        <v>77</v>
      </c>
      <c r="L87" s="7">
        <v>46356</v>
      </c>
      <c r="N87" s="13">
        <f ca="1">Tabela4[[#This Row],[Prazo
Entrega]]-TODAY()</f>
        <v>158</v>
      </c>
      <c r="O87" t="str">
        <f t="shared" ca="1" si="11"/>
        <v>NO PRAZO</v>
      </c>
      <c r="P87" s="16" t="s">
        <v>77</v>
      </c>
      <c r="Q87" s="11">
        <v>46233</v>
      </c>
      <c r="R87" s="1" t="s">
        <v>100</v>
      </c>
      <c r="S87" t="s">
        <v>120</v>
      </c>
    </row>
    <row r="88" spans="1:19" x14ac:dyDescent="0.25">
      <c r="A88" s="15">
        <v>2333</v>
      </c>
      <c r="B88" s="15">
        <v>88</v>
      </c>
      <c r="C88" s="15" t="s">
        <v>77</v>
      </c>
      <c r="D88" s="15" t="s">
        <v>77</v>
      </c>
      <c r="E88" s="20" t="s">
        <v>155</v>
      </c>
      <c r="F88" s="14">
        <v>1</v>
      </c>
      <c r="G88" s="14" t="s">
        <v>77</v>
      </c>
      <c r="H88" s="14" t="s">
        <v>77</v>
      </c>
      <c r="I88" s="6" t="s">
        <v>169</v>
      </c>
      <c r="J88" s="16" t="s">
        <v>77</v>
      </c>
      <c r="K88" s="16" t="s">
        <v>77</v>
      </c>
      <c r="L88" s="7">
        <v>46356</v>
      </c>
      <c r="N88" s="13">
        <f ca="1">Tabela4[[#This Row],[Prazo
Entrega]]-TODAY()</f>
        <v>158</v>
      </c>
      <c r="O88" t="str">
        <f t="shared" ca="1" si="11"/>
        <v>NO PRAZO</v>
      </c>
      <c r="P88" s="16" t="s">
        <v>77</v>
      </c>
      <c r="Q88" s="11">
        <v>46233</v>
      </c>
      <c r="R88" s="1" t="s">
        <v>100</v>
      </c>
      <c r="S88" t="s">
        <v>120</v>
      </c>
    </row>
    <row r="89" spans="1:19" x14ac:dyDescent="0.25">
      <c r="A89" s="15">
        <v>1945</v>
      </c>
      <c r="B89" s="15">
        <v>1</v>
      </c>
      <c r="C89" s="15" t="s">
        <v>77</v>
      </c>
      <c r="D89" s="15" t="s">
        <v>77</v>
      </c>
      <c r="E89" s="20" t="s">
        <v>181</v>
      </c>
      <c r="F89" s="14">
        <v>1</v>
      </c>
      <c r="G89" s="14" t="s">
        <v>77</v>
      </c>
      <c r="H89" s="14" t="s">
        <v>77</v>
      </c>
      <c r="I89" s="6" t="s">
        <v>182</v>
      </c>
      <c r="J89" s="16" t="s">
        <v>77</v>
      </c>
      <c r="K89" s="16" t="s">
        <v>77</v>
      </c>
      <c r="L89" s="7">
        <v>46203</v>
      </c>
      <c r="M89" s="46">
        <v>46172</v>
      </c>
      <c r="N89" s="13">
        <f ca="1">Tabela4[[#This Row],[Prazo
Entrega]]-TODAY()</f>
        <v>5</v>
      </c>
      <c r="O89" t="s">
        <v>154</v>
      </c>
      <c r="P89" s="16" t="s">
        <v>77</v>
      </c>
      <c r="Q89" s="11" t="s">
        <v>69</v>
      </c>
      <c r="R89" s="1" t="s">
        <v>69</v>
      </c>
      <c r="S89" t="s">
        <v>101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"/>
  <sheetViews>
    <sheetView workbookViewId="0">
      <selection activeCell="K19" sqref="K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X18"/>
  <sheetViews>
    <sheetView zoomScale="90" zoomScaleNormal="90" workbookViewId="0">
      <selection activeCell="M34" sqref="M34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5.7109375" style="53" bestFit="1" customWidth="1"/>
    <col min="6" max="6" width="9.85546875" style="53" bestFit="1" customWidth="1"/>
    <col min="7" max="7" width="8.42578125" style="53" bestFit="1" customWidth="1"/>
    <col min="8" max="8" width="7.42578125" style="53" customWidth="1"/>
    <col min="9" max="9" width="9.140625" style="53"/>
    <col min="10" max="10" width="10.140625" style="53" bestFit="1" customWidth="1"/>
    <col min="11" max="11" width="10.28515625" style="53" customWidth="1"/>
    <col min="12" max="12" width="10.140625" style="53" bestFit="1" customWidth="1"/>
    <col min="13" max="15" width="9.140625" style="53"/>
    <col min="16" max="16" width="56.85546875" style="53" bestFit="1" customWidth="1"/>
    <col min="17" max="18" width="18.5703125" style="53" customWidth="1"/>
    <col min="19" max="19" width="9.7109375" style="53" bestFit="1" customWidth="1"/>
    <col min="20" max="20" width="22.5703125" style="53" bestFit="1" customWidth="1"/>
    <col min="21" max="21" width="13" style="53" bestFit="1" customWidth="1"/>
    <col min="22" max="22" width="13" style="53" customWidth="1"/>
    <col min="23" max="23" width="19.28515625" style="53" customWidth="1"/>
    <col min="24" max="24" width="25.42578125" style="53" customWidth="1"/>
    <col min="25" max="16384" width="9.140625" style="53"/>
  </cols>
  <sheetData>
    <row r="1" spans="1:24" ht="40.5" x14ac:dyDescent="0.25">
      <c r="A1" s="51" t="s">
        <v>7</v>
      </c>
      <c r="B1" s="51" t="s">
        <v>1</v>
      </c>
      <c r="C1" s="51" t="s">
        <v>3</v>
      </c>
      <c r="D1" s="52" t="s">
        <v>268</v>
      </c>
      <c r="E1" s="51" t="s">
        <v>6</v>
      </c>
      <c r="F1" s="51" t="s">
        <v>2</v>
      </c>
      <c r="G1" s="51" t="s">
        <v>269</v>
      </c>
      <c r="H1" s="51" t="s">
        <v>244</v>
      </c>
      <c r="I1" s="51" t="s">
        <v>226</v>
      </c>
      <c r="J1" s="52" t="s">
        <v>259</v>
      </c>
      <c r="K1" s="52" t="s">
        <v>260</v>
      </c>
      <c r="L1" s="52" t="s">
        <v>258</v>
      </c>
      <c r="M1" s="52" t="s">
        <v>21</v>
      </c>
      <c r="N1" s="52" t="s">
        <v>109</v>
      </c>
      <c r="O1" s="52" t="s">
        <v>84</v>
      </c>
      <c r="P1" s="52" t="s">
        <v>229</v>
      </c>
      <c r="Q1" s="52" t="s">
        <v>228</v>
      </c>
      <c r="R1" s="52" t="s">
        <v>251</v>
      </c>
      <c r="S1" s="52" t="s">
        <v>262</v>
      </c>
      <c r="T1" s="52" t="s">
        <v>230</v>
      </c>
      <c r="U1" s="52" t="s">
        <v>232</v>
      </c>
      <c r="V1" s="52" t="s">
        <v>257</v>
      </c>
      <c r="W1" s="52" t="s">
        <v>233</v>
      </c>
      <c r="X1" s="52" t="s">
        <v>73</v>
      </c>
    </row>
    <row r="2" spans="1:24" x14ac:dyDescent="0.25">
      <c r="A2" s="54">
        <v>1015</v>
      </c>
      <c r="B2" s="54">
        <v>1</v>
      </c>
      <c r="C2" s="54" t="s">
        <v>235</v>
      </c>
      <c r="D2" s="54">
        <v>6635</v>
      </c>
      <c r="E2" s="54" t="s">
        <v>265</v>
      </c>
      <c r="F2" s="54">
        <v>1</v>
      </c>
      <c r="G2" s="54">
        <v>2300</v>
      </c>
      <c r="H2" s="54" t="s">
        <v>77</v>
      </c>
      <c r="I2" s="54" t="s">
        <v>227</v>
      </c>
      <c r="J2" s="56">
        <v>46233</v>
      </c>
      <c r="K2" s="54"/>
      <c r="L2" s="56"/>
      <c r="M2" s="54"/>
      <c r="N2" s="54" t="s">
        <v>69</v>
      </c>
      <c r="O2" s="54" t="s">
        <v>69</v>
      </c>
      <c r="P2" s="55" t="s">
        <v>238</v>
      </c>
      <c r="Q2" s="54" t="s">
        <v>241</v>
      </c>
      <c r="R2" s="54">
        <v>2</v>
      </c>
      <c r="S2" s="54" t="s">
        <v>69</v>
      </c>
      <c r="T2" s="54" t="s">
        <v>264</v>
      </c>
      <c r="U2" s="54" t="s">
        <v>100</v>
      </c>
      <c r="V2" s="54"/>
      <c r="W2" s="54" t="s">
        <v>263</v>
      </c>
      <c r="X2" s="54" t="s">
        <v>237</v>
      </c>
    </row>
    <row r="3" spans="1:24" x14ac:dyDescent="0.25">
      <c r="A3" s="54">
        <v>1027</v>
      </c>
      <c r="B3" s="54" t="s">
        <v>77</v>
      </c>
      <c r="C3" s="54" t="s">
        <v>115</v>
      </c>
      <c r="D3" s="54" t="s">
        <v>77</v>
      </c>
      <c r="E3" s="54" t="s">
        <v>266</v>
      </c>
      <c r="F3" s="54">
        <v>1</v>
      </c>
      <c r="G3" s="54" t="s">
        <v>239</v>
      </c>
      <c r="H3" s="54" t="s">
        <v>245</v>
      </c>
      <c r="I3" s="54" t="s">
        <v>250</v>
      </c>
      <c r="J3" s="54" t="s">
        <v>77</v>
      </c>
      <c r="K3" s="54" t="s">
        <v>77</v>
      </c>
      <c r="L3" s="56">
        <v>46410</v>
      </c>
      <c r="M3" s="54"/>
      <c r="N3" s="54" t="s">
        <v>72</v>
      </c>
      <c r="O3" s="54" t="s">
        <v>72</v>
      </c>
      <c r="P3" s="54" t="s">
        <v>261</v>
      </c>
      <c r="Q3" s="54" t="s">
        <v>236</v>
      </c>
      <c r="R3" s="54" t="s">
        <v>252</v>
      </c>
      <c r="S3" s="54" t="s">
        <v>72</v>
      </c>
      <c r="T3" s="54" t="s">
        <v>231</v>
      </c>
      <c r="U3" s="54" t="s">
        <v>100</v>
      </c>
      <c r="V3" s="56">
        <v>46410</v>
      </c>
      <c r="W3" s="54" t="s">
        <v>236</v>
      </c>
      <c r="X3" s="54"/>
    </row>
    <row r="4" spans="1:24" x14ac:dyDescent="0.25">
      <c r="A4" s="54">
        <v>1027</v>
      </c>
      <c r="B4" s="54" t="s">
        <v>77</v>
      </c>
      <c r="C4" s="54" t="s">
        <v>115</v>
      </c>
      <c r="D4" s="54" t="s">
        <v>77</v>
      </c>
      <c r="E4" s="54" t="s">
        <v>266</v>
      </c>
      <c r="F4" s="54">
        <v>1</v>
      </c>
      <c r="G4" s="54" t="s">
        <v>239</v>
      </c>
      <c r="H4" s="54" t="s">
        <v>245</v>
      </c>
      <c r="I4" s="54" t="s">
        <v>250</v>
      </c>
      <c r="J4" s="54" t="s">
        <v>77</v>
      </c>
      <c r="K4" s="54" t="s">
        <v>77</v>
      </c>
      <c r="L4" s="56">
        <v>46414</v>
      </c>
      <c r="M4" s="54"/>
      <c r="N4" s="54" t="s">
        <v>72</v>
      </c>
      <c r="O4" s="54" t="s">
        <v>72</v>
      </c>
      <c r="P4" s="54" t="s">
        <v>261</v>
      </c>
      <c r="Q4" s="54" t="s">
        <v>236</v>
      </c>
      <c r="R4" s="54" t="s">
        <v>253</v>
      </c>
      <c r="S4" s="54" t="s">
        <v>72</v>
      </c>
      <c r="T4" s="54" t="s">
        <v>231</v>
      </c>
      <c r="U4" s="54" t="s">
        <v>100</v>
      </c>
      <c r="V4" s="56">
        <v>46414</v>
      </c>
      <c r="W4" s="54" t="s">
        <v>236</v>
      </c>
      <c r="X4" s="54"/>
    </row>
    <row r="5" spans="1:24" x14ac:dyDescent="0.25">
      <c r="A5" s="54">
        <v>1027</v>
      </c>
      <c r="B5" s="54" t="s">
        <v>77</v>
      </c>
      <c r="C5" s="54" t="s">
        <v>115</v>
      </c>
      <c r="D5" s="54" t="s">
        <v>77</v>
      </c>
      <c r="E5" s="54" t="s">
        <v>266</v>
      </c>
      <c r="F5" s="54">
        <v>1</v>
      </c>
      <c r="G5" s="54" t="s">
        <v>239</v>
      </c>
      <c r="H5" s="54" t="s">
        <v>246</v>
      </c>
      <c r="I5" s="54" t="s">
        <v>250</v>
      </c>
      <c r="J5" s="54" t="s">
        <v>77</v>
      </c>
      <c r="K5" s="54" t="s">
        <v>77</v>
      </c>
      <c r="L5" s="56">
        <v>46416</v>
      </c>
      <c r="M5" s="54"/>
      <c r="N5" s="54" t="s">
        <v>72</v>
      </c>
      <c r="O5" s="54" t="s">
        <v>72</v>
      </c>
      <c r="P5" s="54" t="s">
        <v>261</v>
      </c>
      <c r="Q5" s="54" t="s">
        <v>236</v>
      </c>
      <c r="R5" s="54">
        <v>9</v>
      </c>
      <c r="S5" s="54" t="s">
        <v>72</v>
      </c>
      <c r="T5" s="54" t="s">
        <v>231</v>
      </c>
      <c r="U5" s="54" t="s">
        <v>100</v>
      </c>
      <c r="V5" s="56">
        <v>46416</v>
      </c>
      <c r="W5" s="54" t="s">
        <v>236</v>
      </c>
      <c r="X5" s="54"/>
    </row>
    <row r="6" spans="1:24" x14ac:dyDescent="0.25">
      <c r="A6" s="54">
        <v>1027</v>
      </c>
      <c r="B6" s="54" t="s">
        <v>77</v>
      </c>
      <c r="C6" s="54" t="s">
        <v>115</v>
      </c>
      <c r="D6" s="54" t="s">
        <v>77</v>
      </c>
      <c r="E6" s="54" t="s">
        <v>266</v>
      </c>
      <c r="F6" s="54">
        <v>1</v>
      </c>
      <c r="G6" s="54">
        <v>1700</v>
      </c>
      <c r="H6" s="54" t="s">
        <v>246</v>
      </c>
      <c r="I6" s="54" t="s">
        <v>250</v>
      </c>
      <c r="J6" s="54" t="s">
        <v>77</v>
      </c>
      <c r="K6" s="54" t="s">
        <v>77</v>
      </c>
      <c r="L6" s="56">
        <v>46417</v>
      </c>
      <c r="M6" s="54"/>
      <c r="N6" s="54" t="s">
        <v>72</v>
      </c>
      <c r="O6" s="54" t="s">
        <v>72</v>
      </c>
      <c r="P6" s="54" t="s">
        <v>261</v>
      </c>
      <c r="Q6" s="54" t="s">
        <v>236</v>
      </c>
      <c r="R6" s="54">
        <v>17</v>
      </c>
      <c r="S6" s="54" t="s">
        <v>72</v>
      </c>
      <c r="T6" s="54" t="s">
        <v>231</v>
      </c>
      <c r="U6" s="54" t="s">
        <v>100</v>
      </c>
      <c r="V6" s="56">
        <v>46417</v>
      </c>
      <c r="W6" s="54" t="s">
        <v>236</v>
      </c>
      <c r="X6" s="54"/>
    </row>
    <row r="7" spans="1:24" x14ac:dyDescent="0.25">
      <c r="A7" s="54">
        <v>1027</v>
      </c>
      <c r="B7" s="54" t="s">
        <v>77</v>
      </c>
      <c r="C7" s="54" t="s">
        <v>115</v>
      </c>
      <c r="D7" s="54" t="s">
        <v>77</v>
      </c>
      <c r="E7" s="54" t="s">
        <v>266</v>
      </c>
      <c r="F7" s="54">
        <v>1</v>
      </c>
      <c r="G7" s="54">
        <v>1700</v>
      </c>
      <c r="H7" s="54" t="s">
        <v>247</v>
      </c>
      <c r="I7" s="54" t="s">
        <v>250</v>
      </c>
      <c r="J7" s="54" t="s">
        <v>77</v>
      </c>
      <c r="K7" s="54" t="s">
        <v>77</v>
      </c>
      <c r="L7" s="56">
        <v>46420</v>
      </c>
      <c r="M7" s="54"/>
      <c r="N7" s="54" t="s">
        <v>72</v>
      </c>
      <c r="O7" s="54" t="s">
        <v>72</v>
      </c>
      <c r="P7" s="54" t="s">
        <v>261</v>
      </c>
      <c r="Q7" s="54" t="s">
        <v>236</v>
      </c>
      <c r="R7" s="54">
        <v>7</v>
      </c>
      <c r="S7" s="54" t="s">
        <v>72</v>
      </c>
      <c r="T7" s="54" t="s">
        <v>231</v>
      </c>
      <c r="U7" s="54" t="s">
        <v>100</v>
      </c>
      <c r="V7" s="56">
        <v>46420</v>
      </c>
      <c r="W7" s="54" t="s">
        <v>236</v>
      </c>
      <c r="X7" s="54"/>
    </row>
    <row r="8" spans="1:24" x14ac:dyDescent="0.25">
      <c r="A8" s="54">
        <v>1027</v>
      </c>
      <c r="B8" s="54" t="s">
        <v>77</v>
      </c>
      <c r="C8" s="54" t="s">
        <v>115</v>
      </c>
      <c r="D8" s="54">
        <v>6820</v>
      </c>
      <c r="E8" s="54" t="s">
        <v>266</v>
      </c>
      <c r="F8" s="54">
        <v>1</v>
      </c>
      <c r="G8" s="54">
        <v>1700</v>
      </c>
      <c r="H8" s="54" t="s">
        <v>247</v>
      </c>
      <c r="I8" s="54" t="s">
        <v>227</v>
      </c>
      <c r="J8" s="56">
        <v>46233</v>
      </c>
      <c r="K8" s="54"/>
      <c r="L8" s="56">
        <v>46408</v>
      </c>
      <c r="M8" s="54"/>
      <c r="N8" s="54" t="s">
        <v>72</v>
      </c>
      <c r="O8" s="54" t="s">
        <v>72</v>
      </c>
      <c r="P8" s="54" t="s">
        <v>234</v>
      </c>
      <c r="Q8" s="54" t="s">
        <v>236</v>
      </c>
      <c r="R8" s="54">
        <v>2</v>
      </c>
      <c r="S8" s="54" t="s">
        <v>72</v>
      </c>
      <c r="T8" s="54" t="s">
        <v>264</v>
      </c>
      <c r="U8" s="54" t="s">
        <v>100</v>
      </c>
      <c r="V8" s="56">
        <v>46408</v>
      </c>
      <c r="W8" s="54" t="s">
        <v>236</v>
      </c>
      <c r="X8" s="54"/>
    </row>
    <row r="9" spans="1:24" x14ac:dyDescent="0.25">
      <c r="A9" s="54">
        <v>1027</v>
      </c>
      <c r="B9" s="54" t="s">
        <v>77</v>
      </c>
      <c r="C9" s="54" t="s">
        <v>115</v>
      </c>
      <c r="D9" s="54" t="s">
        <v>77</v>
      </c>
      <c r="E9" s="54" t="s">
        <v>266</v>
      </c>
      <c r="F9" s="54">
        <v>1</v>
      </c>
      <c r="G9" s="54">
        <v>1700</v>
      </c>
      <c r="H9" s="54" t="s">
        <v>248</v>
      </c>
      <c r="I9" s="54" t="s">
        <v>250</v>
      </c>
      <c r="J9" s="54" t="s">
        <v>77</v>
      </c>
      <c r="K9" s="54" t="s">
        <v>77</v>
      </c>
      <c r="L9" s="56">
        <v>46421</v>
      </c>
      <c r="M9" s="54"/>
      <c r="N9" s="54" t="s">
        <v>72</v>
      </c>
      <c r="O9" s="54" t="s">
        <v>72</v>
      </c>
      <c r="P9" s="54" t="s">
        <v>261</v>
      </c>
      <c r="Q9" s="54" t="s">
        <v>236</v>
      </c>
      <c r="R9" s="54">
        <v>3</v>
      </c>
      <c r="S9" s="54" t="s">
        <v>72</v>
      </c>
      <c r="T9" s="54" t="s">
        <v>264</v>
      </c>
      <c r="U9" s="54" t="s">
        <v>100</v>
      </c>
      <c r="V9" s="56">
        <v>46421</v>
      </c>
      <c r="W9" s="54" t="s">
        <v>236</v>
      </c>
      <c r="X9" s="54"/>
    </row>
    <row r="10" spans="1:24" x14ac:dyDescent="0.25">
      <c r="A10" s="54">
        <v>1027</v>
      </c>
      <c r="B10" s="54" t="s">
        <v>77</v>
      </c>
      <c r="C10" s="54" t="s">
        <v>115</v>
      </c>
      <c r="D10" s="54">
        <v>6821</v>
      </c>
      <c r="E10" s="54" t="s">
        <v>266</v>
      </c>
      <c r="F10" s="54">
        <v>1</v>
      </c>
      <c r="G10" s="54">
        <v>1700</v>
      </c>
      <c r="H10" s="54" t="s">
        <v>248</v>
      </c>
      <c r="I10" s="54" t="s">
        <v>227</v>
      </c>
      <c r="J10" s="56">
        <v>46233</v>
      </c>
      <c r="K10" s="54"/>
      <c r="L10" s="56">
        <v>46403</v>
      </c>
      <c r="M10" s="54"/>
      <c r="N10" s="54" t="s">
        <v>72</v>
      </c>
      <c r="O10" s="54" t="s">
        <v>72</v>
      </c>
      <c r="P10" s="54" t="s">
        <v>234</v>
      </c>
      <c r="Q10" s="54" t="s">
        <v>236</v>
      </c>
      <c r="R10" s="54">
        <v>10</v>
      </c>
      <c r="S10" s="54" t="s">
        <v>72</v>
      </c>
      <c r="T10" s="54" t="s">
        <v>264</v>
      </c>
      <c r="U10" s="54" t="s">
        <v>100</v>
      </c>
      <c r="V10" s="56">
        <v>46403</v>
      </c>
      <c r="W10" s="54" t="s">
        <v>236</v>
      </c>
      <c r="X10" s="54"/>
    </row>
    <row r="11" spans="1:24" x14ac:dyDescent="0.25">
      <c r="A11" s="54">
        <v>1027</v>
      </c>
      <c r="B11" s="54" t="s">
        <v>77</v>
      </c>
      <c r="C11" s="54" t="s">
        <v>115</v>
      </c>
      <c r="D11" s="54" t="s">
        <v>77</v>
      </c>
      <c r="E11" s="54" t="s">
        <v>266</v>
      </c>
      <c r="F11" s="54">
        <v>1</v>
      </c>
      <c r="G11" s="54">
        <v>1700</v>
      </c>
      <c r="H11" s="54" t="s">
        <v>249</v>
      </c>
      <c r="I11" s="54" t="s">
        <v>250</v>
      </c>
      <c r="J11" s="54" t="s">
        <v>77</v>
      </c>
      <c r="K11" s="54" t="s">
        <v>77</v>
      </c>
      <c r="L11" s="56">
        <v>46423</v>
      </c>
      <c r="M11" s="54"/>
      <c r="N11" s="54" t="s">
        <v>72</v>
      </c>
      <c r="O11" s="54" t="s">
        <v>72</v>
      </c>
      <c r="P11" s="54" t="s">
        <v>261</v>
      </c>
      <c r="Q11" s="54" t="s">
        <v>236</v>
      </c>
      <c r="R11" s="54">
        <v>20</v>
      </c>
      <c r="S11" s="54" t="s">
        <v>72</v>
      </c>
      <c r="T11" s="54" t="s">
        <v>264</v>
      </c>
      <c r="U11" s="54" t="s">
        <v>100</v>
      </c>
      <c r="V11" s="56">
        <v>46423</v>
      </c>
      <c r="W11" s="54" t="s">
        <v>236</v>
      </c>
      <c r="X11" s="54"/>
    </row>
    <row r="12" spans="1:24" x14ac:dyDescent="0.25">
      <c r="A12" s="54">
        <v>1027</v>
      </c>
      <c r="B12" s="54" t="s">
        <v>77</v>
      </c>
      <c r="C12" s="54" t="s">
        <v>115</v>
      </c>
      <c r="D12" s="54">
        <v>6822</v>
      </c>
      <c r="E12" s="54" t="s">
        <v>243</v>
      </c>
      <c r="F12" s="54">
        <v>1</v>
      </c>
      <c r="G12" s="54">
        <v>1700</v>
      </c>
      <c r="H12" s="54" t="s">
        <v>249</v>
      </c>
      <c r="I12" s="54" t="s">
        <v>227</v>
      </c>
      <c r="J12" s="56">
        <v>46233</v>
      </c>
      <c r="K12" s="54"/>
      <c r="L12" s="56">
        <v>46406</v>
      </c>
      <c r="M12" s="54"/>
      <c r="N12" s="54" t="s">
        <v>72</v>
      </c>
      <c r="O12" s="54" t="s">
        <v>72</v>
      </c>
      <c r="P12" s="55" t="s">
        <v>240</v>
      </c>
      <c r="Q12" s="54" t="s">
        <v>61</v>
      </c>
      <c r="R12" s="54">
        <v>18</v>
      </c>
      <c r="S12" s="54" t="s">
        <v>72</v>
      </c>
      <c r="T12" s="54" t="s">
        <v>264</v>
      </c>
      <c r="U12" s="54" t="s">
        <v>100</v>
      </c>
      <c r="V12" s="56">
        <v>46406</v>
      </c>
      <c r="W12" s="54" t="s">
        <v>236</v>
      </c>
      <c r="X12" s="54"/>
    </row>
    <row r="13" spans="1:24" x14ac:dyDescent="0.25">
      <c r="A13" s="54">
        <v>1027</v>
      </c>
      <c r="B13" s="54" t="s">
        <v>77</v>
      </c>
      <c r="C13" s="54" t="s">
        <v>115</v>
      </c>
      <c r="D13" s="54" t="s">
        <v>77</v>
      </c>
      <c r="E13" s="54" t="s">
        <v>267</v>
      </c>
      <c r="F13" s="54">
        <v>1</v>
      </c>
      <c r="G13" s="54">
        <v>1700</v>
      </c>
      <c r="H13" s="54" t="s">
        <v>248</v>
      </c>
      <c r="I13" s="54" t="s">
        <v>254</v>
      </c>
      <c r="J13" s="54" t="s">
        <v>77</v>
      </c>
      <c r="K13" s="54" t="s">
        <v>77</v>
      </c>
      <c r="L13" s="56">
        <v>46424</v>
      </c>
      <c r="M13" s="54"/>
      <c r="N13" s="54" t="s">
        <v>72</v>
      </c>
      <c r="O13" s="54" t="s">
        <v>72</v>
      </c>
      <c r="P13" s="54" t="s">
        <v>261</v>
      </c>
      <c r="Q13" s="54" t="s">
        <v>236</v>
      </c>
      <c r="R13" s="54" t="s">
        <v>255</v>
      </c>
      <c r="S13" s="54" t="s">
        <v>72</v>
      </c>
      <c r="T13" s="54" t="s">
        <v>264</v>
      </c>
      <c r="U13" s="54" t="s">
        <v>100</v>
      </c>
      <c r="V13" s="56">
        <v>46424</v>
      </c>
      <c r="W13" s="54" t="s">
        <v>236</v>
      </c>
      <c r="X13" s="54"/>
    </row>
    <row r="14" spans="1:24" x14ac:dyDescent="0.25">
      <c r="A14" s="54">
        <v>1027</v>
      </c>
      <c r="B14" s="54" t="s">
        <v>77</v>
      </c>
      <c r="C14" s="54" t="s">
        <v>115</v>
      </c>
      <c r="D14" s="54">
        <v>6010</v>
      </c>
      <c r="E14" s="54" t="s">
        <v>265</v>
      </c>
      <c r="F14" s="54">
        <v>1</v>
      </c>
      <c r="G14" s="54" t="s">
        <v>239</v>
      </c>
      <c r="H14" s="54" t="s">
        <v>245</v>
      </c>
      <c r="I14" s="54" t="s">
        <v>227</v>
      </c>
      <c r="J14" s="56">
        <v>46233</v>
      </c>
      <c r="K14" s="56">
        <v>46198</v>
      </c>
      <c r="L14" s="56">
        <v>46426</v>
      </c>
      <c r="M14" s="54"/>
      <c r="N14" s="54" t="s">
        <v>72</v>
      </c>
      <c r="O14" s="54" t="s">
        <v>72</v>
      </c>
      <c r="P14" s="55" t="s">
        <v>240</v>
      </c>
      <c r="Q14" s="54" t="s">
        <v>151</v>
      </c>
      <c r="R14" s="54" t="s">
        <v>242</v>
      </c>
      <c r="S14" s="54" t="s">
        <v>72</v>
      </c>
      <c r="T14" s="54" t="s">
        <v>264</v>
      </c>
      <c r="U14" s="54" t="s">
        <v>100</v>
      </c>
      <c r="V14" s="56">
        <v>46426</v>
      </c>
      <c r="W14" s="54" t="s">
        <v>236</v>
      </c>
      <c r="X14" s="54"/>
    </row>
    <row r="15" spans="1:24" x14ac:dyDescent="0.25">
      <c r="A15" s="54">
        <v>1027</v>
      </c>
      <c r="B15" s="54" t="s">
        <v>77</v>
      </c>
      <c r="C15" s="54" t="s">
        <v>115</v>
      </c>
      <c r="D15" s="54" t="s">
        <v>77</v>
      </c>
      <c r="E15" s="54" t="s">
        <v>265</v>
      </c>
      <c r="F15" s="54">
        <v>1</v>
      </c>
      <c r="G15" s="54">
        <v>1700</v>
      </c>
      <c r="H15" s="54" t="s">
        <v>246</v>
      </c>
      <c r="I15" s="54" t="s">
        <v>250</v>
      </c>
      <c r="J15" s="54" t="s">
        <v>77</v>
      </c>
      <c r="K15" s="54" t="s">
        <v>77</v>
      </c>
      <c r="L15" s="56">
        <v>46427</v>
      </c>
      <c r="M15" s="54"/>
      <c r="N15" s="54" t="s">
        <v>72</v>
      </c>
      <c r="O15" s="54" t="s">
        <v>72</v>
      </c>
      <c r="P15" s="54" t="s">
        <v>261</v>
      </c>
      <c r="Q15" s="54" t="s">
        <v>61</v>
      </c>
      <c r="R15" s="54" t="s">
        <v>256</v>
      </c>
      <c r="S15" s="54" t="s">
        <v>72</v>
      </c>
      <c r="T15" s="54" t="s">
        <v>264</v>
      </c>
      <c r="U15" s="54" t="s">
        <v>100</v>
      </c>
      <c r="V15" s="56">
        <v>46427</v>
      </c>
      <c r="W15" s="54" t="s">
        <v>236</v>
      </c>
      <c r="X15" s="54"/>
    </row>
    <row r="16" spans="1:24" x14ac:dyDescent="0.25">
      <c r="A16" s="54">
        <v>1027</v>
      </c>
      <c r="B16" s="54" t="s">
        <v>77</v>
      </c>
      <c r="C16" s="54" t="s">
        <v>115</v>
      </c>
      <c r="D16" s="54">
        <v>6824</v>
      </c>
      <c r="E16" s="54" t="s">
        <v>265</v>
      </c>
      <c r="F16" s="54">
        <v>1</v>
      </c>
      <c r="G16" s="54">
        <v>1700</v>
      </c>
      <c r="H16" s="54" t="s">
        <v>247</v>
      </c>
      <c r="I16" s="54" t="s">
        <v>227</v>
      </c>
      <c r="J16" s="56">
        <v>46233</v>
      </c>
      <c r="K16" s="54"/>
      <c r="L16" s="56">
        <v>46428</v>
      </c>
      <c r="M16" s="54"/>
      <c r="N16" s="54" t="s">
        <v>72</v>
      </c>
      <c r="O16" s="54" t="s">
        <v>72</v>
      </c>
      <c r="P16" s="55" t="s">
        <v>240</v>
      </c>
      <c r="Q16" s="54" t="s">
        <v>61</v>
      </c>
      <c r="R16" s="54">
        <v>14</v>
      </c>
      <c r="S16" s="54" t="s">
        <v>72</v>
      </c>
      <c r="T16" s="54" t="s">
        <v>264</v>
      </c>
      <c r="U16" s="54" t="s">
        <v>100</v>
      </c>
      <c r="V16" s="56">
        <v>46428</v>
      </c>
      <c r="W16" s="54" t="s">
        <v>236</v>
      </c>
      <c r="X16" s="54"/>
    </row>
    <row r="17" spans="1:24" x14ac:dyDescent="0.25">
      <c r="A17" s="54">
        <v>1027</v>
      </c>
      <c r="B17" s="54" t="s">
        <v>77</v>
      </c>
      <c r="C17" s="54" t="s">
        <v>115</v>
      </c>
      <c r="D17" s="54" t="s">
        <v>77</v>
      </c>
      <c r="E17" s="54" t="s">
        <v>265</v>
      </c>
      <c r="F17" s="54">
        <v>1</v>
      </c>
      <c r="G17" s="54">
        <v>1700</v>
      </c>
      <c r="H17" s="54" t="s">
        <v>248</v>
      </c>
      <c r="I17" s="54" t="s">
        <v>250</v>
      </c>
      <c r="J17" s="54" t="s">
        <v>77</v>
      </c>
      <c r="K17" s="54" t="s">
        <v>77</v>
      </c>
      <c r="L17" s="56">
        <v>46430</v>
      </c>
      <c r="M17" s="54"/>
      <c r="N17" s="54" t="s">
        <v>72</v>
      </c>
      <c r="O17" s="54" t="s">
        <v>72</v>
      </c>
      <c r="P17" s="54" t="s">
        <v>261</v>
      </c>
      <c r="Q17" s="54" t="s">
        <v>61</v>
      </c>
      <c r="R17" s="54">
        <v>15</v>
      </c>
      <c r="S17" s="54" t="s">
        <v>72</v>
      </c>
      <c r="T17" s="54" t="s">
        <v>264</v>
      </c>
      <c r="U17" s="54" t="s">
        <v>100</v>
      </c>
      <c r="V17" s="56">
        <v>46430</v>
      </c>
      <c r="W17" s="54" t="s">
        <v>236</v>
      </c>
      <c r="X17" s="54"/>
    </row>
    <row r="18" spans="1:24" x14ac:dyDescent="0.25">
      <c r="A18" s="54">
        <v>1027</v>
      </c>
      <c r="B18" s="54" t="s">
        <v>77</v>
      </c>
      <c r="C18" s="54" t="s">
        <v>115</v>
      </c>
      <c r="D18" s="54" t="s">
        <v>77</v>
      </c>
      <c r="E18" s="54" t="s">
        <v>265</v>
      </c>
      <c r="F18" s="54">
        <v>1</v>
      </c>
      <c r="G18" s="54">
        <v>1700</v>
      </c>
      <c r="H18" s="54" t="s">
        <v>249</v>
      </c>
      <c r="I18" s="54" t="s">
        <v>250</v>
      </c>
      <c r="J18" s="54" t="s">
        <v>77</v>
      </c>
      <c r="K18" s="54" t="s">
        <v>77</v>
      </c>
      <c r="L18" s="56">
        <v>46431</v>
      </c>
      <c r="M18" s="54"/>
      <c r="N18" s="54" t="s">
        <v>72</v>
      </c>
      <c r="O18" s="54" t="s">
        <v>72</v>
      </c>
      <c r="P18" s="54" t="s">
        <v>261</v>
      </c>
      <c r="Q18" s="54" t="s">
        <v>61</v>
      </c>
      <c r="R18" s="54">
        <v>16</v>
      </c>
      <c r="S18" s="54" t="s">
        <v>72</v>
      </c>
      <c r="T18" s="54" t="s">
        <v>264</v>
      </c>
      <c r="U18" s="54" t="s">
        <v>100</v>
      </c>
      <c r="V18" s="56">
        <v>46431</v>
      </c>
      <c r="W18" s="54" t="s">
        <v>236</v>
      </c>
      <c r="X18" s="54"/>
    </row>
  </sheetData>
  <conditionalFormatting sqref="P2 P12 P16">
    <cfRule type="expression" dxfId="7" priority="11">
      <formula>$P2="s"</formula>
    </cfRule>
  </conditionalFormatting>
  <conditionalFormatting sqref="P2">
    <cfRule type="containsText" dxfId="6" priority="9" operator="containsText" text="encamisado">
      <formula>NOT(ISERROR(SEARCH("encamisado",P2)))</formula>
    </cfRule>
    <cfRule type="containsText" dxfId="5" priority="10" operator="containsText" text="pronto">
      <formula>NOT(ISERROR(SEARCH("pronto",P2)))</formula>
    </cfRule>
    <cfRule type="expression" dxfId="4" priority="12">
      <formula>#REF!="s"</formula>
    </cfRule>
  </conditionalFormatting>
  <conditionalFormatting sqref="P12 P14 P16">
    <cfRule type="containsText" dxfId="3" priority="1" operator="containsText" text="encamisado">
      <formula>NOT(ISERROR(SEARCH("encamisado",P12)))</formula>
    </cfRule>
    <cfRule type="containsText" dxfId="2" priority="2" operator="containsText" text="pronto">
      <formula>NOT(ISERROR(SEARCH("pronto",P12)))</formula>
    </cfRule>
    <cfRule type="expression" dxfId="1" priority="4">
      <formula>#REF!="s"</formula>
    </cfRule>
  </conditionalFormatting>
  <conditionalFormatting sqref="P14">
    <cfRule type="expression" dxfId="0" priority="3">
      <formula>$P14="s"</formula>
    </cfRule>
  </conditionalFormatting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3"/>
  <sheetViews>
    <sheetView view="pageBreakPreview" zoomScale="106" zoomScaleNormal="100" zoomScaleSheetLayoutView="106" workbookViewId="0">
      <selection activeCell="K18" sqref="K18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200</v>
      </c>
      <c r="G1" s="22" t="s">
        <v>201</v>
      </c>
      <c r="H1" s="22" t="s">
        <v>194</v>
      </c>
      <c r="I1" s="22" t="s">
        <v>193</v>
      </c>
      <c r="J1" s="22" t="s">
        <v>195</v>
      </c>
      <c r="K1" s="22" t="s">
        <v>196</v>
      </c>
      <c r="L1" s="22" t="s">
        <v>197</v>
      </c>
      <c r="M1" s="22" t="s">
        <v>197</v>
      </c>
      <c r="N1" s="22" t="s">
        <v>198</v>
      </c>
      <c r="O1" s="22" t="s">
        <v>199</v>
      </c>
      <c r="P1" s="22" t="s">
        <v>128</v>
      </c>
      <c r="Q1" s="22" t="s">
        <v>129</v>
      </c>
      <c r="R1" s="22" t="s">
        <v>73</v>
      </c>
    </row>
    <row r="2" spans="1:18" x14ac:dyDescent="0.25">
      <c r="A2" s="23">
        <v>27108</v>
      </c>
      <c r="B2" s="23">
        <v>1</v>
      </c>
      <c r="C2" s="24" t="s">
        <v>175</v>
      </c>
      <c r="D2" s="23">
        <v>299368</v>
      </c>
      <c r="E2" s="24" t="s">
        <v>206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77</v>
      </c>
      <c r="M2" s="25" t="s">
        <v>77</v>
      </c>
      <c r="N2" s="25" t="s">
        <v>77</v>
      </c>
      <c r="O2" s="25" t="s">
        <v>77</v>
      </c>
      <c r="P2" s="25" t="s">
        <v>61</v>
      </c>
      <c r="Q2" s="23">
        <v>285</v>
      </c>
      <c r="R2" s="50"/>
    </row>
    <row r="3" spans="1:18" x14ac:dyDescent="0.25">
      <c r="A3" s="23">
        <v>27330</v>
      </c>
      <c r="B3" s="23">
        <v>1</v>
      </c>
      <c r="C3" s="24" t="s">
        <v>175</v>
      </c>
      <c r="D3" s="23">
        <v>299368</v>
      </c>
      <c r="E3" s="24" t="s">
        <v>206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77</v>
      </c>
      <c r="M3" s="25" t="s">
        <v>77</v>
      </c>
      <c r="N3" s="25" t="s">
        <v>77</v>
      </c>
      <c r="O3" s="25" t="s">
        <v>77</v>
      </c>
      <c r="P3" s="25" t="s">
        <v>61</v>
      </c>
      <c r="Q3" s="23">
        <v>285</v>
      </c>
      <c r="R3" s="50"/>
    </row>
    <row r="4" spans="1:18" x14ac:dyDescent="0.25">
      <c r="A4" s="47">
        <v>27507</v>
      </c>
      <c r="B4" s="47">
        <v>1</v>
      </c>
      <c r="C4" s="48" t="s">
        <v>176</v>
      </c>
      <c r="D4" s="23">
        <v>1449018</v>
      </c>
      <c r="E4" s="24" t="s">
        <v>207</v>
      </c>
      <c r="F4" s="49">
        <v>1</v>
      </c>
      <c r="G4" s="25">
        <v>46195</v>
      </c>
      <c r="H4" s="25">
        <v>46196</v>
      </c>
      <c r="I4" s="25">
        <v>46196</v>
      </c>
      <c r="J4" s="25">
        <v>46202</v>
      </c>
      <c r="K4" s="25">
        <v>46196</v>
      </c>
      <c r="L4" s="25">
        <v>46202</v>
      </c>
      <c r="M4" s="25"/>
      <c r="N4" s="25">
        <v>46209</v>
      </c>
      <c r="O4" s="25"/>
      <c r="P4" s="25" t="s">
        <v>61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176</v>
      </c>
      <c r="D5" s="23">
        <v>1449018</v>
      </c>
      <c r="E5" s="24" t="s">
        <v>207</v>
      </c>
      <c r="F5" s="49">
        <v>1</v>
      </c>
      <c r="G5" s="25">
        <v>46195</v>
      </c>
      <c r="H5" s="25">
        <v>46196</v>
      </c>
      <c r="I5" s="25">
        <v>46196</v>
      </c>
      <c r="J5" s="25">
        <v>46202</v>
      </c>
      <c r="K5" s="25">
        <v>46196</v>
      </c>
      <c r="L5" s="25">
        <v>46202</v>
      </c>
      <c r="M5" s="25"/>
      <c r="N5" s="25">
        <v>46209</v>
      </c>
      <c r="O5" s="25"/>
      <c r="P5" s="25" t="s">
        <v>61</v>
      </c>
      <c r="Q5" s="23">
        <v>496</v>
      </c>
      <c r="R5" s="50"/>
    </row>
    <row r="6" spans="1:18" x14ac:dyDescent="0.25">
      <c r="A6" s="47">
        <v>27522</v>
      </c>
      <c r="B6" s="47">
        <v>1</v>
      </c>
      <c r="C6" s="48" t="s">
        <v>175</v>
      </c>
      <c r="D6" s="23">
        <v>299374</v>
      </c>
      <c r="E6" s="24" t="s">
        <v>208</v>
      </c>
      <c r="F6" s="49">
        <v>1</v>
      </c>
      <c r="G6" s="25">
        <v>46204</v>
      </c>
      <c r="H6" s="25">
        <v>46192</v>
      </c>
      <c r="I6" s="25"/>
      <c r="J6" s="25">
        <v>46197</v>
      </c>
      <c r="K6" s="25"/>
      <c r="L6" s="25" t="s">
        <v>77</v>
      </c>
      <c r="M6" s="25" t="s">
        <v>77</v>
      </c>
      <c r="N6" s="25" t="s">
        <v>77</v>
      </c>
      <c r="O6" s="25" t="s">
        <v>77</v>
      </c>
      <c r="P6" s="25" t="s">
        <v>61</v>
      </c>
      <c r="Q6" s="23">
        <v>285</v>
      </c>
      <c r="R6" s="50"/>
    </row>
    <row r="7" spans="1:18" x14ac:dyDescent="0.25">
      <c r="A7" s="47">
        <v>27473</v>
      </c>
      <c r="B7" s="47">
        <v>1</v>
      </c>
      <c r="C7" s="48" t="s">
        <v>177</v>
      </c>
      <c r="D7" s="23">
        <v>1281005</v>
      </c>
      <c r="E7" s="24" t="s">
        <v>202</v>
      </c>
      <c r="F7" s="49">
        <v>1</v>
      </c>
      <c r="G7" s="25">
        <v>46209</v>
      </c>
      <c r="H7" s="25">
        <v>46192</v>
      </c>
      <c r="I7" s="25">
        <v>46196</v>
      </c>
      <c r="J7" s="25">
        <v>46199</v>
      </c>
      <c r="K7" s="25"/>
      <c r="L7" s="25" t="s">
        <v>77</v>
      </c>
      <c r="M7" s="25" t="s">
        <v>77</v>
      </c>
      <c r="N7" s="25" t="s">
        <v>77</v>
      </c>
      <c r="O7" s="25" t="s">
        <v>77</v>
      </c>
      <c r="P7" s="25" t="s">
        <v>151</v>
      </c>
      <c r="Q7" s="23" t="s">
        <v>186</v>
      </c>
      <c r="R7" s="50"/>
    </row>
    <row r="8" spans="1:18" x14ac:dyDescent="0.25">
      <c r="A8" s="47">
        <v>27473</v>
      </c>
      <c r="B8" s="47">
        <v>2</v>
      </c>
      <c r="C8" s="48" t="s">
        <v>177</v>
      </c>
      <c r="D8" s="23">
        <v>1281006</v>
      </c>
      <c r="E8" s="24" t="s">
        <v>203</v>
      </c>
      <c r="F8" s="49">
        <v>1</v>
      </c>
      <c r="G8" s="25">
        <v>46209</v>
      </c>
      <c r="H8" s="25">
        <v>46192</v>
      </c>
      <c r="I8" s="25">
        <v>46196</v>
      </c>
      <c r="J8" s="25">
        <v>46199</v>
      </c>
      <c r="K8" s="25"/>
      <c r="L8" s="25" t="s">
        <v>77</v>
      </c>
      <c r="M8" s="25" t="s">
        <v>77</v>
      </c>
      <c r="N8" s="25" t="s">
        <v>77</v>
      </c>
      <c r="O8" s="25" t="s">
        <v>77</v>
      </c>
      <c r="P8" s="25" t="s">
        <v>151</v>
      </c>
      <c r="Q8" s="23" t="s">
        <v>187</v>
      </c>
      <c r="R8" s="50"/>
    </row>
    <row r="9" spans="1:18" x14ac:dyDescent="0.25">
      <c r="A9" s="47">
        <v>27473</v>
      </c>
      <c r="B9" s="47">
        <v>3</v>
      </c>
      <c r="C9" s="48" t="s">
        <v>177</v>
      </c>
      <c r="D9" s="23">
        <v>1281007</v>
      </c>
      <c r="E9" s="24" t="s">
        <v>204</v>
      </c>
      <c r="F9" s="49">
        <v>1</v>
      </c>
      <c r="G9" s="25">
        <v>46209</v>
      </c>
      <c r="H9" s="25">
        <v>46192</v>
      </c>
      <c r="I9" s="25">
        <v>46196</v>
      </c>
      <c r="J9" s="25">
        <v>46199</v>
      </c>
      <c r="K9" s="25"/>
      <c r="L9" s="25" t="s">
        <v>77</v>
      </c>
      <c r="M9" s="25" t="s">
        <v>77</v>
      </c>
      <c r="N9" s="25" t="s">
        <v>77</v>
      </c>
      <c r="O9" s="25" t="s">
        <v>77</v>
      </c>
      <c r="P9" s="25" t="s">
        <v>61</v>
      </c>
      <c r="Q9" s="23" t="s">
        <v>188</v>
      </c>
      <c r="R9" s="50"/>
    </row>
    <row r="10" spans="1:18" x14ac:dyDescent="0.25">
      <c r="A10" s="47">
        <v>27473</v>
      </c>
      <c r="B10" s="47">
        <v>4</v>
      </c>
      <c r="C10" s="48" t="s">
        <v>177</v>
      </c>
      <c r="D10" s="23">
        <v>1281007</v>
      </c>
      <c r="E10" s="24" t="s">
        <v>204</v>
      </c>
      <c r="F10" s="49">
        <v>1</v>
      </c>
      <c r="G10" s="25">
        <v>46209</v>
      </c>
      <c r="H10" s="25">
        <v>46192</v>
      </c>
      <c r="I10" s="25">
        <v>46196</v>
      </c>
      <c r="J10" s="25">
        <v>46199</v>
      </c>
      <c r="K10" s="25"/>
      <c r="L10" s="25" t="s">
        <v>77</v>
      </c>
      <c r="M10" s="25" t="s">
        <v>77</v>
      </c>
      <c r="N10" s="25" t="s">
        <v>77</v>
      </c>
      <c r="O10" s="25" t="s">
        <v>77</v>
      </c>
      <c r="P10" s="25" t="s">
        <v>61</v>
      </c>
      <c r="Q10" s="23" t="s">
        <v>188</v>
      </c>
      <c r="R10" s="50"/>
    </row>
    <row r="11" spans="1:18" x14ac:dyDescent="0.25">
      <c r="A11" s="47">
        <v>27473</v>
      </c>
      <c r="B11" s="47">
        <v>5</v>
      </c>
      <c r="C11" s="48" t="s">
        <v>177</v>
      </c>
      <c r="D11" s="23">
        <v>1281007</v>
      </c>
      <c r="E11" s="24" t="s">
        <v>204</v>
      </c>
      <c r="F11" s="49">
        <v>1</v>
      </c>
      <c r="G11" s="25">
        <v>46209</v>
      </c>
      <c r="H11" s="25">
        <v>46192</v>
      </c>
      <c r="I11" s="25">
        <v>46196</v>
      </c>
      <c r="J11" s="25">
        <v>46199</v>
      </c>
      <c r="K11" s="25"/>
      <c r="L11" s="25" t="s">
        <v>77</v>
      </c>
      <c r="M11" s="25" t="s">
        <v>77</v>
      </c>
      <c r="N11" s="25" t="s">
        <v>77</v>
      </c>
      <c r="O11" s="25" t="s">
        <v>77</v>
      </c>
      <c r="P11" s="25" t="s">
        <v>61</v>
      </c>
      <c r="Q11" s="23" t="s">
        <v>188</v>
      </c>
      <c r="R11" s="50"/>
    </row>
    <row r="12" spans="1:18" x14ac:dyDescent="0.25">
      <c r="A12" s="47">
        <v>27473</v>
      </c>
      <c r="B12" s="47">
        <v>6</v>
      </c>
      <c r="C12" s="48" t="s">
        <v>177</v>
      </c>
      <c r="D12" s="23">
        <v>1281007</v>
      </c>
      <c r="E12" s="24" t="s">
        <v>204</v>
      </c>
      <c r="F12" s="49">
        <v>1</v>
      </c>
      <c r="G12" s="25">
        <v>46209</v>
      </c>
      <c r="H12" s="25">
        <v>46192</v>
      </c>
      <c r="I12" s="25">
        <v>46196</v>
      </c>
      <c r="J12" s="25">
        <v>46199</v>
      </c>
      <c r="K12" s="25"/>
      <c r="L12" s="25" t="s">
        <v>77</v>
      </c>
      <c r="M12" s="25" t="s">
        <v>77</v>
      </c>
      <c r="N12" s="25" t="s">
        <v>77</v>
      </c>
      <c r="O12" s="25" t="s">
        <v>77</v>
      </c>
      <c r="P12" s="25" t="s">
        <v>61</v>
      </c>
      <c r="Q12" s="23" t="s">
        <v>188</v>
      </c>
      <c r="R12" s="50"/>
    </row>
    <row r="13" spans="1:18" x14ac:dyDescent="0.25">
      <c r="A13" s="47">
        <v>27473</v>
      </c>
      <c r="B13" s="47">
        <v>7</v>
      </c>
      <c r="C13" s="48" t="s">
        <v>177</v>
      </c>
      <c r="D13" s="23">
        <v>1281007</v>
      </c>
      <c r="E13" s="24" t="s">
        <v>204</v>
      </c>
      <c r="F13" s="49">
        <v>1</v>
      </c>
      <c r="G13" s="25">
        <v>46209</v>
      </c>
      <c r="H13" s="25">
        <v>46192</v>
      </c>
      <c r="I13" s="25">
        <v>46196</v>
      </c>
      <c r="J13" s="25">
        <v>46199</v>
      </c>
      <c r="K13" s="25"/>
      <c r="L13" s="25" t="s">
        <v>77</v>
      </c>
      <c r="M13" s="25" t="s">
        <v>77</v>
      </c>
      <c r="N13" s="25" t="s">
        <v>77</v>
      </c>
      <c r="O13" s="25" t="s">
        <v>77</v>
      </c>
      <c r="P13" s="25" t="s">
        <v>61</v>
      </c>
      <c r="Q13" s="23" t="s">
        <v>188</v>
      </c>
      <c r="R13" s="50"/>
    </row>
    <row r="14" spans="1:18" x14ac:dyDescent="0.25">
      <c r="A14" s="47">
        <v>27473</v>
      </c>
      <c r="B14" s="47">
        <v>8</v>
      </c>
      <c r="C14" s="48" t="s">
        <v>177</v>
      </c>
      <c r="D14" s="23">
        <v>1281008</v>
      </c>
      <c r="E14" s="24" t="s">
        <v>205</v>
      </c>
      <c r="F14" s="49">
        <v>1</v>
      </c>
      <c r="G14" s="25">
        <v>46209</v>
      </c>
      <c r="H14" s="25">
        <v>46192</v>
      </c>
      <c r="I14" s="25">
        <v>46196</v>
      </c>
      <c r="J14" s="25">
        <v>46199</v>
      </c>
      <c r="K14" s="25"/>
      <c r="L14" s="25" t="s">
        <v>77</v>
      </c>
      <c r="M14" s="25" t="s">
        <v>77</v>
      </c>
      <c r="N14" s="25" t="s">
        <v>77</v>
      </c>
      <c r="O14" s="25" t="s">
        <v>77</v>
      </c>
      <c r="P14" s="25" t="s">
        <v>151</v>
      </c>
      <c r="Q14" s="23" t="s">
        <v>188</v>
      </c>
      <c r="R14" s="50"/>
    </row>
    <row r="15" spans="1:18" x14ac:dyDescent="0.25">
      <c r="A15" s="47">
        <v>27416</v>
      </c>
      <c r="B15" s="47">
        <v>1</v>
      </c>
      <c r="C15" s="48" t="s">
        <v>178</v>
      </c>
      <c r="D15" s="23">
        <v>392291</v>
      </c>
      <c r="E15" s="24" t="s">
        <v>209</v>
      </c>
      <c r="F15" s="49">
        <v>1</v>
      </c>
      <c r="G15" s="25">
        <v>46211</v>
      </c>
      <c r="H15" s="27">
        <v>46197</v>
      </c>
      <c r="I15" s="27"/>
      <c r="J15" s="27">
        <v>46204</v>
      </c>
      <c r="K15" s="27"/>
      <c r="L15" s="27">
        <v>46211</v>
      </c>
      <c r="M15" s="27"/>
      <c r="N15" s="27">
        <v>46218</v>
      </c>
      <c r="O15" s="27"/>
      <c r="P15" s="25" t="s">
        <v>61</v>
      </c>
      <c r="Q15" s="26">
        <v>493</v>
      </c>
      <c r="R15" s="50"/>
    </row>
    <row r="16" spans="1:18" x14ac:dyDescent="0.25">
      <c r="A16" s="47">
        <v>27476</v>
      </c>
      <c r="B16" s="47">
        <v>1</v>
      </c>
      <c r="C16" s="48" t="s">
        <v>175</v>
      </c>
      <c r="D16" s="23">
        <v>299529</v>
      </c>
      <c r="E16" s="24" t="s">
        <v>210</v>
      </c>
      <c r="F16" s="49">
        <v>1</v>
      </c>
      <c r="G16" s="25">
        <v>46217</v>
      </c>
      <c r="H16" s="25" t="s">
        <v>77</v>
      </c>
      <c r="I16" s="25" t="s">
        <v>77</v>
      </c>
      <c r="J16" s="25" t="s">
        <v>77</v>
      </c>
      <c r="K16" s="25" t="s">
        <v>77</v>
      </c>
      <c r="L16" s="25">
        <v>46205</v>
      </c>
      <c r="M16" s="25"/>
      <c r="N16" s="25">
        <v>46216</v>
      </c>
      <c r="O16" s="25"/>
      <c r="P16" s="25" t="s">
        <v>61</v>
      </c>
      <c r="Q16" s="23" t="s">
        <v>189</v>
      </c>
      <c r="R16" s="50"/>
    </row>
    <row r="17" spans="1:18" x14ac:dyDescent="0.25">
      <c r="A17" s="47">
        <v>27490</v>
      </c>
      <c r="B17" s="47">
        <v>1</v>
      </c>
      <c r="C17" s="48" t="s">
        <v>175</v>
      </c>
      <c r="D17" s="23">
        <v>299302</v>
      </c>
      <c r="E17" s="24" t="s">
        <v>211</v>
      </c>
      <c r="F17" s="49">
        <v>1</v>
      </c>
      <c r="G17" s="25">
        <v>46218</v>
      </c>
      <c r="H17" s="25">
        <v>46189</v>
      </c>
      <c r="I17" s="25"/>
      <c r="J17" s="25">
        <v>46199</v>
      </c>
      <c r="K17" s="25"/>
      <c r="L17" s="25" t="s">
        <v>77</v>
      </c>
      <c r="M17" s="25" t="s">
        <v>77</v>
      </c>
      <c r="N17" s="25" t="s">
        <v>77</v>
      </c>
      <c r="O17" s="25" t="s">
        <v>77</v>
      </c>
      <c r="P17" s="25" t="s">
        <v>61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178</v>
      </c>
      <c r="D18" s="23">
        <v>392292</v>
      </c>
      <c r="E18" s="24" t="s">
        <v>212</v>
      </c>
      <c r="F18" s="49">
        <v>1</v>
      </c>
      <c r="G18" s="25">
        <v>46218</v>
      </c>
      <c r="H18" s="25">
        <v>46204</v>
      </c>
      <c r="I18" s="25"/>
      <c r="J18" s="25">
        <v>46211</v>
      </c>
      <c r="K18" s="25"/>
      <c r="L18" s="25">
        <v>46218</v>
      </c>
      <c r="M18" s="25"/>
      <c r="N18" s="25">
        <v>46225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175</v>
      </c>
      <c r="D19" s="23">
        <v>299303</v>
      </c>
      <c r="E19" s="24" t="s">
        <v>213</v>
      </c>
      <c r="F19" s="49">
        <v>1</v>
      </c>
      <c r="G19" s="25">
        <v>46227</v>
      </c>
      <c r="H19" s="25">
        <v>46199</v>
      </c>
      <c r="I19" s="25"/>
      <c r="J19" s="25">
        <v>46206</v>
      </c>
      <c r="K19" s="25"/>
      <c r="L19" s="25" t="s">
        <v>77</v>
      </c>
      <c r="M19" s="25" t="s">
        <v>77</v>
      </c>
      <c r="N19" s="25" t="s">
        <v>77</v>
      </c>
      <c r="O19" s="25" t="s">
        <v>77</v>
      </c>
      <c r="P19" s="25" t="s">
        <v>61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175</v>
      </c>
      <c r="D20" s="23">
        <v>299217</v>
      </c>
      <c r="E20" s="24" t="s">
        <v>214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77</v>
      </c>
      <c r="M20" s="25" t="s">
        <v>77</v>
      </c>
      <c r="N20" s="25" t="s">
        <v>77</v>
      </c>
      <c r="O20" s="25" t="s">
        <v>77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175</v>
      </c>
      <c r="D21" s="23">
        <v>299209</v>
      </c>
      <c r="E21" s="24" t="s">
        <v>215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77</v>
      </c>
      <c r="M21" s="25" t="s">
        <v>77</v>
      </c>
      <c r="N21" s="25" t="s">
        <v>77</v>
      </c>
      <c r="O21" s="25" t="s">
        <v>77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175</v>
      </c>
      <c r="D22" s="23">
        <v>299217</v>
      </c>
      <c r="E22" s="24" t="s">
        <v>214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77</v>
      </c>
      <c r="M22" s="25" t="s">
        <v>77</v>
      </c>
      <c r="N22" s="25" t="s">
        <v>77</v>
      </c>
      <c r="O22" s="25" t="s">
        <v>77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179</v>
      </c>
      <c r="D23" s="23">
        <v>1573002</v>
      </c>
      <c r="E23" s="24" t="s">
        <v>130</v>
      </c>
      <c r="F23" s="49">
        <v>1</v>
      </c>
      <c r="G23" s="25">
        <v>46233</v>
      </c>
      <c r="H23" s="25" t="s">
        <v>77</v>
      </c>
      <c r="I23" s="25" t="s">
        <v>77</v>
      </c>
      <c r="J23" s="25" t="s">
        <v>77</v>
      </c>
      <c r="K23" s="25" t="s">
        <v>77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190</v>
      </c>
      <c r="R23" s="50"/>
    </row>
    <row r="24" spans="1:18" x14ac:dyDescent="0.25">
      <c r="A24" s="23">
        <v>27547</v>
      </c>
      <c r="B24" s="23">
        <v>2</v>
      </c>
      <c r="C24" s="24" t="s">
        <v>179</v>
      </c>
      <c r="D24" s="23">
        <v>1573001</v>
      </c>
      <c r="E24" s="24" t="s">
        <v>131</v>
      </c>
      <c r="F24" s="49">
        <v>1</v>
      </c>
      <c r="G24" s="25">
        <v>46233</v>
      </c>
      <c r="H24" s="25" t="s">
        <v>77</v>
      </c>
      <c r="I24" s="25" t="s">
        <v>77</v>
      </c>
      <c r="J24" s="25" t="s">
        <v>77</v>
      </c>
      <c r="K24" s="25" t="s">
        <v>77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190</v>
      </c>
      <c r="R24" s="50"/>
    </row>
    <row r="25" spans="1:18" x14ac:dyDescent="0.25">
      <c r="A25" s="23">
        <v>27575</v>
      </c>
      <c r="B25" s="23">
        <v>1</v>
      </c>
      <c r="C25" s="24" t="s">
        <v>180</v>
      </c>
      <c r="D25" s="23">
        <v>774016</v>
      </c>
      <c r="E25" s="24" t="s">
        <v>216</v>
      </c>
      <c r="F25" s="49">
        <v>1</v>
      </c>
      <c r="G25" s="25">
        <v>46239</v>
      </c>
      <c r="H25" s="25" t="s">
        <v>77</v>
      </c>
      <c r="I25" s="25" t="s">
        <v>77</v>
      </c>
      <c r="J25" s="25" t="s">
        <v>77</v>
      </c>
      <c r="K25" s="25" t="s">
        <v>77</v>
      </c>
      <c r="L25" s="25">
        <v>46220</v>
      </c>
      <c r="M25" s="25"/>
      <c r="N25" s="25">
        <v>46238</v>
      </c>
      <c r="O25" s="25"/>
      <c r="P25" s="25" t="s">
        <v>61</v>
      </c>
      <c r="Q25" s="23" t="s">
        <v>191</v>
      </c>
      <c r="R25" s="50"/>
    </row>
    <row r="26" spans="1:18" x14ac:dyDescent="0.25">
      <c r="A26" s="23">
        <v>27575</v>
      </c>
      <c r="B26" s="23">
        <v>2</v>
      </c>
      <c r="C26" s="24" t="s">
        <v>180</v>
      </c>
      <c r="D26" s="23">
        <v>774016</v>
      </c>
      <c r="E26" s="24" t="s">
        <v>216</v>
      </c>
      <c r="F26" s="49">
        <v>1</v>
      </c>
      <c r="G26" s="25">
        <v>46239</v>
      </c>
      <c r="H26" s="25" t="s">
        <v>77</v>
      </c>
      <c r="I26" s="25" t="s">
        <v>77</v>
      </c>
      <c r="J26" s="25" t="s">
        <v>77</v>
      </c>
      <c r="K26" s="25" t="s">
        <v>77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191</v>
      </c>
      <c r="R26" s="50"/>
    </row>
    <row r="27" spans="1:18" x14ac:dyDescent="0.25">
      <c r="A27" s="23">
        <v>27575</v>
      </c>
      <c r="B27" s="23">
        <v>3</v>
      </c>
      <c r="C27" s="24" t="s">
        <v>180</v>
      </c>
      <c r="D27" s="23">
        <v>774017</v>
      </c>
      <c r="E27" s="24" t="s">
        <v>217</v>
      </c>
      <c r="F27" s="49">
        <v>1</v>
      </c>
      <c r="G27" s="25">
        <v>46239</v>
      </c>
      <c r="H27" s="25" t="s">
        <v>77</v>
      </c>
      <c r="I27" s="25" t="s">
        <v>77</v>
      </c>
      <c r="J27" s="25" t="s">
        <v>77</v>
      </c>
      <c r="K27" s="25" t="s">
        <v>77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191</v>
      </c>
      <c r="R27" s="50"/>
    </row>
    <row r="28" spans="1:18" x14ac:dyDescent="0.25">
      <c r="A28" s="23">
        <v>27575</v>
      </c>
      <c r="B28" s="23">
        <v>4</v>
      </c>
      <c r="C28" s="24" t="s">
        <v>180</v>
      </c>
      <c r="D28" s="23">
        <v>774017</v>
      </c>
      <c r="E28" s="24" t="s">
        <v>217</v>
      </c>
      <c r="F28" s="49">
        <v>1</v>
      </c>
      <c r="G28" s="25">
        <v>46239</v>
      </c>
      <c r="H28" s="25" t="s">
        <v>77</v>
      </c>
      <c r="I28" s="25" t="s">
        <v>77</v>
      </c>
      <c r="J28" s="25" t="s">
        <v>77</v>
      </c>
      <c r="K28" s="25" t="s">
        <v>77</v>
      </c>
      <c r="L28" s="25">
        <v>46220</v>
      </c>
      <c r="M28" s="25"/>
      <c r="N28" s="25">
        <v>46238</v>
      </c>
      <c r="O28" s="25"/>
      <c r="P28" s="25" t="s">
        <v>61</v>
      </c>
      <c r="Q28" s="23" t="s">
        <v>191</v>
      </c>
      <c r="R28" s="50"/>
    </row>
    <row r="29" spans="1:18" x14ac:dyDescent="0.25">
      <c r="A29" s="23">
        <v>27524</v>
      </c>
      <c r="B29" s="23">
        <v>1</v>
      </c>
      <c r="C29" s="24" t="s">
        <v>175</v>
      </c>
      <c r="D29" s="23">
        <v>299528</v>
      </c>
      <c r="E29" s="24" t="s">
        <v>218</v>
      </c>
      <c r="F29" s="49">
        <v>1</v>
      </c>
      <c r="G29" s="25">
        <v>46245</v>
      </c>
      <c r="H29" s="25" t="s">
        <v>77</v>
      </c>
      <c r="I29" s="25" t="s">
        <v>77</v>
      </c>
      <c r="J29" s="25" t="s">
        <v>77</v>
      </c>
      <c r="K29" s="25" t="s">
        <v>77</v>
      </c>
      <c r="L29" s="25">
        <v>46234</v>
      </c>
      <c r="M29" s="25"/>
      <c r="N29" s="25">
        <v>46244</v>
      </c>
      <c r="O29" s="25"/>
      <c r="P29" s="25" t="s">
        <v>61</v>
      </c>
      <c r="Q29" s="23" t="s">
        <v>189</v>
      </c>
      <c r="R29" s="50"/>
    </row>
    <row r="30" spans="1:18" x14ac:dyDescent="0.25">
      <c r="A30" s="23">
        <v>27587</v>
      </c>
      <c r="B30" s="23">
        <v>1</v>
      </c>
      <c r="C30" s="24" t="s">
        <v>184</v>
      </c>
      <c r="D30" s="23">
        <v>1608001</v>
      </c>
      <c r="E30" s="24" t="s">
        <v>219</v>
      </c>
      <c r="F30" s="49">
        <v>1</v>
      </c>
      <c r="G30" s="25">
        <v>46246</v>
      </c>
      <c r="H30" s="25">
        <v>46213</v>
      </c>
      <c r="I30" s="25"/>
      <c r="J30" s="25">
        <v>46226</v>
      </c>
      <c r="K30" s="25"/>
      <c r="L30" s="25" t="s">
        <v>77</v>
      </c>
      <c r="M30" s="25" t="s">
        <v>77</v>
      </c>
      <c r="N30" s="25" t="s">
        <v>77</v>
      </c>
      <c r="O30" s="25" t="s">
        <v>77</v>
      </c>
      <c r="P30" s="25" t="s">
        <v>61</v>
      </c>
      <c r="Q30" s="23">
        <v>124</v>
      </c>
      <c r="R30" s="50"/>
    </row>
    <row r="31" spans="1:18" x14ac:dyDescent="0.25">
      <c r="A31" s="23">
        <v>27587</v>
      </c>
      <c r="B31" s="23">
        <v>2</v>
      </c>
      <c r="C31" s="24" t="s">
        <v>184</v>
      </c>
      <c r="D31" s="23">
        <v>1608002</v>
      </c>
      <c r="E31" s="24" t="s">
        <v>219</v>
      </c>
      <c r="F31" s="49">
        <v>1</v>
      </c>
      <c r="G31" s="25">
        <v>46246</v>
      </c>
      <c r="H31" s="25">
        <v>46213</v>
      </c>
      <c r="I31" s="25"/>
      <c r="J31" s="25">
        <v>46226</v>
      </c>
      <c r="K31" s="25"/>
      <c r="L31" s="25" t="s">
        <v>77</v>
      </c>
      <c r="M31" s="25" t="s">
        <v>77</v>
      </c>
      <c r="N31" s="25" t="s">
        <v>77</v>
      </c>
      <c r="O31" s="25" t="s">
        <v>77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3</v>
      </c>
      <c r="C32" s="24" t="s">
        <v>184</v>
      </c>
      <c r="D32" s="23">
        <v>1608002</v>
      </c>
      <c r="E32" s="24" t="s">
        <v>219</v>
      </c>
      <c r="F32" s="49">
        <v>1</v>
      </c>
      <c r="G32" s="25">
        <v>46246</v>
      </c>
      <c r="H32" s="25">
        <v>46213</v>
      </c>
      <c r="I32" s="25"/>
      <c r="J32" s="25">
        <v>46226</v>
      </c>
      <c r="K32" s="25"/>
      <c r="L32" s="25" t="s">
        <v>77</v>
      </c>
      <c r="M32" s="25" t="s">
        <v>77</v>
      </c>
      <c r="N32" s="25" t="s">
        <v>77</v>
      </c>
      <c r="O32" s="25" t="s">
        <v>77</v>
      </c>
      <c r="P32" s="25" t="s">
        <v>61</v>
      </c>
      <c r="Q32" s="23">
        <v>124</v>
      </c>
      <c r="R32" s="50"/>
    </row>
    <row r="33" spans="1:18" x14ac:dyDescent="0.25">
      <c r="A33" s="23">
        <v>27593</v>
      </c>
      <c r="B33" s="23">
        <v>1</v>
      </c>
      <c r="C33" s="24" t="s">
        <v>185</v>
      </c>
      <c r="D33" s="23">
        <v>1609001</v>
      </c>
      <c r="E33" s="24" t="s">
        <v>220</v>
      </c>
      <c r="F33" s="49">
        <v>1</v>
      </c>
      <c r="G33" s="25">
        <v>46253</v>
      </c>
      <c r="H33" s="27">
        <v>46213</v>
      </c>
      <c r="I33" s="27"/>
      <c r="J33" s="27">
        <v>46228</v>
      </c>
      <c r="K33" s="27"/>
      <c r="L33" s="26" t="s">
        <v>77</v>
      </c>
      <c r="M33" s="26" t="s">
        <v>77</v>
      </c>
      <c r="N33" s="26" t="s">
        <v>77</v>
      </c>
      <c r="O33" s="26" t="s">
        <v>77</v>
      </c>
      <c r="P33" s="25" t="s">
        <v>61</v>
      </c>
      <c r="Q33" s="26" t="s">
        <v>192</v>
      </c>
      <c r="R33" s="50"/>
    </row>
    <row r="34" spans="1:18" x14ac:dyDescent="0.25">
      <c r="A34" s="23">
        <v>27599</v>
      </c>
      <c r="B34" s="23">
        <v>1</v>
      </c>
      <c r="C34" s="48" t="s">
        <v>175</v>
      </c>
      <c r="D34" s="23">
        <v>299374</v>
      </c>
      <c r="E34" s="24" t="s">
        <v>221</v>
      </c>
      <c r="F34" s="49">
        <v>1</v>
      </c>
      <c r="G34" s="25">
        <v>46254</v>
      </c>
      <c r="H34" s="27">
        <v>46220</v>
      </c>
      <c r="I34" s="27"/>
      <c r="J34" s="27">
        <v>46234</v>
      </c>
      <c r="K34" s="27"/>
      <c r="L34" s="26" t="s">
        <v>77</v>
      </c>
      <c r="M34" s="26" t="s">
        <v>77</v>
      </c>
      <c r="N34" s="26" t="s">
        <v>77</v>
      </c>
      <c r="O34" s="26" t="s">
        <v>77</v>
      </c>
      <c r="P34" s="25" t="s">
        <v>61</v>
      </c>
      <c r="Q34" s="26">
        <v>285</v>
      </c>
      <c r="R34" s="50"/>
    </row>
    <row r="35" spans="1:18" x14ac:dyDescent="0.25">
      <c r="A35" s="23">
        <v>27542</v>
      </c>
      <c r="B35" s="23">
        <v>1</v>
      </c>
      <c r="C35" s="48" t="s">
        <v>175</v>
      </c>
      <c r="D35" s="23">
        <v>299528</v>
      </c>
      <c r="E35" s="24" t="s">
        <v>218</v>
      </c>
      <c r="F35" s="49">
        <v>1</v>
      </c>
      <c r="G35" s="25">
        <v>46255</v>
      </c>
      <c r="H35" s="26" t="s">
        <v>77</v>
      </c>
      <c r="I35" s="26" t="s">
        <v>77</v>
      </c>
      <c r="J35" s="26" t="s">
        <v>77</v>
      </c>
      <c r="K35" s="26" t="s">
        <v>77</v>
      </c>
      <c r="L35" s="27">
        <v>46241</v>
      </c>
      <c r="M35" s="27"/>
      <c r="N35" s="27">
        <v>46254</v>
      </c>
      <c r="O35" s="27"/>
      <c r="P35" s="25" t="s">
        <v>61</v>
      </c>
      <c r="Q35" s="26" t="s">
        <v>189</v>
      </c>
      <c r="R35" s="50"/>
    </row>
    <row r="36" spans="1:18" x14ac:dyDescent="0.25">
      <c r="A36" s="23">
        <v>27600</v>
      </c>
      <c r="B36" s="23">
        <v>1</v>
      </c>
      <c r="C36" s="24" t="s">
        <v>183</v>
      </c>
      <c r="D36" s="23" t="s">
        <v>77</v>
      </c>
      <c r="E36" s="24" t="s">
        <v>222</v>
      </c>
      <c r="F36" s="49">
        <v>1</v>
      </c>
      <c r="G36" s="25">
        <v>46259</v>
      </c>
      <c r="H36" s="27" t="s">
        <v>77</v>
      </c>
      <c r="I36" s="26" t="s">
        <v>77</v>
      </c>
      <c r="J36" s="26" t="s">
        <v>77</v>
      </c>
      <c r="K36" s="26" t="s">
        <v>77</v>
      </c>
      <c r="L36" s="27">
        <v>46248</v>
      </c>
      <c r="M36" s="27"/>
      <c r="N36" s="27">
        <v>46255</v>
      </c>
      <c r="O36" s="27"/>
      <c r="P36" s="25" t="s">
        <v>61</v>
      </c>
      <c r="Q36" s="26">
        <v>285</v>
      </c>
      <c r="R36" s="50"/>
    </row>
    <row r="37" spans="1:18" x14ac:dyDescent="0.25">
      <c r="A37" s="23">
        <v>27600</v>
      </c>
      <c r="B37" s="23">
        <v>5</v>
      </c>
      <c r="C37" s="24" t="s">
        <v>183</v>
      </c>
      <c r="D37" s="23" t="s">
        <v>77</v>
      </c>
      <c r="E37" s="24" t="s">
        <v>223</v>
      </c>
      <c r="F37" s="49">
        <v>1</v>
      </c>
      <c r="G37" s="25">
        <v>46259</v>
      </c>
      <c r="H37" s="27" t="s">
        <v>77</v>
      </c>
      <c r="I37" s="26" t="s">
        <v>77</v>
      </c>
      <c r="J37" s="26" t="s">
        <v>77</v>
      </c>
      <c r="K37" s="26" t="s">
        <v>77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9</v>
      </c>
      <c r="C38" s="24" t="s">
        <v>183</v>
      </c>
      <c r="D38" s="23" t="s">
        <v>77</v>
      </c>
      <c r="E38" s="24" t="s">
        <v>222</v>
      </c>
      <c r="F38" s="49">
        <v>1</v>
      </c>
      <c r="G38" s="25">
        <v>46259</v>
      </c>
      <c r="H38" s="27" t="s">
        <v>77</v>
      </c>
      <c r="I38" s="26" t="s">
        <v>77</v>
      </c>
      <c r="J38" s="26" t="s">
        <v>77</v>
      </c>
      <c r="K38" s="26" t="s">
        <v>77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13</v>
      </c>
      <c r="C39" s="24" t="s">
        <v>183</v>
      </c>
      <c r="D39" s="23" t="s">
        <v>77</v>
      </c>
      <c r="E39" s="24" t="s">
        <v>223</v>
      </c>
      <c r="F39" s="49">
        <v>1</v>
      </c>
      <c r="G39" s="25">
        <v>46259</v>
      </c>
      <c r="H39" s="27" t="s">
        <v>77</v>
      </c>
      <c r="I39" s="26" t="s">
        <v>77</v>
      </c>
      <c r="J39" s="26" t="s">
        <v>77</v>
      </c>
      <c r="K39" s="26" t="s">
        <v>77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2</v>
      </c>
      <c r="C40" s="24" t="s">
        <v>183</v>
      </c>
      <c r="D40" s="23" t="s">
        <v>77</v>
      </c>
      <c r="E40" s="24" t="s">
        <v>222</v>
      </c>
      <c r="F40" s="49">
        <v>1</v>
      </c>
      <c r="G40" s="25">
        <v>46269</v>
      </c>
      <c r="H40" s="27" t="s">
        <v>77</v>
      </c>
      <c r="I40" s="26" t="s">
        <v>77</v>
      </c>
      <c r="J40" s="26" t="s">
        <v>77</v>
      </c>
      <c r="K40" s="26" t="s">
        <v>77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6</v>
      </c>
      <c r="C41" s="24" t="s">
        <v>183</v>
      </c>
      <c r="D41" s="23" t="s">
        <v>77</v>
      </c>
      <c r="E41" s="24" t="s">
        <v>223</v>
      </c>
      <c r="F41" s="49">
        <v>1</v>
      </c>
      <c r="G41" s="25">
        <v>46269</v>
      </c>
      <c r="H41" s="27" t="s">
        <v>77</v>
      </c>
      <c r="I41" s="26" t="s">
        <v>77</v>
      </c>
      <c r="J41" s="26" t="s">
        <v>77</v>
      </c>
      <c r="K41" s="26" t="s">
        <v>77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10</v>
      </c>
      <c r="C42" s="24" t="s">
        <v>183</v>
      </c>
      <c r="D42" s="23" t="s">
        <v>77</v>
      </c>
      <c r="E42" s="24" t="s">
        <v>222</v>
      </c>
      <c r="F42" s="49">
        <v>1</v>
      </c>
      <c r="G42" s="25">
        <v>46269</v>
      </c>
      <c r="H42" s="27" t="s">
        <v>77</v>
      </c>
      <c r="I42" s="26" t="s">
        <v>77</v>
      </c>
      <c r="J42" s="26" t="s">
        <v>77</v>
      </c>
      <c r="K42" s="26" t="s">
        <v>77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14</v>
      </c>
      <c r="C43" s="24" t="s">
        <v>183</v>
      </c>
      <c r="D43" s="23" t="s">
        <v>77</v>
      </c>
      <c r="E43" s="24" t="s">
        <v>223</v>
      </c>
      <c r="F43" s="49">
        <v>1</v>
      </c>
      <c r="G43" s="25">
        <v>46269</v>
      </c>
      <c r="H43" s="27" t="s">
        <v>77</v>
      </c>
      <c r="I43" s="26" t="s">
        <v>77</v>
      </c>
      <c r="J43" s="26" t="s">
        <v>77</v>
      </c>
      <c r="K43" s="26" t="s">
        <v>77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27496</v>
      </c>
      <c r="B44" s="23">
        <v>1</v>
      </c>
      <c r="C44" s="24" t="s">
        <v>175</v>
      </c>
      <c r="D44" s="23">
        <v>299208</v>
      </c>
      <c r="E44" s="24" t="s">
        <v>224</v>
      </c>
      <c r="F44" s="49">
        <v>1</v>
      </c>
      <c r="G44" s="25">
        <v>46269</v>
      </c>
      <c r="H44" s="27">
        <v>46206</v>
      </c>
      <c r="I44" s="27"/>
      <c r="J44" s="27">
        <v>46213</v>
      </c>
      <c r="K44" s="27"/>
      <c r="L44" s="26" t="s">
        <v>77</v>
      </c>
      <c r="M44" s="26" t="s">
        <v>77</v>
      </c>
      <c r="N44" s="26" t="s">
        <v>77</v>
      </c>
      <c r="O44" s="26" t="s">
        <v>77</v>
      </c>
      <c r="P44" s="25" t="s">
        <v>61</v>
      </c>
      <c r="Q44" s="26">
        <v>285</v>
      </c>
      <c r="R44" s="50"/>
    </row>
    <row r="45" spans="1:18" x14ac:dyDescent="0.25">
      <c r="A45" s="23">
        <v>27600</v>
      </c>
      <c r="B45" s="23">
        <v>3</v>
      </c>
      <c r="C45" s="24" t="s">
        <v>183</v>
      </c>
      <c r="D45" s="23" t="s">
        <v>77</v>
      </c>
      <c r="E45" s="24" t="s">
        <v>222</v>
      </c>
      <c r="F45" s="49">
        <v>1</v>
      </c>
      <c r="G45" s="25">
        <v>46279</v>
      </c>
      <c r="H45" s="27" t="s">
        <v>77</v>
      </c>
      <c r="I45" s="27" t="s">
        <v>77</v>
      </c>
      <c r="J45" s="26" t="s">
        <v>77</v>
      </c>
      <c r="K45" s="27" t="s">
        <v>77</v>
      </c>
      <c r="L45" s="27">
        <v>46248</v>
      </c>
      <c r="M45" s="27"/>
      <c r="N45" s="27">
        <v>46255</v>
      </c>
      <c r="O45" s="27"/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7</v>
      </c>
      <c r="C46" s="24" t="s">
        <v>183</v>
      </c>
      <c r="D46" s="23" t="s">
        <v>77</v>
      </c>
      <c r="E46" s="24" t="s">
        <v>223</v>
      </c>
      <c r="F46" s="49">
        <v>1</v>
      </c>
      <c r="G46" s="25">
        <v>46279</v>
      </c>
      <c r="H46" s="27" t="s">
        <v>77</v>
      </c>
      <c r="I46" s="27" t="s">
        <v>77</v>
      </c>
      <c r="J46" s="26" t="s">
        <v>77</v>
      </c>
      <c r="K46" s="27" t="s">
        <v>77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11</v>
      </c>
      <c r="C47" s="24" t="s">
        <v>183</v>
      </c>
      <c r="D47" s="23" t="s">
        <v>77</v>
      </c>
      <c r="E47" s="24" t="s">
        <v>222</v>
      </c>
      <c r="F47" s="49">
        <v>1</v>
      </c>
      <c r="G47" s="25">
        <v>46279</v>
      </c>
      <c r="H47" s="27" t="s">
        <v>77</v>
      </c>
      <c r="I47" s="27" t="s">
        <v>77</v>
      </c>
      <c r="J47" s="26" t="s">
        <v>77</v>
      </c>
      <c r="K47" s="27" t="s">
        <v>77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15</v>
      </c>
      <c r="C48" s="24" t="s">
        <v>183</v>
      </c>
      <c r="D48" s="23" t="s">
        <v>77</v>
      </c>
      <c r="E48" s="24" t="s">
        <v>223</v>
      </c>
      <c r="F48" s="49">
        <v>1</v>
      </c>
      <c r="G48" s="25">
        <v>46279</v>
      </c>
      <c r="H48" s="27" t="s">
        <v>77</v>
      </c>
      <c r="I48" s="27" t="s">
        <v>77</v>
      </c>
      <c r="J48" s="26" t="s">
        <v>77</v>
      </c>
      <c r="K48" s="27" t="s">
        <v>77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4</v>
      </c>
      <c r="C49" s="24" t="s">
        <v>183</v>
      </c>
      <c r="D49" s="23" t="s">
        <v>77</v>
      </c>
      <c r="E49" s="24" t="s">
        <v>222</v>
      </c>
      <c r="F49" s="49">
        <v>1</v>
      </c>
      <c r="G49" s="25">
        <v>46289</v>
      </c>
      <c r="H49" s="27" t="s">
        <v>77</v>
      </c>
      <c r="I49" s="27" t="s">
        <v>77</v>
      </c>
      <c r="J49" s="26" t="s">
        <v>77</v>
      </c>
      <c r="K49" s="27" t="s">
        <v>77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8</v>
      </c>
      <c r="C50" s="24" t="s">
        <v>183</v>
      </c>
      <c r="D50" s="23" t="s">
        <v>77</v>
      </c>
      <c r="E50" s="24" t="s">
        <v>223</v>
      </c>
      <c r="F50" s="49">
        <v>1</v>
      </c>
      <c r="G50" s="25">
        <v>46289</v>
      </c>
      <c r="H50" s="27" t="s">
        <v>77</v>
      </c>
      <c r="I50" s="27" t="s">
        <v>77</v>
      </c>
      <c r="J50" s="26" t="s">
        <v>77</v>
      </c>
      <c r="K50" s="27" t="s">
        <v>77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12</v>
      </c>
      <c r="C51" s="24" t="s">
        <v>183</v>
      </c>
      <c r="D51" s="23" t="s">
        <v>77</v>
      </c>
      <c r="E51" s="24" t="s">
        <v>222</v>
      </c>
      <c r="F51" s="49">
        <v>1</v>
      </c>
      <c r="G51" s="25">
        <v>46289</v>
      </c>
      <c r="H51" s="27" t="s">
        <v>77</v>
      </c>
      <c r="I51" s="27" t="s">
        <v>77</v>
      </c>
      <c r="J51" s="26" t="s">
        <v>77</v>
      </c>
      <c r="K51" s="27" t="s">
        <v>77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16</v>
      </c>
      <c r="C52" s="24" t="s">
        <v>183</v>
      </c>
      <c r="D52" s="23" t="s">
        <v>77</v>
      </c>
      <c r="E52" s="24" t="s">
        <v>223</v>
      </c>
      <c r="F52" s="49">
        <v>1</v>
      </c>
      <c r="G52" s="25">
        <v>46289</v>
      </c>
      <c r="H52" s="27" t="s">
        <v>77</v>
      </c>
      <c r="I52" s="27" t="s">
        <v>77</v>
      </c>
      <c r="J52" s="26" t="s">
        <v>77</v>
      </c>
      <c r="K52" s="27" t="s">
        <v>77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27597</v>
      </c>
      <c r="B53" s="23">
        <v>1</v>
      </c>
      <c r="C53" s="24" t="s">
        <v>175</v>
      </c>
      <c r="D53" s="23">
        <v>299303</v>
      </c>
      <c r="E53" s="24" t="s">
        <v>225</v>
      </c>
      <c r="F53" s="49">
        <v>1</v>
      </c>
      <c r="G53" s="25">
        <v>46332</v>
      </c>
      <c r="H53" s="27">
        <v>46297</v>
      </c>
      <c r="I53" s="27"/>
      <c r="J53" s="27">
        <v>46307</v>
      </c>
      <c r="K53" s="27"/>
      <c r="L53" s="26" t="s">
        <v>77</v>
      </c>
      <c r="M53" s="26" t="s">
        <v>77</v>
      </c>
      <c r="N53" s="26" t="s">
        <v>77</v>
      </c>
      <c r="O53" s="26" t="s">
        <v>77</v>
      </c>
      <c r="P53" s="25" t="s">
        <v>61</v>
      </c>
      <c r="Q53" s="26">
        <v>496</v>
      </c>
      <c r="R53" s="50"/>
    </row>
  </sheetData>
  <autoFilter ref="A1:N53" xr:uid="{276B14C1-1A52-4B27-91DF-D329FDD63C7A}"/>
  <pageMargins left="0.25" right="0.25" top="0.75" bottom="0.75" header="0.3" footer="0.3"/>
  <pageSetup paperSize="9" scale="3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BAGACEIRAS</vt:lpstr>
      <vt:lpstr>PENTES</vt:lpstr>
      <vt:lpstr>RODETES NOVOS</vt:lpstr>
      <vt:lpstr>PERIFÉRICOS</vt:lpstr>
      <vt:lpstr>REFORMA DIVERSAS</vt:lpstr>
      <vt:lpstr>CAMISA e EIXO</vt:lpstr>
      <vt:lpstr>VI DIVERSOS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2026-06-24T18:11:35Z</cp:lastPrinted>
  <dcterms:created xsi:type="dcterms:W3CDTF">2026-04-23T13:37:28Z</dcterms:created>
  <dcterms:modified xsi:type="dcterms:W3CDTF">2026-06-25T19:41:57Z</dcterms:modified>
</cp:coreProperties>
</file>