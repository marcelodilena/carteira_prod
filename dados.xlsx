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-fls\PCP Equipamentos\PCP AÇÚCAR E ETANOL 2026_2027\Programação\GitHub\"/>
    </mc:Choice>
  </mc:AlternateContent>
  <xr:revisionPtr revIDLastSave="0" documentId="13_ncr:1_{A55803FC-9A48-4DD0-A89C-77724A876298}" xr6:coauthVersionLast="47" xr6:coauthVersionMax="47" xr10:uidLastSave="{00000000-0000-0000-0000-000000000000}"/>
  <bookViews>
    <workbookView xWindow="-120" yWindow="-120" windowWidth="29040" windowHeight="15720" xr2:uid="{1CF907DD-3526-475F-8A93-BDC6F789D12C}"/>
  </bookViews>
  <sheets>
    <sheet name="BAGACEIRAS" sheetId="2" r:id="rId1"/>
    <sheet name="PENTES" sheetId="8" r:id="rId2"/>
    <sheet name="RODETES NOVOS" sheetId="6" r:id="rId3"/>
    <sheet name="REFORMA DIVERSAS" sheetId="11" r:id="rId4"/>
    <sheet name="PERIFÉRICOS" sheetId="9" r:id="rId5"/>
    <sheet name="CAMISAS" sheetId="7" r:id="rId6"/>
    <sheet name="EIXOS" sheetId="12" r:id="rId7"/>
    <sheet name="VI DIVERSOS" sheetId="10" r:id="rId8"/>
    <sheet name="Manganês" sheetId="13" r:id="rId9"/>
    <sheet name="PLANEJADO BAGACEIRA" sheetId="5" state="hidden" r:id="rId10"/>
  </sheets>
  <definedNames>
    <definedName name="_xlnm._FilterDatabase" localSheetId="8" hidden="1">Manganês!$A$1:$I$113</definedName>
    <definedName name="_xlnm._FilterDatabase" localSheetId="7" hidden="1">'VI DIVERSOS'!$A$1:$R$54</definedName>
    <definedName name="_xlnm.Print_Area" localSheetId="0">BAGACEIRAS!$A$1:$AD$119</definedName>
    <definedName name="_xlnm.Print_Area" localSheetId="7">'VI DIVERSOS'!$A$1:$R$54</definedName>
    <definedName name="_xlnm.Print_Titles" localSheetId="0">BAGACEIRAS!$1:$1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05" i="8" l="1"/>
  <c r="O205" i="8" s="1"/>
  <c r="N206" i="8"/>
  <c r="O206" i="8" s="1"/>
  <c r="N207" i="8"/>
  <c r="O207" i="8" s="1"/>
  <c r="N208" i="8"/>
  <c r="O208" i="8" s="1"/>
  <c r="N209" i="8"/>
  <c r="O209" i="8" s="1"/>
  <c r="N210" i="8"/>
  <c r="O210" i="8" s="1"/>
  <c r="N211" i="8"/>
  <c r="O211" i="8" s="1"/>
  <c r="N212" i="8"/>
  <c r="O212" i="8" s="1"/>
  <c r="N213" i="8"/>
  <c r="O213" i="8" s="1"/>
  <c r="N214" i="8"/>
  <c r="O214" i="8" s="1"/>
  <c r="N204" i="8"/>
  <c r="O204" i="8" s="1"/>
  <c r="N200" i="8"/>
  <c r="O200" i="8" s="1"/>
  <c r="N201" i="8"/>
  <c r="O201" i="8" s="1"/>
  <c r="N202" i="8"/>
  <c r="O202" i="8" s="1"/>
  <c r="N203" i="8"/>
  <c r="O203" i="8" s="1"/>
  <c r="N199" i="8"/>
  <c r="O199" i="8" s="1"/>
  <c r="X39" i="2"/>
  <c r="L141" i="9" l="1"/>
  <c r="M141" i="9" s="1"/>
  <c r="L142" i="9"/>
  <c r="M142" i="9" s="1"/>
  <c r="L143" i="9"/>
  <c r="M143" i="9" s="1"/>
  <c r="L144" i="9"/>
  <c r="M144" i="9" s="1"/>
  <c r="L145" i="9"/>
  <c r="M145" i="9" s="1"/>
  <c r="L146" i="9"/>
  <c r="M146" i="9" s="1"/>
  <c r="L147" i="9"/>
  <c r="M147" i="9" s="1"/>
  <c r="L140" i="9"/>
  <c r="M140" i="9" s="1"/>
  <c r="L138" i="9" l="1"/>
  <c r="M138" i="9" s="1"/>
  <c r="L139" i="9"/>
  <c r="M139" i="9" s="1"/>
  <c r="L128" i="9"/>
  <c r="M128" i="9" s="1"/>
  <c r="L129" i="9"/>
  <c r="M129" i="9" s="1"/>
  <c r="L130" i="9"/>
  <c r="M130" i="9" s="1"/>
  <c r="L131" i="9"/>
  <c r="M131" i="9" s="1"/>
  <c r="L132" i="9"/>
  <c r="M132" i="9" s="1"/>
  <c r="L133" i="9"/>
  <c r="M133" i="9" s="1"/>
  <c r="L134" i="9"/>
  <c r="M134" i="9" s="1"/>
  <c r="L135" i="9"/>
  <c r="M135" i="9" s="1"/>
  <c r="L136" i="9"/>
  <c r="M136" i="9" s="1"/>
  <c r="L137" i="9"/>
  <c r="M137" i="9" s="1"/>
  <c r="L125" i="9"/>
  <c r="M125" i="9" s="1"/>
  <c r="L126" i="9"/>
  <c r="M126" i="9" s="1"/>
  <c r="L127" i="9"/>
  <c r="M127" i="9" s="1"/>
  <c r="L124" i="9"/>
  <c r="M124" i="9" s="1"/>
  <c r="L56" i="6"/>
  <c r="M56" i="6" s="1"/>
  <c r="X56" i="6"/>
  <c r="L55" i="6"/>
  <c r="M55" i="6" s="1"/>
  <c r="X55" i="6"/>
  <c r="N168" i="8"/>
  <c r="O168" i="8" s="1"/>
  <c r="N169" i="8"/>
  <c r="O169" i="8" s="1"/>
  <c r="N170" i="8"/>
  <c r="O170" i="8" s="1"/>
  <c r="N171" i="8"/>
  <c r="O171" i="8" s="1"/>
  <c r="N172" i="8"/>
  <c r="O172" i="8" s="1"/>
  <c r="N173" i="8"/>
  <c r="O173" i="8" s="1"/>
  <c r="N174" i="8"/>
  <c r="O174" i="8" s="1"/>
  <c r="N175" i="8"/>
  <c r="O175" i="8" s="1"/>
  <c r="N176" i="8"/>
  <c r="O176" i="8" s="1"/>
  <c r="N177" i="8"/>
  <c r="O177" i="8" s="1"/>
  <c r="N178" i="8"/>
  <c r="O178" i="8" s="1"/>
  <c r="N179" i="8"/>
  <c r="O179" i="8" s="1"/>
  <c r="N180" i="8"/>
  <c r="O180" i="8" s="1"/>
  <c r="N181" i="8"/>
  <c r="O181" i="8" s="1"/>
  <c r="N182" i="8"/>
  <c r="O182" i="8" s="1"/>
  <c r="N183" i="8"/>
  <c r="O183" i="8" s="1"/>
  <c r="N184" i="8"/>
  <c r="O184" i="8" s="1"/>
  <c r="N185" i="8"/>
  <c r="O185" i="8" s="1"/>
  <c r="N186" i="8"/>
  <c r="O186" i="8" s="1"/>
  <c r="N187" i="8"/>
  <c r="O187" i="8" s="1"/>
  <c r="N188" i="8"/>
  <c r="O188" i="8" s="1"/>
  <c r="N189" i="8"/>
  <c r="O189" i="8" s="1"/>
  <c r="N190" i="8"/>
  <c r="O190" i="8" s="1"/>
  <c r="N191" i="8"/>
  <c r="O191" i="8" s="1"/>
  <c r="N192" i="8"/>
  <c r="O192" i="8" s="1"/>
  <c r="N193" i="8"/>
  <c r="O193" i="8" s="1"/>
  <c r="N194" i="8"/>
  <c r="O194" i="8" s="1"/>
  <c r="N195" i="8"/>
  <c r="O195" i="8" s="1"/>
  <c r="N196" i="8"/>
  <c r="O196" i="8" s="1"/>
  <c r="N197" i="8"/>
  <c r="O197" i="8" s="1"/>
  <c r="N198" i="8"/>
  <c r="O198" i="8" s="1"/>
  <c r="L116" i="2"/>
  <c r="M116" i="2" s="1"/>
  <c r="L117" i="2"/>
  <c r="M117" i="2" s="1"/>
  <c r="L118" i="2"/>
  <c r="M118" i="2" s="1"/>
  <c r="L119" i="2"/>
  <c r="M119" i="2" s="1"/>
  <c r="L120" i="2"/>
  <c r="M120" i="2" s="1"/>
  <c r="X116" i="2"/>
  <c r="X117" i="2"/>
  <c r="X118" i="2"/>
  <c r="X119" i="2"/>
  <c r="X120" i="2"/>
  <c r="L115" i="2"/>
  <c r="M115" i="2" s="1"/>
  <c r="X115" i="2"/>
  <c r="L53" i="6"/>
  <c r="M53" i="6" s="1"/>
  <c r="L54" i="6"/>
  <c r="M54" i="6" s="1"/>
  <c r="X53" i="6"/>
  <c r="X54" i="6"/>
  <c r="L52" i="6"/>
  <c r="M52" i="6" s="1"/>
  <c r="X52" i="6"/>
  <c r="L41" i="6"/>
  <c r="M41" i="6" s="1"/>
  <c r="L42" i="6"/>
  <c r="M42" i="6" s="1"/>
  <c r="L43" i="6"/>
  <c r="M43" i="6" s="1"/>
  <c r="L44" i="6"/>
  <c r="M44" i="6" s="1"/>
  <c r="L45" i="6"/>
  <c r="M45" i="6" s="1"/>
  <c r="L46" i="6"/>
  <c r="M46" i="6" s="1"/>
  <c r="L47" i="6"/>
  <c r="M47" i="6" s="1"/>
  <c r="L48" i="6"/>
  <c r="M48" i="6" s="1"/>
  <c r="L49" i="6"/>
  <c r="M49" i="6" s="1"/>
  <c r="L50" i="6"/>
  <c r="M50" i="6" s="1"/>
  <c r="L51" i="6"/>
  <c r="M51" i="6" s="1"/>
  <c r="X41" i="6"/>
  <c r="X42" i="6"/>
  <c r="X43" i="6"/>
  <c r="X44" i="6"/>
  <c r="X45" i="6"/>
  <c r="X46" i="6"/>
  <c r="X47" i="6"/>
  <c r="X48" i="6"/>
  <c r="X49" i="6"/>
  <c r="X50" i="6"/>
  <c r="X51" i="6"/>
  <c r="L40" i="6"/>
  <c r="M40" i="6" s="1"/>
  <c r="X40" i="6"/>
  <c r="N164" i="8"/>
  <c r="O164" i="8" s="1"/>
  <c r="N165" i="8"/>
  <c r="O165" i="8" s="1"/>
  <c r="N166" i="8"/>
  <c r="O166" i="8" s="1"/>
  <c r="N167" i="8"/>
  <c r="O167" i="8" s="1"/>
  <c r="N157" i="8"/>
  <c r="O157" i="8" s="1"/>
  <c r="N158" i="8"/>
  <c r="O158" i="8" s="1"/>
  <c r="N159" i="8"/>
  <c r="O159" i="8" s="1"/>
  <c r="N160" i="8"/>
  <c r="O160" i="8" s="1"/>
  <c r="N161" i="8"/>
  <c r="O161" i="8" s="1"/>
  <c r="N162" i="8"/>
  <c r="O162" i="8" s="1"/>
  <c r="N163" i="8"/>
  <c r="O163" i="8" s="1"/>
  <c r="L104" i="9"/>
  <c r="M104" i="9" s="1"/>
  <c r="L105" i="9"/>
  <c r="M105" i="9" s="1"/>
  <c r="L106" i="9"/>
  <c r="M106" i="9" s="1"/>
  <c r="L107" i="9"/>
  <c r="M107" i="9" s="1"/>
  <c r="L108" i="9"/>
  <c r="M108" i="9" s="1"/>
  <c r="L109" i="9"/>
  <c r="M109" i="9" s="1"/>
  <c r="L110" i="9"/>
  <c r="M110" i="9" s="1"/>
  <c r="L111" i="9"/>
  <c r="M111" i="9" s="1"/>
  <c r="L112" i="9"/>
  <c r="M112" i="9" s="1"/>
  <c r="L113" i="9"/>
  <c r="M113" i="9" s="1"/>
  <c r="L114" i="9"/>
  <c r="M114" i="9" s="1"/>
  <c r="L115" i="9"/>
  <c r="M115" i="9" s="1"/>
  <c r="L116" i="9"/>
  <c r="M116" i="9" s="1"/>
  <c r="L117" i="9"/>
  <c r="M117" i="9" s="1"/>
  <c r="L118" i="9"/>
  <c r="M118" i="9" s="1"/>
  <c r="L119" i="9"/>
  <c r="M119" i="9" s="1"/>
  <c r="L120" i="9"/>
  <c r="M120" i="9" s="1"/>
  <c r="L121" i="9"/>
  <c r="M121" i="9" s="1"/>
  <c r="L122" i="9"/>
  <c r="M122" i="9" s="1"/>
  <c r="L123" i="9"/>
  <c r="M123" i="9" s="1"/>
  <c r="L98" i="9"/>
  <c r="M98" i="9" s="1"/>
  <c r="L99" i="9"/>
  <c r="M99" i="9" s="1"/>
  <c r="L100" i="9"/>
  <c r="M100" i="9" s="1"/>
  <c r="L101" i="9"/>
  <c r="M101" i="9" s="1"/>
  <c r="L102" i="9"/>
  <c r="M102" i="9" s="1"/>
  <c r="L103" i="9"/>
  <c r="M103" i="9" s="1"/>
  <c r="L90" i="9"/>
  <c r="M90" i="9" s="1"/>
  <c r="L91" i="9"/>
  <c r="M91" i="9" s="1"/>
  <c r="L92" i="9"/>
  <c r="M92" i="9" s="1"/>
  <c r="L93" i="9"/>
  <c r="M93" i="9" s="1"/>
  <c r="L94" i="9"/>
  <c r="M94" i="9" s="1"/>
  <c r="L95" i="9"/>
  <c r="M95" i="9" s="1"/>
  <c r="L96" i="9"/>
  <c r="M96" i="9" s="1"/>
  <c r="L97" i="9"/>
  <c r="M97" i="9" s="1"/>
  <c r="N152" i="8"/>
  <c r="O152" i="8" s="1"/>
  <c r="N153" i="8"/>
  <c r="O153" i="8" s="1"/>
  <c r="N154" i="8"/>
  <c r="O154" i="8" s="1"/>
  <c r="N155" i="8"/>
  <c r="O155" i="8" s="1"/>
  <c r="N156" i="8"/>
  <c r="O156" i="8" s="1"/>
  <c r="N145" i="8"/>
  <c r="O145" i="8" s="1"/>
  <c r="N146" i="8"/>
  <c r="O146" i="8" s="1"/>
  <c r="N147" i="8"/>
  <c r="O147" i="8" s="1"/>
  <c r="N148" i="8"/>
  <c r="O148" i="8" s="1"/>
  <c r="N149" i="8"/>
  <c r="O149" i="8" s="1"/>
  <c r="N150" i="8"/>
  <c r="O150" i="8" s="1"/>
  <c r="N151" i="8"/>
  <c r="O151" i="8" s="1"/>
  <c r="N144" i="8"/>
  <c r="O144" i="8" s="1"/>
  <c r="L37" i="6"/>
  <c r="M37" i="6" s="1"/>
  <c r="L38" i="6"/>
  <c r="M38" i="6" s="1"/>
  <c r="L39" i="6"/>
  <c r="M39" i="6" s="1"/>
  <c r="X37" i="6"/>
  <c r="X38" i="6"/>
  <c r="X39" i="6"/>
  <c r="L36" i="6"/>
  <c r="M36" i="6" s="1"/>
  <c r="X36" i="6"/>
  <c r="N133" i="8"/>
  <c r="N134" i="8"/>
  <c r="N135" i="8"/>
  <c r="N136" i="8"/>
  <c r="N137" i="8"/>
  <c r="O137" i="8" s="1"/>
  <c r="N138" i="8"/>
  <c r="O138" i="8" s="1"/>
  <c r="N139" i="8"/>
  <c r="O139" i="8" s="1"/>
  <c r="N140" i="8"/>
  <c r="O140" i="8" s="1"/>
  <c r="N141" i="8"/>
  <c r="O141" i="8" s="1"/>
  <c r="N142" i="8"/>
  <c r="O142" i="8" s="1"/>
  <c r="N143" i="8"/>
  <c r="O143" i="8" s="1"/>
  <c r="N132" i="8"/>
  <c r="L89" i="9"/>
  <c r="N94" i="8"/>
  <c r="O94" i="8" s="1"/>
  <c r="N95" i="8"/>
  <c r="O95" i="8" s="1"/>
  <c r="N96" i="8"/>
  <c r="O96" i="8" s="1"/>
  <c r="N97" i="8"/>
  <c r="O97" i="8" s="1"/>
  <c r="N98" i="8"/>
  <c r="O98" i="8" s="1"/>
  <c r="N99" i="8"/>
  <c r="O99" i="8" s="1"/>
  <c r="N100" i="8"/>
  <c r="O100" i="8" s="1"/>
  <c r="N101" i="8"/>
  <c r="O101" i="8" s="1"/>
  <c r="N102" i="8"/>
  <c r="O102" i="8" s="1"/>
  <c r="N103" i="8"/>
  <c r="O103" i="8" s="1"/>
  <c r="N104" i="8"/>
  <c r="O104" i="8" s="1"/>
  <c r="N105" i="8"/>
  <c r="O105" i="8" s="1"/>
  <c r="N106" i="8"/>
  <c r="O106" i="8" s="1"/>
  <c r="N107" i="8"/>
  <c r="O107" i="8" s="1"/>
  <c r="N108" i="8"/>
  <c r="O108" i="8" s="1"/>
  <c r="N109" i="8"/>
  <c r="O109" i="8" s="1"/>
  <c r="N110" i="8"/>
  <c r="O110" i="8" s="1"/>
  <c r="N111" i="8"/>
  <c r="O111" i="8" s="1"/>
  <c r="N112" i="8"/>
  <c r="O112" i="8" s="1"/>
  <c r="N113" i="8"/>
  <c r="O113" i="8" s="1"/>
  <c r="N114" i="8"/>
  <c r="O114" i="8" s="1"/>
  <c r="N115" i="8"/>
  <c r="O115" i="8" s="1"/>
  <c r="N116" i="8"/>
  <c r="O116" i="8" s="1"/>
  <c r="N117" i="8"/>
  <c r="O117" i="8" s="1"/>
  <c r="N118" i="8"/>
  <c r="O118" i="8" s="1"/>
  <c r="N119" i="8"/>
  <c r="O119" i="8" s="1"/>
  <c r="N120" i="8"/>
  <c r="O120" i="8" s="1"/>
  <c r="N121" i="8"/>
  <c r="O121" i="8" s="1"/>
  <c r="N122" i="8"/>
  <c r="O122" i="8" s="1"/>
  <c r="N123" i="8"/>
  <c r="O123" i="8" s="1"/>
  <c r="N124" i="8"/>
  <c r="O124" i="8" s="1"/>
  <c r="N125" i="8"/>
  <c r="O125" i="8" s="1"/>
  <c r="N126" i="8"/>
  <c r="O126" i="8" s="1"/>
  <c r="N127" i="8"/>
  <c r="O127" i="8" s="1"/>
  <c r="N128" i="8"/>
  <c r="O128" i="8" s="1"/>
  <c r="N129" i="8"/>
  <c r="O129" i="8" s="1"/>
  <c r="N130" i="8"/>
  <c r="O130" i="8" s="1"/>
  <c r="N131" i="8"/>
  <c r="O131" i="8" s="1"/>
  <c r="N93" i="8"/>
  <c r="O93" i="8" s="1"/>
  <c r="N92" i="8"/>
  <c r="O92" i="8" s="1"/>
  <c r="L88" i="9"/>
  <c r="M88" i="9" s="1"/>
  <c r="L87" i="9"/>
  <c r="M87" i="9" s="1"/>
  <c r="L86" i="9"/>
  <c r="M86" i="9" s="1"/>
  <c r="L85" i="9"/>
  <c r="M85" i="9" s="1"/>
  <c r="L84" i="9"/>
  <c r="M84" i="9" s="1"/>
  <c r="L83" i="9"/>
  <c r="M83" i="9" s="1"/>
  <c r="L82" i="9"/>
  <c r="M82" i="9" s="1"/>
  <c r="L81" i="9"/>
  <c r="M81" i="9" s="1"/>
  <c r="L78" i="9"/>
  <c r="M78" i="9" s="1"/>
  <c r="L79" i="9"/>
  <c r="M79" i="9" s="1"/>
  <c r="L80" i="9"/>
  <c r="M80" i="9" s="1"/>
  <c r="L77" i="9"/>
  <c r="M77" i="9" s="1"/>
  <c r="L64" i="9"/>
  <c r="M64" i="9" s="1"/>
  <c r="L65" i="9"/>
  <c r="M65" i="9" s="1"/>
  <c r="L66" i="9"/>
  <c r="M66" i="9" s="1"/>
  <c r="L67" i="9"/>
  <c r="M67" i="9" s="1"/>
  <c r="L68" i="9"/>
  <c r="M68" i="9" s="1"/>
  <c r="L69" i="9"/>
  <c r="M69" i="9" s="1"/>
  <c r="L70" i="9"/>
  <c r="M70" i="9" s="1"/>
  <c r="L71" i="9"/>
  <c r="M71" i="9" s="1"/>
  <c r="L72" i="9"/>
  <c r="M72" i="9" s="1"/>
  <c r="L73" i="9"/>
  <c r="M73" i="9" s="1"/>
  <c r="L74" i="9"/>
  <c r="M74" i="9" s="1"/>
  <c r="L75" i="9"/>
  <c r="M75" i="9" s="1"/>
  <c r="L76" i="9"/>
  <c r="M76" i="9" s="1"/>
  <c r="L63" i="9"/>
  <c r="M63" i="9" s="1"/>
  <c r="L60" i="9"/>
  <c r="M60" i="9" s="1"/>
  <c r="L61" i="9"/>
  <c r="M61" i="9" s="1"/>
  <c r="L62" i="9"/>
  <c r="M62" i="9" s="1"/>
  <c r="L57" i="9"/>
  <c r="M57" i="9" s="1"/>
  <c r="L58" i="9"/>
  <c r="M58" i="9" s="1"/>
  <c r="L59" i="9"/>
  <c r="M59" i="9" s="1"/>
  <c r="L56" i="9"/>
  <c r="M56" i="9" s="1"/>
  <c r="L55" i="9"/>
  <c r="M55" i="9" s="1"/>
  <c r="L54" i="9"/>
  <c r="M54" i="9" s="1"/>
  <c r="L111" i="2"/>
  <c r="M111" i="2" s="1"/>
  <c r="L112" i="2"/>
  <c r="M112" i="2" s="1"/>
  <c r="L113" i="2"/>
  <c r="M113" i="2" s="1"/>
  <c r="L114" i="2"/>
  <c r="M114" i="2" s="1"/>
  <c r="X111" i="2"/>
  <c r="X112" i="2"/>
  <c r="X113" i="2"/>
  <c r="X114" i="2"/>
  <c r="L110" i="2"/>
  <c r="M110" i="2" s="1"/>
  <c r="X110" i="2"/>
  <c r="L53" i="9"/>
  <c r="L38" i="9"/>
  <c r="M38" i="9" s="1"/>
  <c r="L39" i="9"/>
  <c r="M39" i="9" s="1"/>
  <c r="L40" i="9"/>
  <c r="M40" i="9" s="1"/>
  <c r="L41" i="9"/>
  <c r="M41" i="9" s="1"/>
  <c r="L42" i="9"/>
  <c r="M42" i="9" s="1"/>
  <c r="L43" i="9"/>
  <c r="M43" i="9" s="1"/>
  <c r="L44" i="9"/>
  <c r="M44" i="9" s="1"/>
  <c r="L45" i="9"/>
  <c r="M45" i="9" s="1"/>
  <c r="L46" i="9"/>
  <c r="M46" i="9" s="1"/>
  <c r="L47" i="9"/>
  <c r="M47" i="9" s="1"/>
  <c r="L48" i="9"/>
  <c r="M48" i="9" s="1"/>
  <c r="L49" i="9"/>
  <c r="M49" i="9" s="1"/>
  <c r="L50" i="9"/>
  <c r="M50" i="9" s="1"/>
  <c r="L51" i="9"/>
  <c r="M51" i="9" s="1"/>
  <c r="L52" i="9"/>
  <c r="M52" i="9" s="1"/>
  <c r="L37" i="9"/>
  <c r="M37" i="9" s="1"/>
  <c r="L35" i="9"/>
  <c r="M35" i="9" s="1"/>
  <c r="L36" i="9"/>
  <c r="M36" i="9" s="1"/>
  <c r="L27" i="9"/>
  <c r="M27" i="9" s="1"/>
  <c r="L28" i="9"/>
  <c r="M28" i="9" s="1"/>
  <c r="L29" i="9"/>
  <c r="M29" i="9" s="1"/>
  <c r="L30" i="9"/>
  <c r="M30" i="9" s="1"/>
  <c r="L31" i="9"/>
  <c r="M31" i="9" s="1"/>
  <c r="L32" i="9"/>
  <c r="M32" i="9" s="1"/>
  <c r="L33" i="9"/>
  <c r="M33" i="9" s="1"/>
  <c r="L34" i="9"/>
  <c r="M34" i="9" s="1"/>
  <c r="L21" i="9"/>
  <c r="M21" i="9" s="1"/>
  <c r="L22" i="9"/>
  <c r="M22" i="9" s="1"/>
  <c r="L23" i="9"/>
  <c r="M23" i="9" s="1"/>
  <c r="L24" i="9"/>
  <c r="M24" i="9" s="1"/>
  <c r="L25" i="9"/>
  <c r="M25" i="9" s="1"/>
  <c r="L26" i="9"/>
  <c r="M26" i="9" s="1"/>
  <c r="L20" i="9"/>
  <c r="M20" i="9" s="1"/>
  <c r="L19" i="9"/>
  <c r="M19" i="9" s="1"/>
  <c r="O35" i="6"/>
  <c r="O34" i="6"/>
  <c r="O33" i="6"/>
  <c r="O32" i="6"/>
  <c r="O31" i="6"/>
  <c r="O30" i="6"/>
  <c r="O29" i="6"/>
  <c r="L33" i="6"/>
  <c r="M33" i="6" s="1"/>
  <c r="L34" i="6"/>
  <c r="M34" i="6" s="1"/>
  <c r="L35" i="6"/>
  <c r="M35" i="6" s="1"/>
  <c r="X33" i="6"/>
  <c r="X34" i="6"/>
  <c r="X35" i="6"/>
  <c r="L32" i="6"/>
  <c r="M32" i="6" s="1"/>
  <c r="X32" i="6"/>
  <c r="X109" i="2"/>
  <c r="X108" i="2"/>
  <c r="X107" i="2"/>
  <c r="X106" i="2"/>
  <c r="X105" i="2"/>
  <c r="X104" i="2"/>
  <c r="X103" i="2"/>
  <c r="X102" i="2"/>
  <c r="X101" i="2"/>
  <c r="X100" i="2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00" i="2"/>
  <c r="M100" i="2" s="1"/>
  <c r="X31" i="6"/>
  <c r="X30" i="6"/>
  <c r="X29" i="6"/>
  <c r="L29" i="6"/>
  <c r="M29" i="6" s="1"/>
  <c r="L30" i="6"/>
  <c r="M30" i="6" s="1"/>
  <c r="L31" i="6"/>
  <c r="M31" i="6" s="1"/>
  <c r="L17" i="9"/>
  <c r="M17" i="9" s="1"/>
  <c r="L18" i="9"/>
  <c r="M18" i="9" s="1"/>
  <c r="N38" i="8"/>
  <c r="O38" i="8" s="1"/>
  <c r="N39" i="8"/>
  <c r="O39" i="8" s="1"/>
  <c r="N40" i="8"/>
  <c r="O40" i="8" s="1"/>
  <c r="N41" i="8"/>
  <c r="O41" i="8" s="1"/>
  <c r="N42" i="8"/>
  <c r="O42" i="8" s="1"/>
  <c r="N43" i="8"/>
  <c r="O43" i="8" s="1"/>
  <c r="N44" i="8"/>
  <c r="O44" i="8" s="1"/>
  <c r="N45" i="8"/>
  <c r="O45" i="8" s="1"/>
  <c r="N46" i="8"/>
  <c r="O46" i="8" s="1"/>
  <c r="N47" i="8"/>
  <c r="O47" i="8" s="1"/>
  <c r="N48" i="8"/>
  <c r="O48" i="8" s="1"/>
  <c r="N49" i="8"/>
  <c r="O49" i="8" s="1"/>
  <c r="N50" i="8"/>
  <c r="O50" i="8" s="1"/>
  <c r="N51" i="8"/>
  <c r="O51" i="8" s="1"/>
  <c r="N52" i="8"/>
  <c r="O52" i="8" s="1"/>
  <c r="N53" i="8"/>
  <c r="O53" i="8" s="1"/>
  <c r="N54" i="8"/>
  <c r="O54" i="8" s="1"/>
  <c r="N55" i="8"/>
  <c r="O55" i="8" s="1"/>
  <c r="N56" i="8"/>
  <c r="O56" i="8" s="1"/>
  <c r="N57" i="8"/>
  <c r="O57" i="8" s="1"/>
  <c r="N58" i="8"/>
  <c r="O58" i="8" s="1"/>
  <c r="N59" i="8"/>
  <c r="O59" i="8" s="1"/>
  <c r="N60" i="8"/>
  <c r="O60" i="8" s="1"/>
  <c r="N61" i="8"/>
  <c r="O61" i="8" s="1"/>
  <c r="N62" i="8"/>
  <c r="O62" i="8" s="1"/>
  <c r="N63" i="8"/>
  <c r="O63" i="8" s="1"/>
  <c r="N64" i="8"/>
  <c r="O64" i="8" s="1"/>
  <c r="N65" i="8"/>
  <c r="O65" i="8" s="1"/>
  <c r="N66" i="8"/>
  <c r="O66" i="8" s="1"/>
  <c r="N67" i="8"/>
  <c r="O67" i="8" s="1"/>
  <c r="N68" i="8"/>
  <c r="O68" i="8" s="1"/>
  <c r="N69" i="8"/>
  <c r="O69" i="8" s="1"/>
  <c r="N70" i="8"/>
  <c r="O70" i="8" s="1"/>
  <c r="N71" i="8"/>
  <c r="O71" i="8" s="1"/>
  <c r="N72" i="8"/>
  <c r="O72" i="8" s="1"/>
  <c r="N73" i="8"/>
  <c r="O73" i="8" s="1"/>
  <c r="N74" i="8"/>
  <c r="O74" i="8" s="1"/>
  <c r="N75" i="8"/>
  <c r="O75" i="8" s="1"/>
  <c r="N76" i="8"/>
  <c r="O76" i="8" s="1"/>
  <c r="N77" i="8"/>
  <c r="O77" i="8" s="1"/>
  <c r="N78" i="8"/>
  <c r="O78" i="8" s="1"/>
  <c r="N79" i="8"/>
  <c r="O79" i="8" s="1"/>
  <c r="N80" i="8"/>
  <c r="O80" i="8" s="1"/>
  <c r="N81" i="8"/>
  <c r="O81" i="8" s="1"/>
  <c r="N82" i="8"/>
  <c r="O82" i="8" s="1"/>
  <c r="N83" i="8"/>
  <c r="O83" i="8" s="1"/>
  <c r="N84" i="8"/>
  <c r="O84" i="8" s="1"/>
  <c r="N85" i="8"/>
  <c r="O85" i="8" s="1"/>
  <c r="N86" i="8"/>
  <c r="O86" i="8" s="1"/>
  <c r="N87" i="8"/>
  <c r="O87" i="8" s="1"/>
  <c r="N88" i="8"/>
  <c r="O88" i="8" s="1"/>
  <c r="N89" i="8"/>
  <c r="O89" i="8" s="1"/>
  <c r="N90" i="8"/>
  <c r="O90" i="8" s="1"/>
  <c r="N91" i="8"/>
  <c r="O91" i="8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X28" i="6"/>
  <c r="X27" i="6"/>
  <c r="X26" i="6"/>
  <c r="L27" i="6"/>
  <c r="M27" i="6" s="1"/>
  <c r="L28" i="6"/>
  <c r="M28" i="6" s="1"/>
  <c r="L26" i="6"/>
  <c r="M26" i="6" s="1"/>
  <c r="X99" i="2"/>
  <c r="X98" i="2"/>
  <c r="X97" i="2"/>
  <c r="X96" i="2"/>
  <c r="X95" i="2"/>
  <c r="L95" i="2"/>
  <c r="M95" i="2" s="1"/>
  <c r="L96" i="2"/>
  <c r="M96" i="2" s="1"/>
  <c r="L97" i="2"/>
  <c r="M97" i="2" s="1"/>
  <c r="L98" i="2"/>
  <c r="M98" i="2" s="1"/>
  <c r="L99" i="2"/>
  <c r="M99" i="2" s="1"/>
  <c r="X94" i="2"/>
  <c r="X93" i="2"/>
  <c r="X92" i="2"/>
  <c r="X91" i="2"/>
  <c r="X90" i="2"/>
  <c r="L90" i="2"/>
  <c r="M90" i="2" s="1"/>
  <c r="L91" i="2"/>
  <c r="M91" i="2" s="1"/>
  <c r="L92" i="2"/>
  <c r="M92" i="2" s="1"/>
  <c r="L93" i="2"/>
  <c r="M93" i="2" s="1"/>
  <c r="L94" i="2"/>
  <c r="M94" i="2" s="1"/>
  <c r="N37" i="8"/>
  <c r="O37" i="8" s="1"/>
  <c r="N34" i="8"/>
  <c r="O34" i="8" s="1"/>
  <c r="N35" i="8"/>
  <c r="O35" i="8" s="1"/>
  <c r="N36" i="8"/>
  <c r="O36" i="8" s="1"/>
  <c r="N33" i="8"/>
  <c r="O33" i="8" s="1"/>
  <c r="O25" i="6"/>
  <c r="O24" i="6"/>
  <c r="O23" i="6"/>
  <c r="O22" i="6"/>
  <c r="O21" i="6"/>
  <c r="O20" i="6"/>
  <c r="O19" i="6"/>
  <c r="O18" i="6"/>
  <c r="O17" i="6"/>
  <c r="L18" i="6"/>
  <c r="M18" i="6" s="1"/>
  <c r="L19" i="6"/>
  <c r="M19" i="6" s="1"/>
  <c r="L20" i="6"/>
  <c r="M20" i="6" s="1"/>
  <c r="L21" i="6"/>
  <c r="M21" i="6" s="1"/>
  <c r="L22" i="6"/>
  <c r="M22" i="6" s="1"/>
  <c r="L23" i="6"/>
  <c r="M23" i="6" s="1"/>
  <c r="L24" i="6"/>
  <c r="M24" i="6" s="1"/>
  <c r="L25" i="6"/>
  <c r="M25" i="6" s="1"/>
  <c r="X18" i="6"/>
  <c r="X19" i="6"/>
  <c r="X20" i="6"/>
  <c r="X21" i="6"/>
  <c r="X22" i="6"/>
  <c r="X23" i="6"/>
  <c r="X24" i="6"/>
  <c r="X25" i="6"/>
  <c r="L17" i="6"/>
  <c r="M17" i="6" s="1"/>
  <c r="X17" i="6"/>
  <c r="O2" i="8"/>
  <c r="L10" i="9"/>
  <c r="L2" i="9"/>
  <c r="M2" i="9" s="1"/>
  <c r="L3" i="9"/>
  <c r="M3" i="9" s="1"/>
  <c r="L4" i="9"/>
  <c r="M4" i="9" s="1"/>
  <c r="L5" i="9"/>
  <c r="M5" i="9" s="1"/>
  <c r="L6" i="9"/>
  <c r="M6" i="9" s="1"/>
  <c r="L7" i="9"/>
  <c r="M7" i="9" s="1"/>
  <c r="L8" i="9"/>
  <c r="M8" i="9" s="1"/>
  <c r="L9" i="9"/>
  <c r="M9" i="9" s="1"/>
  <c r="L2" i="6" l="1"/>
  <c r="M2" i="6" s="1"/>
  <c r="L3" i="6"/>
  <c r="M3" i="6" s="1"/>
  <c r="L4" i="6"/>
  <c r="M4" i="6" s="1"/>
  <c r="L5" i="6"/>
  <c r="M5" i="6" s="1"/>
  <c r="L6" i="6"/>
  <c r="M6" i="6" s="1"/>
  <c r="L7" i="6"/>
  <c r="M7" i="6" s="1"/>
  <c r="L8" i="6"/>
  <c r="M8" i="6" s="1"/>
  <c r="L9" i="6"/>
  <c r="M9" i="6" s="1"/>
  <c r="L10" i="6"/>
  <c r="M10" i="6" s="1"/>
  <c r="L11" i="6"/>
  <c r="M11" i="6" s="1"/>
  <c r="L12" i="6"/>
  <c r="M12" i="6" s="1"/>
  <c r="L13" i="6"/>
  <c r="M13" i="6" s="1"/>
  <c r="L14" i="6"/>
  <c r="M14" i="6" s="1"/>
  <c r="L15" i="6"/>
  <c r="M15" i="6" s="1"/>
  <c r="L16" i="6"/>
  <c r="M16" i="6" s="1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L25" i="2"/>
  <c r="L26" i="2"/>
  <c r="L27" i="2"/>
  <c r="L28" i="2"/>
  <c r="L29" i="2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22" i="2"/>
  <c r="X23" i="2"/>
  <c r="X30" i="2"/>
  <c r="X37" i="2"/>
  <c r="X38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84" i="2"/>
  <c r="X85" i="2"/>
  <c r="X86" i="2"/>
  <c r="X87" i="2"/>
  <c r="X88" i="2"/>
  <c r="X89" i="2"/>
  <c r="O28" i="8"/>
  <c r="O29" i="8"/>
  <c r="O30" i="8"/>
  <c r="O31" i="8"/>
  <c r="O32" i="8"/>
  <c r="O27" i="8"/>
  <c r="O26" i="8"/>
  <c r="O15" i="8"/>
  <c r="O16" i="8"/>
  <c r="O17" i="8"/>
  <c r="O18" i="8"/>
  <c r="O19" i="8"/>
  <c r="O20" i="8"/>
  <c r="O21" i="8"/>
  <c r="O22" i="8"/>
  <c r="O23" i="8"/>
  <c r="O24" i="8"/>
  <c r="O25" i="8"/>
  <c r="O14" i="8"/>
  <c r="O3" i="8"/>
  <c r="O4" i="8"/>
  <c r="O5" i="8"/>
  <c r="O6" i="8"/>
  <c r="O7" i="8"/>
  <c r="O8" i="8"/>
  <c r="O9" i="8"/>
  <c r="O10" i="8"/>
  <c r="O11" i="8"/>
  <c r="O12" i="8"/>
  <c r="O13" i="8"/>
  <c r="AA77" i="2"/>
  <c r="AC77" i="2" s="1"/>
  <c r="AD77" i="2" s="1"/>
  <c r="AA76" i="2"/>
  <c r="AC76" i="2" s="1"/>
  <c r="AD76" i="2" s="1"/>
  <c r="AA75" i="2"/>
  <c r="AC75" i="2" s="1"/>
  <c r="AD75" i="2" s="1"/>
  <c r="AA85" i="2"/>
  <c r="AB85" i="2" s="1"/>
  <c r="AA86" i="2"/>
  <c r="AB86" i="2" s="1"/>
  <c r="AA87" i="2"/>
  <c r="AB87" i="2" s="1"/>
  <c r="AC87" i="2" s="1"/>
  <c r="AA88" i="2"/>
  <c r="AB88" i="2" s="1"/>
  <c r="AC88" i="2" s="1"/>
  <c r="AA89" i="2"/>
  <c r="AB89" i="2" s="1"/>
  <c r="AC89" i="2" s="1"/>
  <c r="AA84" i="2"/>
  <c r="AB84" i="2" s="1"/>
  <c r="AA74" i="2"/>
  <c r="AC74" i="2" s="1"/>
  <c r="AD74" i="2" s="1"/>
  <c r="AA73" i="2"/>
  <c r="AC73" i="2" s="1"/>
  <c r="AD73" i="2" s="1"/>
  <c r="AA72" i="2"/>
  <c r="AC72" i="2" s="1"/>
  <c r="AD72" i="2" s="1"/>
  <c r="AA71" i="2"/>
  <c r="AC71" i="2" s="1"/>
  <c r="AD71" i="2" s="1"/>
  <c r="AA70" i="2"/>
  <c r="AC70" i="2" s="1"/>
  <c r="AD70" i="2" s="1"/>
  <c r="AA69" i="2"/>
  <c r="AC69" i="2" s="1"/>
  <c r="AD69" i="2" s="1"/>
  <c r="J3" i="5"/>
  <c r="R3" i="5"/>
  <c r="Z3" i="5"/>
  <c r="AH3" i="5"/>
  <c r="AA25" i="2"/>
  <c r="AC25" i="2" s="1"/>
  <c r="AD25" i="2" s="1"/>
  <c r="AA26" i="2"/>
  <c r="AC26" i="2" s="1"/>
  <c r="AD26" i="2" s="1"/>
  <c r="AA27" i="2"/>
  <c r="AC27" i="2" s="1"/>
  <c r="AD27" i="2" s="1"/>
  <c r="AA28" i="2"/>
  <c r="AC28" i="2" s="1"/>
  <c r="AD28" i="2" s="1"/>
  <c r="AA29" i="2"/>
  <c r="AC29" i="2" s="1"/>
  <c r="AD29" i="2" s="1"/>
  <c r="AA38" i="2"/>
  <c r="AC38" i="2" s="1"/>
  <c r="AD38" i="2" s="1"/>
  <c r="AA39" i="2"/>
  <c r="AC39" i="2" s="1"/>
  <c r="AD39" i="2" s="1"/>
  <c r="AA40" i="2"/>
  <c r="AC40" i="2" s="1"/>
  <c r="AD40" i="2" s="1"/>
  <c r="AA41" i="2"/>
  <c r="AC41" i="2" s="1"/>
  <c r="AD41" i="2" s="1"/>
  <c r="AA42" i="2"/>
  <c r="AC42" i="2" s="1"/>
  <c r="AD42" i="2" s="1"/>
  <c r="AA43" i="2"/>
  <c r="AC43" i="2" s="1"/>
  <c r="AD43" i="2" s="1"/>
  <c r="AA44" i="2"/>
  <c r="AC44" i="2" s="1"/>
  <c r="AD44" i="2" s="1"/>
  <c r="AA45" i="2"/>
  <c r="AC45" i="2" s="1"/>
  <c r="AD45" i="2" s="1"/>
  <c r="AA46" i="2"/>
  <c r="AC46" i="2" s="1"/>
  <c r="AD46" i="2" s="1"/>
  <c r="AA47" i="2"/>
  <c r="AC47" i="2" s="1"/>
  <c r="AD47" i="2" s="1"/>
  <c r="AA48" i="2"/>
  <c r="AC48" i="2" s="1"/>
  <c r="AA49" i="2"/>
  <c r="AC49" i="2" s="1"/>
  <c r="AA50" i="2"/>
  <c r="AC50" i="2" s="1"/>
  <c r="AD50" i="2" s="1"/>
  <c r="AA51" i="2"/>
  <c r="AC51" i="2" s="1"/>
  <c r="AD51" i="2" s="1"/>
  <c r="AA52" i="2"/>
  <c r="AC52" i="2" s="1"/>
  <c r="AD52" i="2" s="1"/>
  <c r="AA53" i="2"/>
  <c r="AC53" i="2" s="1"/>
  <c r="AD53" i="2" s="1"/>
  <c r="AA54" i="2"/>
  <c r="AC54" i="2" s="1"/>
  <c r="AD54" i="2" s="1"/>
  <c r="AA55" i="2"/>
  <c r="AC55" i="2" s="1"/>
  <c r="AD55" i="2" s="1"/>
  <c r="AA56" i="2"/>
  <c r="AC56" i="2" s="1"/>
  <c r="AD56" i="2" s="1"/>
  <c r="AA57" i="2"/>
  <c r="AC57" i="2" s="1"/>
  <c r="AD57" i="2" s="1"/>
  <c r="AA58" i="2"/>
  <c r="AC58" i="2" s="1"/>
  <c r="AD58" i="2" s="1"/>
  <c r="AA59" i="2"/>
  <c r="AC59" i="2" s="1"/>
  <c r="AD59" i="2" s="1"/>
  <c r="AA67" i="2"/>
  <c r="AC67" i="2" s="1"/>
  <c r="AD67" i="2" s="1"/>
  <c r="AA68" i="2"/>
  <c r="AC68" i="2" s="1"/>
  <c r="AD68" i="2" s="1"/>
  <c r="AA24" i="2"/>
  <c r="AC24" i="2" s="1"/>
  <c r="AD24" i="2" s="1"/>
  <c r="AA3" i="2"/>
  <c r="AC3" i="2" s="1"/>
  <c r="AD3" i="2" s="1"/>
  <c r="AA4" i="2"/>
  <c r="AC4" i="2" s="1"/>
  <c r="AD4" i="2" s="1"/>
  <c r="AA5" i="2"/>
  <c r="AC5" i="2" s="1"/>
  <c r="AD5" i="2" s="1"/>
  <c r="AA6" i="2"/>
  <c r="AC6" i="2" s="1"/>
  <c r="AD6" i="2" s="1"/>
  <c r="AA7" i="2"/>
  <c r="AC7" i="2" s="1"/>
  <c r="AD7" i="2" s="1"/>
  <c r="AA8" i="2"/>
  <c r="AC8" i="2" s="1"/>
  <c r="AD8" i="2" s="1"/>
  <c r="AA9" i="2"/>
  <c r="AC9" i="2" s="1"/>
  <c r="AD9" i="2" s="1"/>
  <c r="AA10" i="2"/>
  <c r="AC10" i="2" s="1"/>
  <c r="AD10" i="2" s="1"/>
  <c r="AA11" i="2"/>
  <c r="AC11" i="2" s="1"/>
  <c r="AD11" i="2" s="1"/>
  <c r="AA12" i="2"/>
  <c r="AC12" i="2" s="1"/>
  <c r="AD12" i="2" s="1"/>
  <c r="AA13" i="2"/>
  <c r="AC13" i="2" s="1"/>
  <c r="AD13" i="2" s="1"/>
  <c r="AA14" i="2"/>
  <c r="AC14" i="2" s="1"/>
  <c r="AD14" i="2" s="1"/>
  <c r="AA15" i="2"/>
  <c r="AC15" i="2" s="1"/>
  <c r="AD15" i="2" s="1"/>
  <c r="AA16" i="2"/>
  <c r="AC16" i="2" s="1"/>
  <c r="AD16" i="2" s="1"/>
  <c r="AA17" i="2"/>
  <c r="AC17" i="2" s="1"/>
  <c r="AD17" i="2" s="1"/>
  <c r="AA18" i="2"/>
  <c r="AC18" i="2" s="1"/>
  <c r="AD18" i="2" s="1"/>
  <c r="AA19" i="2"/>
  <c r="AC19" i="2" s="1"/>
  <c r="AD19" i="2" s="1"/>
  <c r="AA20" i="2"/>
  <c r="AC20" i="2" s="1"/>
  <c r="AD20" i="2" s="1"/>
  <c r="AA21" i="2"/>
  <c r="AC21" i="2" s="1"/>
  <c r="AD21" i="2" s="1"/>
  <c r="AA22" i="2"/>
  <c r="AC22" i="2" s="1"/>
  <c r="AD22" i="2" s="1"/>
  <c r="AA23" i="2"/>
  <c r="AC23" i="2" s="1"/>
  <c r="AD23" i="2" s="1"/>
  <c r="AA30" i="2"/>
  <c r="AC30" i="2" s="1"/>
  <c r="AD30" i="2" s="1"/>
  <c r="AA31" i="2"/>
  <c r="AC31" i="2" s="1"/>
  <c r="AD31" i="2" s="1"/>
  <c r="AA32" i="2"/>
  <c r="AC32" i="2" s="1"/>
  <c r="AD32" i="2" s="1"/>
  <c r="AA33" i="2"/>
  <c r="AC33" i="2" s="1"/>
  <c r="AD33" i="2" s="1"/>
  <c r="AA34" i="2"/>
  <c r="AC34" i="2" s="1"/>
  <c r="AD34" i="2" s="1"/>
  <c r="AA35" i="2"/>
  <c r="AC35" i="2" s="1"/>
  <c r="AD35" i="2" s="1"/>
  <c r="AA36" i="2"/>
  <c r="AC36" i="2" s="1"/>
  <c r="AD36" i="2" s="1"/>
  <c r="AA37" i="2"/>
  <c r="AC37" i="2" s="1"/>
  <c r="AD37" i="2" s="1"/>
  <c r="AA2" i="2"/>
  <c r="AC2" i="2" s="1"/>
  <c r="AD2" i="2" s="1"/>
  <c r="AG3" i="5" l="1"/>
  <c r="Y3" i="5"/>
  <c r="Q3" i="5"/>
  <c r="I3" i="5"/>
  <c r="AF3" i="5"/>
  <c r="X3" i="5"/>
  <c r="P3" i="5"/>
  <c r="H3" i="5"/>
  <c r="AE3" i="5"/>
  <c r="W3" i="5"/>
  <c r="O3" i="5"/>
  <c r="G3" i="5"/>
  <c r="C3" i="5"/>
  <c r="AD3" i="5"/>
  <c r="V3" i="5"/>
  <c r="N3" i="5"/>
  <c r="F3" i="5"/>
  <c r="AK3" i="5"/>
  <c r="AC3" i="5"/>
  <c r="U3" i="5"/>
  <c r="M3" i="5"/>
  <c r="E3" i="5"/>
  <c r="AJ3" i="5"/>
  <c r="AB3" i="5"/>
  <c r="T3" i="5"/>
  <c r="L3" i="5"/>
  <c r="D3" i="5"/>
  <c r="AI3" i="5"/>
  <c r="AA3" i="5"/>
  <c r="S3" i="5"/>
  <c r="K3" i="5"/>
  <c r="D5" i="5"/>
  <c r="AC84" i="2"/>
  <c r="AD84" i="2" s="1"/>
  <c r="AD88" i="2"/>
  <c r="AD87" i="2"/>
  <c r="AC86" i="2"/>
  <c r="AD86" i="2" s="1"/>
  <c r="AC85" i="2"/>
  <c r="AD85" i="2" s="1"/>
  <c r="AD89" i="2"/>
  <c r="Z5" i="5"/>
  <c r="M5" i="5"/>
  <c r="T5" i="5"/>
  <c r="AC4" i="5"/>
  <c r="Q4" i="5"/>
  <c r="E4" i="5"/>
  <c r="AB4" i="5"/>
  <c r="P4" i="5"/>
  <c r="D4" i="5"/>
  <c r="R4" i="5"/>
  <c r="AA4" i="5"/>
  <c r="O4" i="5"/>
  <c r="C4" i="5"/>
  <c r="Z4" i="5"/>
  <c r="N4" i="5"/>
  <c r="AK4" i="5"/>
  <c r="Y4" i="5"/>
  <c r="M4" i="5"/>
  <c r="AJ4" i="5"/>
  <c r="X4" i="5"/>
  <c r="L4" i="5"/>
  <c r="AI4" i="5"/>
  <c r="W4" i="5"/>
  <c r="K4" i="5"/>
  <c r="AH4" i="5"/>
  <c r="V4" i="5"/>
  <c r="J4" i="5"/>
  <c r="F4" i="5"/>
  <c r="AG4" i="5"/>
  <c r="U4" i="5"/>
  <c r="I4" i="5"/>
  <c r="AD4" i="5"/>
  <c r="AF4" i="5"/>
  <c r="T4" i="5"/>
  <c r="H4" i="5"/>
  <c r="AE4" i="5"/>
  <c r="S4" i="5"/>
  <c r="G4" i="5"/>
  <c r="AF5" i="5" l="1"/>
  <c r="Y5" i="5"/>
  <c r="I5" i="5"/>
  <c r="U5" i="5"/>
  <c r="J5" i="5"/>
  <c r="R5" i="5"/>
  <c r="N5" i="5"/>
  <c r="Q5" i="5"/>
  <c r="V5" i="5"/>
  <c r="H5" i="5"/>
  <c r="F5" i="5"/>
  <c r="AI5" i="5"/>
  <c r="AE5" i="5"/>
  <c r="AH5" i="5"/>
  <c r="W5" i="5"/>
  <c r="AA5" i="5"/>
  <c r="AK5" i="5"/>
  <c r="AG5" i="5"/>
  <c r="K5" i="5"/>
  <c r="G5" i="5"/>
  <c r="AB5" i="5"/>
  <c r="O5" i="5"/>
  <c r="L5" i="5"/>
  <c r="AC5" i="5"/>
  <c r="AD5" i="5"/>
  <c r="S5" i="5"/>
  <c r="P5" i="5"/>
  <c r="X5" i="5"/>
  <c r="E5" i="5"/>
  <c r="AJ5" i="5"/>
  <c r="C5" i="5"/>
  <c r="H6" i="5"/>
  <c r="T6" i="5"/>
  <c r="AF6" i="5"/>
  <c r="J6" i="5"/>
  <c r="V6" i="5"/>
  <c r="AD6" i="5"/>
  <c r="W6" i="5"/>
  <c r="AG6" i="5"/>
  <c r="P6" i="5"/>
  <c r="K6" i="5"/>
  <c r="AI6" i="5"/>
  <c r="M6" i="5"/>
  <c r="O6" i="5"/>
  <c r="F6" i="5"/>
  <c r="Y6" i="5"/>
  <c r="AA6" i="5"/>
  <c r="D6" i="5"/>
  <c r="R6" i="5"/>
  <c r="AK6" i="5"/>
  <c r="X6" i="5"/>
  <c r="N6" i="5"/>
  <c r="AH6" i="5"/>
  <c r="E6" i="5"/>
  <c r="AJ6" i="5"/>
  <c r="Z6" i="5"/>
  <c r="Q6" i="5"/>
  <c r="G6" i="5"/>
  <c r="C6" i="5"/>
  <c r="L6" i="5"/>
  <c r="AC6" i="5"/>
  <c r="S6" i="5"/>
  <c r="I6" i="5"/>
  <c r="AB6" i="5"/>
  <c r="AE6" i="5"/>
  <c r="U6" i="5"/>
  <c r="Z7" i="5"/>
  <c r="AI7" i="5"/>
  <c r="J7" i="5"/>
  <c r="AD7" i="5"/>
  <c r="E7" i="5"/>
  <c r="R7" i="5"/>
  <c r="N7" i="5"/>
  <c r="W7" i="5"/>
  <c r="AA7" i="5"/>
  <c r="AJ7" i="5"/>
  <c r="K7" i="5"/>
  <c r="AE7" i="5"/>
  <c r="F7" i="5"/>
  <c r="O7" i="5"/>
  <c r="X7" i="5"/>
  <c r="S7" i="5"/>
  <c r="G7" i="5"/>
  <c r="AF7" i="5"/>
  <c r="AB7" i="5"/>
  <c r="D7" i="5"/>
  <c r="L7" i="5"/>
  <c r="AG7" i="5"/>
  <c r="P7" i="5"/>
  <c r="V7" i="5"/>
  <c r="T7" i="5"/>
  <c r="U7" i="5"/>
  <c r="H7" i="5"/>
  <c r="AH7" i="5"/>
  <c r="I7" i="5"/>
  <c r="AC7" i="5"/>
  <c r="Q7" i="5"/>
  <c r="AK7" i="5"/>
  <c r="C7" i="5"/>
  <c r="M7" i="5"/>
  <c r="Y7" i="5"/>
</calcChain>
</file>

<file path=xl/sharedStrings.xml><?xml version="1.0" encoding="utf-8"?>
<sst xmlns="http://schemas.openxmlformats.org/spreadsheetml/2006/main" count="12706" uniqueCount="613">
  <si>
    <t>O.S.</t>
  </si>
  <si>
    <t>Item</t>
  </si>
  <si>
    <t>Qtde.</t>
  </si>
  <si>
    <t>Cliente</t>
  </si>
  <si>
    <t>Peça</t>
  </si>
  <si>
    <t>Seq.</t>
  </si>
  <si>
    <t>Descrição</t>
  </si>
  <si>
    <t>PV</t>
  </si>
  <si>
    <t>BAGACEIRA 78"</t>
  </si>
  <si>
    <t>BAGACEIRA 90"</t>
  </si>
  <si>
    <t>BAGACEIRA 87"</t>
  </si>
  <si>
    <t>BAGACEIRA 84"</t>
  </si>
  <si>
    <t>Pz Fundido
Real</t>
  </si>
  <si>
    <t>Pz Entrega
Real</t>
  </si>
  <si>
    <t>Aura Brazil</t>
  </si>
  <si>
    <t>BAGACEIRA 66" (US. LISA S/ FURAÇÕES E FIXAÇ)</t>
  </si>
  <si>
    <t>BAGACEIRA 78" (US. LISA S/ FURAÇÕES E FIXAÇ)</t>
  </si>
  <si>
    <t>Plainar
Facear</t>
  </si>
  <si>
    <t>Serrar</t>
  </si>
  <si>
    <t>n/a</t>
  </si>
  <si>
    <t>Encaixe /
Furação</t>
  </si>
  <si>
    <t>Acabam./
Inspeção</t>
  </si>
  <si>
    <t>MS Internacional</t>
  </si>
  <si>
    <t>PLAINAR</t>
  </si>
  <si>
    <t>SERRAR</t>
  </si>
  <si>
    <t>SOLDA DURA</t>
  </si>
  <si>
    <t>ENCAIXE / FURAÇÃO</t>
  </si>
  <si>
    <t>ACABAM. / INSP.</t>
  </si>
  <si>
    <t>Santo Angelo</t>
  </si>
  <si>
    <t>BAGACEIRA 2200MM</t>
  </si>
  <si>
    <t>BAGACEIRA 72"</t>
  </si>
  <si>
    <t>CONDIÇÃO</t>
  </si>
  <si>
    <t>c/ usinagem</t>
  </si>
  <si>
    <t>Simisa</t>
  </si>
  <si>
    <t>bruta</t>
  </si>
  <si>
    <t>Atvos Santa Luzia</t>
  </si>
  <si>
    <t>BAGACERIA 2500 C/ SOLDA DURA</t>
  </si>
  <si>
    <t>BAGACEIRA 2300 C/ SOLDA DURA</t>
  </si>
  <si>
    <t>Qtd.</t>
  </si>
  <si>
    <t>Data Prev.
Fundido</t>
  </si>
  <si>
    <t>Data Real
Fundido</t>
  </si>
  <si>
    <t>Data Prev.
Entrega</t>
  </si>
  <si>
    <t>Data Real
Entrega</t>
  </si>
  <si>
    <t>Coprodria</t>
  </si>
  <si>
    <t>RODETE MDA Z15 Ø1320MM 78"</t>
  </si>
  <si>
    <t>RODETE MDA Z15 Ø1280MM 78"</t>
  </si>
  <si>
    <t>Condição</t>
  </si>
  <si>
    <t>Status Usinagem</t>
  </si>
  <si>
    <t>AG. FUNDIDO</t>
  </si>
  <si>
    <t>BAGACEIRA 2300 (BRUTA)</t>
  </si>
  <si>
    <t>BAGACERIA 2500 (BRUTA)</t>
  </si>
  <si>
    <t>02/26/2026</t>
  </si>
  <si>
    <t>Indicador</t>
  </si>
  <si>
    <t>Prazo
Entrega</t>
  </si>
  <si>
    <t>Prazo
Fundido</t>
  </si>
  <si>
    <t>Dias
Falta2</t>
  </si>
  <si>
    <t>OK</t>
  </si>
  <si>
    <t>PENTE CURVO - USINADO LISO</t>
  </si>
  <si>
    <t>AG</t>
  </si>
  <si>
    <t>Observação</t>
  </si>
  <si>
    <t>PENTE INFERIOR CONVENCIONAL 84"</t>
  </si>
  <si>
    <t>PENTE SUPERIOR CONVENCIONAL 84"</t>
  </si>
  <si>
    <t>CHAPA</t>
  </si>
  <si>
    <t>-</t>
  </si>
  <si>
    <t>PENTE SUPERIOR EM CHAPA RETO 82"</t>
  </si>
  <si>
    <t>Serrar2</t>
  </si>
  <si>
    <t>Solda
Dura2</t>
  </si>
  <si>
    <t>Encaixe</t>
  </si>
  <si>
    <t>Des.</t>
  </si>
  <si>
    <t>Bruto</t>
  </si>
  <si>
    <t>Falta
Dias</t>
  </si>
  <si>
    <t>RODETE MDA Z15 (BRUTO)</t>
  </si>
  <si>
    <t>FORNECER BRUTA DE FUNDIÇÃO</t>
  </si>
  <si>
    <t>item</t>
  </si>
  <si>
    <t>Status</t>
  </si>
  <si>
    <t>AG.</t>
  </si>
  <si>
    <t>AG. COLETAR</t>
  </si>
  <si>
    <t>NO PRAZO</t>
  </si>
  <si>
    <t>São João Araras</t>
  </si>
  <si>
    <t>RODETE PRESSÃO Z20 - 78"</t>
  </si>
  <si>
    <t>RODETE PRESSÃO Z15 - 84"</t>
  </si>
  <si>
    <t>RODETE MOENDA Z15 - 84"</t>
  </si>
  <si>
    <t>RODETE PRESSÃO  Z20 - 84"</t>
  </si>
  <si>
    <t>RODETE PRESSÃO  Z15 - 84"</t>
  </si>
  <si>
    <t>Desenho
Previsão</t>
  </si>
  <si>
    <t>PENTE SUPERIOR CURVO 78"</t>
  </si>
  <si>
    <t>Raizen Caraapó</t>
  </si>
  <si>
    <t>BAGACEIRA 2300</t>
  </si>
  <si>
    <t>BAGACERIA 2500</t>
  </si>
  <si>
    <t>Água Bonita</t>
  </si>
  <si>
    <t>BAGACEIRA 84" C/ SOLDA DURA</t>
  </si>
  <si>
    <t>BAGACEIRA 1700mm C/ SOLDA DURA</t>
  </si>
  <si>
    <t xml:space="preserve">PV </t>
  </si>
  <si>
    <t>RODETE MOENDA Z15 - 1700</t>
  </si>
  <si>
    <t>AG. DES. ENG.</t>
  </si>
  <si>
    <t>PENTE SUPERIOR CONVENCIONAL 1700</t>
  </si>
  <si>
    <t>PENTE INFERIOR CONVENCIONAL 1700</t>
  </si>
  <si>
    <t>PENTE SUPERIOR C/ DRENAGEM 1700</t>
  </si>
  <si>
    <t>São Domingos</t>
  </si>
  <si>
    <t>RODETE MOENDA Z15 - 78"</t>
  </si>
  <si>
    <t xml:space="preserve">Descrição                        </t>
  </si>
  <si>
    <t>Status
Usinagem</t>
  </si>
  <si>
    <t>Recurso
Orçado</t>
  </si>
  <si>
    <t>PILÃO 5000 - RH7000-5 FUND. C/ USIN. ACABAMENTO</t>
  </si>
  <si>
    <t>PILÃO EXTRA 2000 FUND. C/ USIN. ACABAMENTO</t>
  </si>
  <si>
    <t>Cofco Potirendaba</t>
  </si>
  <si>
    <t>Coopcana</t>
  </si>
  <si>
    <t>Zilor Quatá</t>
  </si>
  <si>
    <t>Eixo Esteira Arraste</t>
  </si>
  <si>
    <t>Flange Camisa Perfurada 1º T</t>
  </si>
  <si>
    <t>Flange Camisa Perfurada 2º T</t>
  </si>
  <si>
    <t>Flange Camisa Perfurada 3º T</t>
  </si>
  <si>
    <t>Chaveta 70 X 430mm</t>
  </si>
  <si>
    <t>Caixa Mancal Inf 1700 (S/ INOX)</t>
  </si>
  <si>
    <t>Caixa Mancal Inferior 54"</t>
  </si>
  <si>
    <t>Lins Agroindustrial</t>
  </si>
  <si>
    <t>RODETE PRESSÃO Z15 - 78"</t>
  </si>
  <si>
    <t>Flange Sup. Alta Drenagem</t>
  </si>
  <si>
    <t>Calha Rolo Inferior - 78"</t>
  </si>
  <si>
    <t>Calha Rolo Inferior - 54"</t>
  </si>
  <si>
    <t>Calha Rolo Pressão - 78"</t>
  </si>
  <si>
    <t>Capa Mancal Inferior - 54"</t>
  </si>
  <si>
    <t>BAGACEIRA 78" C/ SOLDA DURA</t>
  </si>
  <si>
    <t>BAGACEIRA 54" C/ SOLDA DURA</t>
  </si>
  <si>
    <t>AG. USINAGEM</t>
  </si>
  <si>
    <t>Suporte da Bagaceira - 78"</t>
  </si>
  <si>
    <t>PRONTO</t>
  </si>
  <si>
    <t>Ipiranga Passos</t>
  </si>
  <si>
    <t>BAGACEIRA 66"C/ SOLDA DURA</t>
  </si>
  <si>
    <t>Calha Alta Drenagem Inox - 66"</t>
  </si>
  <si>
    <t>Flange Rolo Sup. Alta Drenagem 66" - 1T</t>
  </si>
  <si>
    <t>Flange Rolo Sup. Alta Drenagem 66" - 5T</t>
  </si>
  <si>
    <t>Munhão c/ Inox - 66"</t>
  </si>
  <si>
    <t>Suporte da Bagaceira - 66"</t>
  </si>
  <si>
    <t>Kit Vedação Borracha SUP - 66"</t>
  </si>
  <si>
    <t>Kit Vedação Borracha INF - 66"</t>
  </si>
  <si>
    <t>Arruela  do Flange - 66"</t>
  </si>
  <si>
    <t>Parafuso do Flange - 66"</t>
  </si>
  <si>
    <t>Chaveta 63 x 38 x 400</t>
  </si>
  <si>
    <t>Kit Vedação Metálica - 66"</t>
  </si>
  <si>
    <t>Bucha Mancal RP - 66"</t>
  </si>
  <si>
    <t>Substituição Elementos Fixações - 66"</t>
  </si>
  <si>
    <t>PENTE SUPERIOR CONVENCIONAL FR 2"- 66"</t>
  </si>
  <si>
    <t>PENTE INFERIOR CONVENCIONAL FR 2"- 66"</t>
  </si>
  <si>
    <t>PENTE SUPERIOR CONVENCIONAL FR 1.5" - 66"</t>
  </si>
  <si>
    <t>PENTE INFERIOR CONVENCIONAL FR 1.5" - 66"</t>
  </si>
  <si>
    <t>Metso Brasil</t>
  </si>
  <si>
    <t>Zanini Renk</t>
  </si>
  <si>
    <t>GE Energias</t>
  </si>
  <si>
    <t>Siemens</t>
  </si>
  <si>
    <t>Rhinus</t>
  </si>
  <si>
    <t>Piacentini</t>
  </si>
  <si>
    <t>Cafealcool</t>
  </si>
  <si>
    <t>Cj. Desfibrador COP.5 54"</t>
  </si>
  <si>
    <t>Superior</t>
  </si>
  <si>
    <t>Pietro Borgo &amp; Cia</t>
  </si>
  <si>
    <t>Imperio</t>
  </si>
  <si>
    <t>493 - 285</t>
  </si>
  <si>
    <t>124 - 433</t>
  </si>
  <si>
    <t>112 - 124 - 433</t>
  </si>
  <si>
    <t>285 - 327</t>
  </si>
  <si>
    <t>493 - 112</t>
  </si>
  <si>
    <t>285 - 493</t>
  </si>
  <si>
    <t>327 - 393</t>
  </si>
  <si>
    <t>Fund. Real
(Desbaste)</t>
  </si>
  <si>
    <t>Fund. Prev.
(Desbaste)</t>
  </si>
  <si>
    <t>Usin. Prev.
(Desbaste)</t>
  </si>
  <si>
    <t>Usin. Real
(Desbaste)</t>
  </si>
  <si>
    <t>Fund. Prev.
(Acabamento)</t>
  </si>
  <si>
    <t>Usin. Prev.
(Acabamento)</t>
  </si>
  <si>
    <t>Usin. Real
(Acabamento)</t>
  </si>
  <si>
    <t>Qtde</t>
  </si>
  <si>
    <t>Prazo 
Contratual</t>
  </si>
  <si>
    <t>CUBO DO ROTOR FUND. C/ USIN. ACAB</t>
  </si>
  <si>
    <t>ANEL GUIA FUND. C/ USIN. ACAB.</t>
  </si>
  <si>
    <t xml:space="preserve">ALAVANCA FUND. C/ USIN. ACAB. </t>
  </si>
  <si>
    <t>CRUZETA FUND. C/ USIN. ACAB.</t>
  </si>
  <si>
    <t>CABEÇA MP800 FUND. C/ DESB.</t>
  </si>
  <si>
    <t>ENGRENAGEM FUND. S/ USIN.</t>
  </si>
  <si>
    <t>CARCAÇA INFERIOR FUND. C/ USIN</t>
  </si>
  <si>
    <t>CAPA DA ARANHA ROCK BOX FUND. C/ USIN. ACAB.</t>
  </si>
  <si>
    <t>BOJO MP1000 C/ DESBASTE</t>
  </si>
  <si>
    <t>CARCAÇA SUPERIOR FUND. C/ USIN.</t>
  </si>
  <si>
    <t xml:space="preserve">BOJO MP1000 C/ DESB. </t>
  </si>
  <si>
    <t>CABECA MP1000 C/ DESBASTE</t>
  </si>
  <si>
    <t>CABECA HP800 FUND. C/ DESB.</t>
  </si>
  <si>
    <t>CORPO GARGANTA DE ALIMENTAÇÃO FUND. S/ USIN.</t>
  </si>
  <si>
    <t>CORPO GARGANTA DE DESCARGA FUND. S/ USIN.</t>
  </si>
  <si>
    <t>CAPA DA ARANHA. C/ USIN. FINAL</t>
  </si>
  <si>
    <t>ANEL FUND. C/ USIN. EM DESBASTE 720</t>
  </si>
  <si>
    <t>CILINDRO PRINCIPAL FUND. C/ USIN. EM DESB</t>
  </si>
  <si>
    <t>ANEL DE AJUSTE HP500/HP600E FUND. C/ USIN. EM DESB</t>
  </si>
  <si>
    <t>REVESTIMENTO MOVEL FUND. C/ USIN. NA FACE</t>
  </si>
  <si>
    <t>REVESTIMENTO FIXO,FUND. C/ USIN. NA FACE</t>
  </si>
  <si>
    <t>ANEL AJUSTE HP800 C/ DESB.</t>
  </si>
  <si>
    <t>BOJO MP1000 C/ DESB.</t>
  </si>
  <si>
    <t>Forma</t>
  </si>
  <si>
    <t>Nova</t>
  </si>
  <si>
    <t>Status
Camisa</t>
  </si>
  <si>
    <t>Cofco</t>
  </si>
  <si>
    <t>AG. PEÇA CLIENTE</t>
  </si>
  <si>
    <t>84"</t>
  </si>
  <si>
    <t>EM USINAGEM</t>
  </si>
  <si>
    <t>Terno</t>
  </si>
  <si>
    <t>1º</t>
  </si>
  <si>
    <t>2º</t>
  </si>
  <si>
    <t>3º</t>
  </si>
  <si>
    <t>4º</t>
  </si>
  <si>
    <t>5º</t>
  </si>
  <si>
    <t>Refrisar</t>
  </si>
  <si>
    <t>Embuch</t>
  </si>
  <si>
    <t>Prazo
Entrega
Eixo</t>
  </si>
  <si>
    <t>Prazo
Entrega
Camisa</t>
  </si>
  <si>
    <t>Prazo
Fund</t>
  </si>
  <si>
    <t>Prazo
Fund Real</t>
  </si>
  <si>
    <t xml:space="preserve">
O.S./Peça</t>
  </si>
  <si>
    <t>Bit</t>
  </si>
  <si>
    <t>EM INSPEÇÃO</t>
  </si>
  <si>
    <t>PENTE INFERIOR CONVENCIONAL FR 1" - 84"</t>
  </si>
  <si>
    <t>PENTE INFERIOR CONVENCIONAL FR 2" - 84"</t>
  </si>
  <si>
    <t>PENTE INFERIOR CONVENCIONAL FR 1.1/2" - 84"</t>
  </si>
  <si>
    <t>Colorado</t>
  </si>
  <si>
    <t>RODETE MOENDA Z15 - 66"</t>
  </si>
  <si>
    <t>RODETE MOENDA Z15 - 90"</t>
  </si>
  <si>
    <t>Torno</t>
  </si>
  <si>
    <t>Grafitar</t>
  </si>
  <si>
    <t>Coletor</t>
  </si>
  <si>
    <t>Radial</t>
  </si>
  <si>
    <t>Solda</t>
  </si>
  <si>
    <t>Boquilha</t>
  </si>
  <si>
    <t>Montagem</t>
  </si>
  <si>
    <t>Acab.</t>
  </si>
  <si>
    <t>Broq.</t>
  </si>
  <si>
    <t>Encam.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</si>
  <si>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</si>
  <si>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</si>
  <si>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</si>
  <si>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</si>
  <si>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</si>
  <si>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</si>
  <si>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</si>
  <si>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</si>
  <si>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</si>
  <si>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RNC 13867 - FUNDIU PENTE 66"</t>
  </si>
  <si>
    <t>RNC 13868 - FUNDIU PENTE 66"</t>
  </si>
  <si>
    <t>RNC 13869 - FUNDIU PENTE 66"</t>
  </si>
  <si>
    <t>Laudo</t>
  </si>
  <si>
    <t>48"</t>
  </si>
  <si>
    <t>6º</t>
  </si>
  <si>
    <t>Nº Eixo</t>
  </si>
  <si>
    <t>Pos.</t>
  </si>
  <si>
    <t>Tipo</t>
  </si>
  <si>
    <t>Conv.</t>
  </si>
  <si>
    <t>Dren.</t>
  </si>
  <si>
    <t>RP</t>
  </si>
  <si>
    <t>Raizen Barra</t>
  </si>
  <si>
    <t>CONCLUÍDO</t>
  </si>
  <si>
    <t>AG. EIXO</t>
  </si>
  <si>
    <t>Raizen Bonfim</t>
  </si>
  <si>
    <t>Camisa</t>
  </si>
  <si>
    <t>78"</t>
  </si>
  <si>
    <t>Raizen Ipaussu</t>
  </si>
  <si>
    <t>Raizen Jatai</t>
  </si>
  <si>
    <t>90"</t>
  </si>
  <si>
    <t>Raizen Junqueira</t>
  </si>
  <si>
    <t>AG. Ø CLIENTE</t>
  </si>
  <si>
    <t>Raizen Mundial</t>
  </si>
  <si>
    <t>54"</t>
  </si>
  <si>
    <t>66"</t>
  </si>
  <si>
    <t>Raizen Paralcool</t>
  </si>
  <si>
    <t>Raizen S. Francisco</t>
  </si>
  <si>
    <t>Raizen Serra</t>
  </si>
  <si>
    <t>Raizen Sta Candida</t>
  </si>
  <si>
    <t>Raizen Taruma</t>
  </si>
  <si>
    <t>Raizen Univalem</t>
  </si>
  <si>
    <t>Raizen Vale</t>
  </si>
  <si>
    <t>Raizen Zanin</t>
  </si>
  <si>
    <t>967/31</t>
  </si>
  <si>
    <t>2087/2</t>
  </si>
  <si>
    <t>2087/1</t>
  </si>
  <si>
    <t>2082/3</t>
  </si>
  <si>
    <t>2082/1</t>
  </si>
  <si>
    <t>2082/2</t>
  </si>
  <si>
    <t>2081/2</t>
  </si>
  <si>
    <t>2081/1</t>
  </si>
  <si>
    <t>2079/1</t>
  </si>
  <si>
    <t>2079/2</t>
  </si>
  <si>
    <t>2083/8</t>
  </si>
  <si>
    <t>2083/3</t>
  </si>
  <si>
    <t>2083/9</t>
  </si>
  <si>
    <t>2083/4</t>
  </si>
  <si>
    <t>2083/7</t>
  </si>
  <si>
    <t>2083/6</t>
  </si>
  <si>
    <t>2083/2</t>
  </si>
  <si>
    <t>2083/5</t>
  </si>
  <si>
    <t>1025/2</t>
  </si>
  <si>
    <t>2083/1</t>
  </si>
  <si>
    <t>60"</t>
  </si>
  <si>
    <t>72"</t>
  </si>
  <si>
    <t>Pagrisa</t>
  </si>
  <si>
    <t>Chapa</t>
  </si>
  <si>
    <t>PENTE SUP. CHAPA RETO FR 2" - 66"</t>
  </si>
  <si>
    <t>PENTE SUP. CHAPA RETO FR 1.1/2" - 66"</t>
  </si>
  <si>
    <t>PENTE INF. CONVENCIONAL FR 2" - 66"</t>
  </si>
  <si>
    <t>PENTE INF. CONVENCIONAL FR 1.1/2" - 66"</t>
  </si>
  <si>
    <t>AG. COLETA</t>
  </si>
  <si>
    <t>PENTE INFERIOR CONVENCIONAL FR 1" - 78"</t>
  </si>
  <si>
    <t>PENTE INFERIOR CONVENCIONAL FR 1.1/2" - 78"</t>
  </si>
  <si>
    <t>RNC 13892 - BAGACEIRA CÓD. 1148039 - REFUGADA POR FALTA DE MATERIAL.</t>
  </si>
  <si>
    <t>RNC 13891 - EXCESSO DE SOBREMETAL</t>
  </si>
  <si>
    <t>AG. INFORMAÇÃO DO CLIENTE</t>
  </si>
  <si>
    <t>FUNDIDO ATRASOU - ERA 01/07/26</t>
  </si>
  <si>
    <t>Flange Sup. De Alta Drenagem</t>
  </si>
  <si>
    <t>Calha Em Chapa Inferior (AISI 304)</t>
  </si>
  <si>
    <t>Chapa De Vedação Ø1330</t>
  </si>
  <si>
    <t>Arruela Esférica</t>
  </si>
  <si>
    <t>Parafuso De Flange</t>
  </si>
  <si>
    <t>CHAVETA RODETE DE MOENDA - 54"</t>
  </si>
  <si>
    <t>FLANGE SUP. DE ALTA DRENAGEM -54"</t>
  </si>
  <si>
    <t>CALHA ROLO INFERIOR AISI 304 - 54"</t>
  </si>
  <si>
    <t>CALHA ROLO INFERIOR - MDA 54"</t>
  </si>
  <si>
    <t>CALHA ROLO INFERIOR - MDA 78"</t>
  </si>
  <si>
    <t>FLANGE SUPERIOR EM CHAPA - 54"</t>
  </si>
  <si>
    <t>SUPORTE DA BAlANÇA (MUNHÃO) - 54"</t>
  </si>
  <si>
    <t>PENTE INF/SUP TIPO CONVENCIONAL - MDA 90"</t>
  </si>
  <si>
    <t>PENTE INF/SUP TIPO CONVENCIONAL - 2000</t>
  </si>
  <si>
    <t>EXPEDIDO</t>
  </si>
  <si>
    <t>RECUPERANDO</t>
  </si>
  <si>
    <t>11/07/206</t>
  </si>
  <si>
    <t xml:space="preserve">PRECISA RETORNAR PARA USINAGEM </t>
  </si>
  <si>
    <t>Sandivk</t>
  </si>
  <si>
    <t>CARCAÇA  SUPERIOR CS430 C/ USIN.</t>
  </si>
  <si>
    <t>285 - 327 - 112</t>
  </si>
  <si>
    <t>REPOSIÇÃO METSO</t>
  </si>
  <si>
    <t>Sertmax</t>
  </si>
  <si>
    <t>USINAGEM ACABEMENTO CARCAÇA INF</t>
  </si>
  <si>
    <t>Fund. Real
(Acabamento)</t>
  </si>
  <si>
    <t>Prazo Contratual</t>
  </si>
  <si>
    <t>MANTA HP400 FUND. C/ USIN. (7055308385)</t>
  </si>
  <si>
    <t>REVESTIMENTO DO BOJO HP300 FUND. C/ USIN. (MM1601135)</t>
  </si>
  <si>
    <t>REVESTIMENTO DO BOJO HP300 FUND. C/ USIN. (MM1670349)</t>
  </si>
  <si>
    <t>MANTA HP400 FUND. C/ USIN. (N55308512)</t>
  </si>
  <si>
    <t>MANTA HP400 FUND. C/ USIN. (7055308388)</t>
  </si>
  <si>
    <t>MANTA P500 FUND. C/ USIN (50-5P21M502-R01)</t>
  </si>
  <si>
    <t>MANTA P400 FUND. C/ USIN (50-4P18M001)</t>
  </si>
  <si>
    <t>REVESTIMENTO DO BOJO P300 FUND. C/ USIN (50-3P21B006)</t>
  </si>
  <si>
    <t>MANTA P300 FUND. C/ USIN (50-3P21M002)</t>
  </si>
  <si>
    <t>REVESTIMENTO DO BOJO P400 FUND. C/ USIN (50-4P21B002)</t>
  </si>
  <si>
    <t>REVESTIMENTO DO BOJO P400 FUND. C/ USIN (50-4P21B003)</t>
  </si>
  <si>
    <t>REVESTIMENTO DO BOJO P300 FUND. C/ USIN (50-3P18B004)</t>
  </si>
  <si>
    <t>REVESTIMENTO DO BOJO P500 FUND. C/ USIN (50-5P18B506)</t>
  </si>
  <si>
    <t>MANTA P200 FUND. C/ USIN (50-2P18M002)</t>
  </si>
  <si>
    <t>REVESTIMENTO DO BOJO P500 FUND. C/ USIN (50-5P21B506)</t>
  </si>
  <si>
    <t>MANTA P300 FUND. C/ USIN (50-3P21M001)</t>
  </si>
  <si>
    <t>REVESTIMENTO DO BOJO P200 FUND. C/ USIN (50-2P21B007)</t>
  </si>
  <si>
    <t>REVESTIMENTO DO BOJO P300 FUND. C/ USIN (50-3P21B003)</t>
  </si>
  <si>
    <t>REVESTIMENTO DO BOJO P400 FUND. C/ USIN (50-4P18B002)</t>
  </si>
  <si>
    <t>REVESTIMENTO DO BOJO P300 FUND. C/ USIN (50-3P18B003)</t>
  </si>
  <si>
    <t>REVESTIMENTO DO BOJO P400 FUND. C/ USIN (50-4P18B006)</t>
  </si>
  <si>
    <t>REVESTIMENTO DO BOJO P400 FUND. C/ USIN (50-4P21B006)</t>
  </si>
  <si>
    <t>MANTA P400 FUND. C/ USIN (50-4P21M002)</t>
  </si>
  <si>
    <t>MANTA P300 FUND. C/ USIN (50-3P18M002)</t>
  </si>
  <si>
    <t>Superior Industries</t>
  </si>
  <si>
    <t>Recurso</t>
  </si>
  <si>
    <t>131/24</t>
  </si>
  <si>
    <t>135/26</t>
  </si>
  <si>
    <t>132/25</t>
  </si>
  <si>
    <t>134/26</t>
  </si>
  <si>
    <t>100"</t>
  </si>
  <si>
    <t>Receber</t>
  </si>
  <si>
    <t>AG. EIXO CLIENTE</t>
  </si>
  <si>
    <t>Ent.</t>
  </si>
  <si>
    <t>Saí</t>
  </si>
  <si>
    <t>Sup</t>
  </si>
  <si>
    <t>Insp</t>
  </si>
  <si>
    <t>Manutenção Cabeçote Lateral</t>
  </si>
  <si>
    <t>Insp.</t>
  </si>
  <si>
    <t>Manutenção Balança</t>
  </si>
  <si>
    <t>Manutenção Caixa Mancal Inf</t>
  </si>
  <si>
    <t>AG. LAUDO</t>
  </si>
  <si>
    <t>Manutenção Flange Moenda</t>
  </si>
  <si>
    <t>RWR - entregou 13/07</t>
  </si>
  <si>
    <t>Manut. Eixo de Moenda</t>
  </si>
  <si>
    <t>84(03)</t>
  </si>
  <si>
    <t>84(02)</t>
  </si>
  <si>
    <t>RP4</t>
  </si>
  <si>
    <t>84(01)</t>
  </si>
  <si>
    <r>
      <t xml:space="preserve">PARALISADO PARA SERRAR DENTES.
</t>
    </r>
    <r>
      <rPr>
        <sz val="11"/>
        <color theme="1"/>
        <rFont val="Aptos Narrow"/>
        <family val="2"/>
        <scheme val="minor"/>
      </rPr>
      <t>LIBERADO SERRAR DIA 07/07/2026
NECESSARIO REUSINAR PERFIL</t>
    </r>
  </si>
  <si>
    <t>USAR CAMISA EIXO AM21</t>
  </si>
  <si>
    <t>USAR CAMISA AN21</t>
  </si>
  <si>
    <t>AG. INFORMAÇÃO DO EIXO</t>
  </si>
  <si>
    <t>Reforma Rodete Moeda</t>
  </si>
  <si>
    <t>Perfil</t>
  </si>
  <si>
    <t>S. Dura</t>
  </si>
  <si>
    <t>Status Us.</t>
  </si>
  <si>
    <t>Obs.</t>
  </si>
  <si>
    <t>Manutenção Rolo Inferior-84(03)</t>
  </si>
  <si>
    <t>Manutenção Rolo Inferior-84(02)</t>
  </si>
  <si>
    <t>Manutenção Rolo Inferior-9</t>
  </si>
  <si>
    <t>Manutenção Rolo Inferior-17</t>
  </si>
  <si>
    <t>Manutenção Rolo Inferior-7</t>
  </si>
  <si>
    <t>Manutenção Rolo Inferior-2</t>
  </si>
  <si>
    <t>Manutenção Rolo Inferior-3</t>
  </si>
  <si>
    <t>Manutenção Rolo Inferior-10</t>
  </si>
  <si>
    <t>Manutenção Rolo Inferior-20</t>
  </si>
  <si>
    <t>Manutenção Rolo Inferior-18</t>
  </si>
  <si>
    <t>Manutenção Rolo Superior-84(01)</t>
  </si>
  <si>
    <t>Manutenção Rolo Superior-24</t>
  </si>
  <si>
    <t>Manutenção Rolo Superior-19</t>
  </si>
  <si>
    <t>Manutenção Rolo Superior-15</t>
  </si>
  <si>
    <t>Manutenção Rolo Superior-16</t>
  </si>
  <si>
    <t>Desmontar</t>
  </si>
  <si>
    <t>Montar</t>
  </si>
  <si>
    <t>Reforma Suporte Bagaceira</t>
  </si>
  <si>
    <t xml:space="preserve"> Atvos Santa Luzia</t>
  </si>
  <si>
    <t>22/01/27</t>
  </si>
  <si>
    <t>23/01/27</t>
  </si>
  <si>
    <t>26/01/27</t>
  </si>
  <si>
    <t>28/01/27</t>
  </si>
  <si>
    <t>17/02/27</t>
  </si>
  <si>
    <t>30/01/27</t>
  </si>
  <si>
    <t>02/02/27</t>
  </si>
  <si>
    <t>16/02/27</t>
  </si>
  <si>
    <t>03/02/27</t>
  </si>
  <si>
    <t>05/02/27</t>
  </si>
  <si>
    <t>13/02/27</t>
  </si>
  <si>
    <t>06/02/27</t>
  </si>
  <si>
    <t>09/02/27</t>
  </si>
  <si>
    <t>15/02/27</t>
  </si>
  <si>
    <t>12/02/27</t>
  </si>
  <si>
    <t>10/02/27</t>
  </si>
  <si>
    <t>Manutenção Rolo Inferior-121</t>
  </si>
  <si>
    <t>Manutenção Rolo Inferior-103</t>
  </si>
  <si>
    <t>Manutenção Rolo Inferior-128</t>
  </si>
  <si>
    <t>Manutenção Rolo Inferior-127</t>
  </si>
  <si>
    <t>Manutenção Rolo Superior-131/24</t>
  </si>
  <si>
    <t>Manutenção Rolo Inferior-125</t>
  </si>
  <si>
    <t>Manutenção Rolo Inferior-135/26</t>
  </si>
  <si>
    <t>Manutenção Rolo Superior-119</t>
  </si>
  <si>
    <t>Manutenção Rolo Inferior-110</t>
  </si>
  <si>
    <t>Manutenção Rolo Inferior-111</t>
  </si>
  <si>
    <t>Manutenção Rolo Superior-109</t>
  </si>
  <si>
    <t>Manutenção Rolo Inferior-115</t>
  </si>
  <si>
    <t>Manutenção Rolo Inferior-132/25</t>
  </si>
  <si>
    <t>Manutenção Rolo Superior-114</t>
  </si>
  <si>
    <t>Manutenção Rolo Inferior-129</t>
  </si>
  <si>
    <t>Manutenção Rolo Inferior-123</t>
  </si>
  <si>
    <t>Manutenção Rolo Superior-134/26</t>
  </si>
  <si>
    <t>AG. SERVIÇO EM EIXO</t>
  </si>
  <si>
    <t>AG. LIB. CLIENTE</t>
  </si>
  <si>
    <t>Sai</t>
  </si>
  <si>
    <t xml:space="preserve">Torno </t>
  </si>
  <si>
    <t>IPA41</t>
  </si>
  <si>
    <t>PSO121</t>
  </si>
  <si>
    <t>SH43</t>
  </si>
  <si>
    <t>31A</t>
  </si>
  <si>
    <t>3G</t>
  </si>
  <si>
    <t>Raizen Benalcool</t>
  </si>
  <si>
    <t>48d</t>
  </si>
  <si>
    <t>111F</t>
  </si>
  <si>
    <t>45S</t>
  </si>
  <si>
    <t>AG. INFORMAÇÃO CLIENTE</t>
  </si>
  <si>
    <t>A.Subm</t>
  </si>
  <si>
    <t>Alivo</t>
  </si>
  <si>
    <t>47D</t>
  </si>
  <si>
    <t>DEP5</t>
  </si>
  <si>
    <t>P17</t>
  </si>
  <si>
    <t>Plaina</t>
  </si>
  <si>
    <t>34D</t>
  </si>
  <si>
    <t>D08</t>
  </si>
  <si>
    <t>P10</t>
  </si>
  <si>
    <t>P8</t>
  </si>
  <si>
    <t>10/08/206</t>
  </si>
  <si>
    <t>Acab</t>
  </si>
  <si>
    <t>TR. CHV</t>
  </si>
  <si>
    <t>REPROGRAMADO DIA 24/07</t>
  </si>
  <si>
    <t>Alivio</t>
  </si>
  <si>
    <t>Mandrilh.</t>
  </si>
  <si>
    <t>Guabira</t>
  </si>
  <si>
    <t>Inf</t>
  </si>
  <si>
    <t>15/07/206</t>
  </si>
  <si>
    <t>AG. RETORNAR</t>
  </si>
  <si>
    <t xml:space="preserve">EM USINAGEM </t>
  </si>
  <si>
    <t>Raizen Diamante</t>
  </si>
  <si>
    <t>Raizen Rafard</t>
  </si>
  <si>
    <t>Raizen Paraiso</t>
  </si>
  <si>
    <t>Raizen Lagoa da Prata</t>
  </si>
  <si>
    <t>Raizen Costa Pinto</t>
  </si>
  <si>
    <t>AG. DESENHO</t>
  </si>
  <si>
    <t>Remover SD</t>
  </si>
  <si>
    <t>Argolar</t>
  </si>
  <si>
    <t>Retificar</t>
  </si>
  <si>
    <t>laudo 24789/2026</t>
  </si>
  <si>
    <t>laudo 24792/2026</t>
  </si>
  <si>
    <t>OS/
Peça</t>
  </si>
  <si>
    <t>Enviar Terc.</t>
  </si>
  <si>
    <t>Retornar</t>
  </si>
  <si>
    <t>Solda Dura</t>
  </si>
  <si>
    <t>Desb</t>
  </si>
  <si>
    <t>F. Dente</t>
  </si>
  <si>
    <t>Envia T.T.</t>
  </si>
  <si>
    <t>Retorno T.T.</t>
  </si>
  <si>
    <t>Fur</t>
  </si>
  <si>
    <t>Lib</t>
  </si>
  <si>
    <t>OS/Peças</t>
  </si>
  <si>
    <t>A. Subm</t>
  </si>
  <si>
    <t xml:space="preserve"> Torno</t>
  </si>
  <si>
    <t>RODETE MOENDA Z16 - 54"</t>
  </si>
  <si>
    <t>RODETE MOENDA Z15 - 59"</t>
  </si>
  <si>
    <t>Ent. 7º - Mda 2</t>
  </si>
  <si>
    <t>RODETE MOENDA Z15 - 60"</t>
  </si>
  <si>
    <t>Sup. 2º - Mda 1</t>
  </si>
  <si>
    <t>Sup. 4º - Mda 1</t>
  </si>
  <si>
    <t>BAGACEIRA 59" C/ SOLDA DURA</t>
  </si>
  <si>
    <t>BAGACEIRA 60" C/ SOLDA DURA</t>
  </si>
  <si>
    <t>PENTE SUP.  INSERTO, FR. 2" - MDA 54"</t>
  </si>
  <si>
    <t>PENTE SUP.  INSERTO, FR. 2" - MDA 59"</t>
  </si>
  <si>
    <t>PENTE SUP.  INSERTO, FR. 1,5" - MDA 59"</t>
  </si>
  <si>
    <t>PENTE SUP.  INSERTO, FR 2" - MDA 78"</t>
  </si>
  <si>
    <t>PENTE SUP.  INSERTO, FR. 2" - MDA 60"</t>
  </si>
  <si>
    <t>PENTE SUP.  RETO EM CHAPA, FR. 2" - MDA 54"</t>
  </si>
  <si>
    <t>PENTE INF. CHAPA (SOLDADO), FR 2" - MDA 59"</t>
  </si>
  <si>
    <t>PENTE INF.  CHAPA (SOLDADO), FR 1,5" - MDA 59"</t>
  </si>
  <si>
    <t>PENTE INF.  CHAPA (SOLDADO), FR. 2" - MDA 78"</t>
  </si>
  <si>
    <t>PENTE INF.  CHAPA (SOLDADO), FR 2" - MDA 60"</t>
  </si>
  <si>
    <t>PENTE INF.  CHAPA (SOLDADO), FR 2" - MDA 59"</t>
  </si>
  <si>
    <t>AG. COMPRAR MATERIA PRIMA</t>
  </si>
  <si>
    <t>Santa Terezinha Tapejara</t>
  </si>
  <si>
    <t>FALTA ENCAMISAR</t>
  </si>
  <si>
    <t>SOL. 65529 - 02 Anéis - 24/07
FALTA ENCAMISAR</t>
  </si>
  <si>
    <t>CAIXA DE MANCAL INF S/ INOX - 84"</t>
  </si>
  <si>
    <t>CAPA MANCAL INFERIOR - 84"</t>
  </si>
  <si>
    <t>PARAFUSO DE REGULAGEM - MDA 84" A</t>
  </si>
  <si>
    <t>PORCA DE REGULAGEM - MDA 84"</t>
  </si>
  <si>
    <t>PLACA DESGASTE (SAE-67) - MDA 84"</t>
  </si>
  <si>
    <t>BRAÇO PENTE SUP. (DIREITO) - MDA 84"</t>
  </si>
  <si>
    <t>BRAÇO PENTE SUP. (ESQUERDO) - MDA 84"</t>
  </si>
  <si>
    <t>ALOJAMENTO DA PORCA DE REG. MDA 84"</t>
  </si>
  <si>
    <t>FECHAM DO ALOJ DA PORCA - MDA 84"</t>
  </si>
  <si>
    <t>FLANGE SUP. DE ALTA DRENAGEM- 84"</t>
  </si>
  <si>
    <t>PLACA DESGASTE LATERAL - MDA 84"</t>
  </si>
  <si>
    <t>SOL. 65352 e 65359 - BARRA LATÃO
DES. BOQUILHA =  AG. SOLICITAÇÃO USINAGEM</t>
  </si>
  <si>
    <t>US. BOQUILHAS - PED. 26491 - HTEC - PRAZO 07/08</t>
  </si>
  <si>
    <t>US. BOQUILHAS - PED. 26505 - FERRARI - 15/08 (MULTI FUROS)</t>
  </si>
  <si>
    <t>PARALISADA FUNDIÇÃO POR SOLICITAÇÃO DO CLIENTE</t>
  </si>
  <si>
    <t>SOL. 65837 - US. BOQUILHA (AG. MP)</t>
  </si>
  <si>
    <t>SOL. 65838 - US. BOQUILHA (AG. MP)</t>
  </si>
  <si>
    <t>SOL. 65839 - US. BOQUILHA (AG. MP)</t>
  </si>
  <si>
    <t>ok</t>
  </si>
  <si>
    <t>P1</t>
  </si>
  <si>
    <t>P4</t>
  </si>
  <si>
    <t>São Martinho</t>
  </si>
  <si>
    <t>CAPA MANCAL INF - 84"</t>
  </si>
  <si>
    <t>Zilor São Jose</t>
  </si>
  <si>
    <t>Manutenção Munhão</t>
  </si>
  <si>
    <t>Manutenção Caixa Mancal RP</t>
  </si>
  <si>
    <t>Zilor Barra Grande</t>
  </si>
  <si>
    <t>Manutenção Caixa Mancal Sup</t>
  </si>
  <si>
    <t>TRANSFORMAR EIXO 78" EM 54"</t>
  </si>
  <si>
    <t>SOL. 65878 - 02 Anéis - 24/07</t>
  </si>
  <si>
    <t>EIXO ENVIADO REFORMADO PELO CLIENTE</t>
  </si>
  <si>
    <t>EIXO NOVO ENVIADO PELO CLIENTE</t>
  </si>
  <si>
    <t>EIXO ENVIADO REFORMADO PELO CLIENTE
BOQUILHAS POR CONTA DO CLIENTE</t>
  </si>
  <si>
    <t>TRANF</t>
  </si>
  <si>
    <t>NOVO_1</t>
  </si>
  <si>
    <t>NOVO_2</t>
  </si>
  <si>
    <t>NOVO_3</t>
  </si>
  <si>
    <t>Mandr</t>
  </si>
  <si>
    <t>Serviço Usinagem Coquilha</t>
  </si>
  <si>
    <t>Transformar Eixo 78" em 54"</t>
  </si>
  <si>
    <t>Transformar Barra Forjada em Eixo</t>
  </si>
  <si>
    <t>Transformar Eixo 66" em 54" RP</t>
  </si>
  <si>
    <t>SOL. 65375 - BARRA LATÃO
AG. DESENHO SOLDA</t>
  </si>
  <si>
    <t>AG. DESENHO SOLDA</t>
  </si>
  <si>
    <t>MAT. PRIMA = OK</t>
  </si>
  <si>
    <t>AG. USINA ENVIAR FORJADO - PREV. 07/08/2026</t>
  </si>
  <si>
    <t>Sta Terezinha Tapejara</t>
  </si>
  <si>
    <t>Reforma Flange Moenda</t>
  </si>
  <si>
    <t>Sta Terezinha Iguatemi</t>
  </si>
  <si>
    <t>Sta Terezinha Terra Rica</t>
  </si>
  <si>
    <t>J11</t>
  </si>
  <si>
    <t>J14</t>
  </si>
  <si>
    <t>J13</t>
  </si>
  <si>
    <t>T4</t>
  </si>
  <si>
    <t>T2</t>
  </si>
  <si>
    <t>T1</t>
  </si>
  <si>
    <t>AG. USINAR CAMISA</t>
  </si>
  <si>
    <t>31/09/26</t>
  </si>
  <si>
    <t>Manutenção Rolo Inferior-J11</t>
  </si>
  <si>
    <t>Manutenção Rolo Inferior-J14</t>
  </si>
  <si>
    <t>Manutenção Rolo Superior-J13</t>
  </si>
  <si>
    <t>Manutenção Rolo Inferior-T4</t>
  </si>
  <si>
    <t>Manutenção Rolo Inferior-T2</t>
  </si>
  <si>
    <t>Manutenção Rolo Superior-T1</t>
  </si>
  <si>
    <t>Bruta</t>
  </si>
  <si>
    <t>46"</t>
  </si>
  <si>
    <t>59"</t>
  </si>
  <si>
    <t>89"</t>
  </si>
  <si>
    <t>CCM</t>
  </si>
  <si>
    <t>Não temos ferrantal para Fundir</t>
  </si>
  <si>
    <t>em usinagem RWR</t>
  </si>
  <si>
    <t>em usinagem LPB</t>
  </si>
  <si>
    <t>LAUDO 7219/2026-R0</t>
  </si>
  <si>
    <t>BOQUILHAS EM USINAGEM
FUNDBRONZE - 31/07</t>
  </si>
  <si>
    <t>Centra Moreno</t>
  </si>
  <si>
    <t>PENTE SUP. TIPO CONVENCIONAL, FR 2" -  90"</t>
  </si>
  <si>
    <t>PENTE INF. TIPO CONVENCIONAL, FR 1,5" - 90"</t>
  </si>
  <si>
    <t>Estoque</t>
  </si>
  <si>
    <t>Bazan</t>
  </si>
  <si>
    <t xml:space="preserve">PENTE SUP.  TIPO RETO C/ ENCAIXE, FR 2" - 78" </t>
  </si>
  <si>
    <t>PENTE INF. TIPO CONVENCIONAL, FR 2" - 78"</t>
  </si>
  <si>
    <t xml:space="preserve">PENTE SUP  TIPO RETO C/ ENCAIXE, FR 2" - 84" </t>
  </si>
  <si>
    <t>UTILIZOU DO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</si>
</sst>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5" formatCode="##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8"/>
      <color rgb="FF000080"/>
      <name val="MS Sans Serif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0"/>
      <name val="Aptos Display"/>
      <family val="2"/>
      <scheme val="maj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80000"/>
      <name val="Aptos Narrow"/>
      <family val="2"/>
      <scheme val="minor"/>
    </font>
    <font>
      <sz val="10"/>
      <color rgb="FF3B3B3B"/>
      <name val="Aptos Narrow"/>
      <family val="2"/>
    </font>
    <font>
      <sz val="10"/>
      <name val="Aptos Narrow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sz val="9"/>
      <name val="Arial"/>
      <family val="2"/>
    </font>
    <font>
      <sz val="10"/>
      <color rgb="FF000000"/>
      <name val="Aptos Display"/>
      <family val="2"/>
    </font>
    <font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3B3B3B"/>
      <name val="Aptos Narrow"/>
      <family val="2"/>
      <scheme val="minor"/>
    </font>
    <font>
      <sz val="10"/>
      <color rgb="FF080000"/>
      <name val="Aptos Display"/>
      <family val="2"/>
      <scheme val="major"/>
    </font>
    <font>
      <sz val="11"/>
      <color rgb="FF3B3B3B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left" indent="2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4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14" fontId="13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65" fontId="1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165" fontId="16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14" fontId="17" fillId="0" borderId="0" xfId="0" applyNumberFormat="1" applyFont="1"/>
    <xf numFmtId="0" fontId="17" fillId="0" borderId="0" xfId="0" applyFont="1"/>
    <xf numFmtId="1" fontId="17" fillId="0" borderId="0" xfId="0" applyNumberFormat="1" applyFon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" fontId="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/>
    </xf>
    <xf numFmtId="164" fontId="21" fillId="0" borderId="0" xfId="0" applyNumberFormat="1" applyFont="1"/>
    <xf numFmtId="0" fontId="19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165" fontId="24" fillId="0" borderId="0" xfId="0" applyNumberFormat="1" applyFont="1" applyAlignment="1">
      <alignment horizontal="center" vertical="top" wrapText="1"/>
    </xf>
    <xf numFmtId="0" fontId="25" fillId="0" borderId="0" xfId="0" applyFont="1" applyAlignment="1">
      <alignment horizontal="center"/>
    </xf>
    <xf numFmtId="14" fontId="25" fillId="0" borderId="0" xfId="0" applyNumberFormat="1" applyFont="1"/>
    <xf numFmtId="0" fontId="1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14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wrapText="1"/>
    </xf>
    <xf numFmtId="165" fontId="24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Vírgula 2" xfId="1" xr:uid="{8785E80A-1CD4-4609-8517-D88B418F2B05}"/>
  </cellStyles>
  <dxfs count="225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lightDown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dd/mm/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79512-8F08-4F92-A755-B1320B33B48D}" name="Tabela1" displayName="Tabela1" ref="A1:AD120" totalsRowShown="0" headerRowDxfId="194" dataDxfId="193">
  <autoFilter ref="A1:AD120" xr:uid="{0B979512-8F08-4F92-A755-B1320B33B48D}"/>
  <tableColumns count="30">
    <tableColumn id="1" xr3:uid="{2AE87B23-57FB-4D7F-8BFD-D65EC0053BA3}" name="PV" dataDxfId="192"/>
    <tableColumn id="2" xr3:uid="{81052488-0765-4420-B185-DA73AE55FD88}" name="Item" dataDxfId="191"/>
    <tableColumn id="3" xr3:uid="{0E7DB960-0044-4341-ADB4-2A033B27B993}" name="OS/Peças" dataDxfId="190"/>
    <tableColumn id="4" xr3:uid="{B0F20CBE-FFF4-445B-B0BF-7A9C6A140189}" name="Seq." dataDxfId="189"/>
    <tableColumn id="5" xr3:uid="{D1656E30-4AB0-4CD0-BF13-6D5A49C6E4A0}" name="Cliente" dataDxfId="188"/>
    <tableColumn id="8" xr3:uid="{0D871CDA-AC7B-4365-B4FD-95C8967CF254}" name="Descrição" dataDxfId="187"/>
    <tableColumn id="9" xr3:uid="{9C6311D3-DE8E-4A12-8716-11D7CF745EA9}" name="Qtde." dataDxfId="186"/>
    <tableColumn id="10" xr3:uid="{0D119764-5D6A-44D7-A0C6-EAAE37326AEF}" name="Prazo_x000a_Fundido" dataDxfId="185"/>
    <tableColumn id="11" xr3:uid="{357F67DE-6B6F-4353-906F-4FBB26ED7226}" name="Pz Fundido_x000a_Real" dataDxfId="184"/>
    <tableColumn id="12" xr3:uid="{5CF37CA2-8EC2-4A06-8A50-1305C1129D14}" name="Prazo_x000a_Entrega" dataDxfId="183"/>
    <tableColumn id="36" xr3:uid="{903E641C-0F4A-465E-9B87-4C77A3724350}" name="Pz Entrega_x000a_Real" dataDxfId="182"/>
    <tableColumn id="14" xr3:uid="{49E3A48F-4FBA-45ED-9BE5-0D3F2C039F64}" name="Dias_x000a_Falta2" dataDxfId="181">
      <calculatedColumnFormula>Tabela1[[#This Row],[Prazo
Entrega]]-TODAY()</calculatedColumnFormula>
    </tableColumn>
    <tableColumn id="24" xr3:uid="{FE82CCB3-C196-4A10-9CDF-EC3AAB610284}" name="Indicador" dataDxfId="180">
      <calculatedColumnFormula>IF(L2&lt;0,"ATRASADO",IF(L2&lt;=15,"ATENÇÃO","NO PRAZO"))</calculatedColumnFormula>
    </tableColumn>
    <tableColumn id="22" xr3:uid="{8BBF8940-A612-415C-B30B-5BED69C42E59}" name="CONDIÇÃO" dataDxfId="179"/>
    <tableColumn id="35" xr3:uid="{DF0F32C7-2632-41CB-B20E-BE67D32DDFF8}" name="Desenho_x000a_Previsão" dataDxfId="178"/>
    <tableColumn id="33" xr3:uid="{B0C0F319-983E-42D8-8584-16523AED9BC7}" name="Des." dataDxfId="177"/>
    <tableColumn id="32" xr3:uid="{BB84EAAB-24E7-433E-8DE8-B7705F525D65}" name="OP1" dataDxfId="176"/>
    <tableColumn id="30" xr3:uid="{EFE986D2-325F-4223-A6FC-89AFC0782517}" name="OP2" dataDxfId="175"/>
    <tableColumn id="29" xr3:uid="{806CC413-43AC-4EDE-9413-A2852780B283}" name="OP3" dataDxfId="174"/>
    <tableColumn id="28" xr3:uid="{669E3B74-6C47-4551-B95C-DE764412CB09}" name="OP4" dataDxfId="173"/>
    <tableColumn id="27" xr3:uid="{33B1427B-026C-4955-BEDC-C39ECFB35542}" name="OP5" dataDxfId="172"/>
    <tableColumn id="34" xr3:uid="{2004DA6B-65E8-4CFF-8DD6-03937C8E23A7}" name="OP6" dataDxfId="171"/>
    <tableColumn id="25" xr3:uid="{94AD153B-B1BE-422C-9B64-A3F125946AE5}" name="OP7" dataDxfId="170"/>
    <tableColumn id="23" xr3:uid="{6FFD36BA-4C85-4732-ACA9-BC9D46F4C26B}" name="Status Us." dataDxfId="169">
      <calculatedColumnFormula>IF(I2="","AG. FUNDIDO",IF(Q2="AG","AG. USINAGEM","EM USINAGEM"))</calculatedColumnFormula>
    </tableColumn>
    <tableColumn id="26" xr3:uid="{DF8CD1DA-6F25-4291-9F78-DB8D5E9AF463}" name="Obs." dataDxfId="168"/>
    <tableColumn id="15" xr3:uid="{8F53CFFE-8E1C-41F5-9090-488AE701829C}" name="Plainar_x000a_Facear" dataDxfId="167"/>
    <tableColumn id="16" xr3:uid="{EB12A620-BA24-453B-B639-A28F83CF7950}" name="Serrar2" dataDxfId="166"/>
    <tableColumn id="17" xr3:uid="{46D65A07-940A-4560-AFE5-056D37171937}" name="Solda_x000a_Dura2" dataDxfId="165"/>
    <tableColumn id="18" xr3:uid="{97823986-0C6D-4D6F-9BEE-2E43C2286AB2}" name="Encaixe /_x000a_Furação" dataDxfId="164"/>
    <tableColumn id="19" xr3:uid="{6F1924AE-480F-421A-BD70-FA16D1D4E641}" name="Acabam./_x000a_Inspeção" dataDxfId="16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E71FAB-CF6D-4765-90BA-ABDE8C3299DB}" name="Tabela3" displayName="Tabela3" ref="A1:W214" totalsRowShown="0" headerRowDxfId="24" dataDxfId="23">
  <autoFilter ref="A1:W214" xr:uid="{71E71FAB-CF6D-4765-90BA-ABDE8C3299DB}">
    <filterColumn colId="4">
      <filters>
        <filter val="Bazan"/>
      </filters>
    </filterColumn>
  </autoFilter>
  <tableColumns count="23">
    <tableColumn id="1" xr3:uid="{8F000DF9-1B1A-450A-B138-9EDBA7F17698}" name="PV" dataDxfId="22"/>
    <tableColumn id="2" xr3:uid="{4269DD7F-E557-42AF-949B-69AB74B45D7E}" name="Item" dataDxfId="21"/>
    <tableColumn id="3" xr3:uid="{B8E3D127-9007-43BC-9B71-611446984BAE}" name="OS/_x000a_Peça" dataDxfId="20"/>
    <tableColumn id="4" xr3:uid="{8A9FBC4E-431D-4132-B7C4-86DD1CC31C1D}" name="Seq." dataDxfId="19"/>
    <tableColumn id="5" xr3:uid="{E43CCBA4-A724-44DA-9BFB-2AD45322EC54}" name="Cliente" dataDxfId="18"/>
    <tableColumn id="8" xr3:uid="{39F09B1D-71EC-461C-93C5-C5FCECCA0EC0}" name="Descrição" dataDxfId="17"/>
    <tableColumn id="9" xr3:uid="{0CC8781A-4370-473C-AD18-F562622EB79C}" name="Qtde." dataDxfId="16"/>
    <tableColumn id="10" xr3:uid="{8FC48674-090B-441A-B05D-5E7E4AB5177C}" name="Prazo_x000a_Fundido" dataDxfId="15"/>
    <tableColumn id="12" xr3:uid="{F410DF31-AFC5-4525-B8D3-A2AB464611B3}" name="Pz Fundido_x000a_Real" dataDxfId="14"/>
    <tableColumn id="13" xr3:uid="{7330A8B8-B0FE-4571-921F-35503842576A}" name="Prazo_x000a_Entrega" dataDxfId="13"/>
    <tableColumn id="23" xr3:uid="{050BF892-6E0A-4C1A-85E3-06353D54D7AC}" name="Pz Entrega_x000a_Real" dataDxfId="12"/>
    <tableColumn id="22" xr3:uid="{07396B9E-F2A0-47CC-B1C1-8D6A8D782E82}" name="Desenho_x000a_Previsão" dataDxfId="11"/>
    <tableColumn id="14" xr3:uid="{98904960-EE6F-4F44-87C3-8646B8C2D461}" name="Des." dataDxfId="10"/>
    <tableColumn id="15" xr3:uid="{4C38D84D-3A40-493A-A007-3826C38C0F9D}" name="Dias_x000a_Falta2" dataDxfId="9">
      <calculatedColumnFormula>Tabela3[[#This Row],[Prazo
Entrega]]-TODAY()</calculatedColumnFormula>
    </tableColumn>
    <tableColumn id="16" xr3:uid="{431C9D70-8530-4071-911B-7AAC65DE848C}" name="Indicador" dataDxfId="8">
      <calculatedColumnFormula>IF(N2&lt;0,"ATRASADO",IF(N2&lt;=15,"ATENÇÃO","NO PRAZO"))</calculatedColumnFormula>
    </tableColumn>
    <tableColumn id="19" xr3:uid="{A127FC22-0D53-4D0F-B783-28394B3FD90C}" name="CONDIÇÃO" dataDxfId="5"/>
    <tableColumn id="17" xr3:uid="{C7F76CF8-5A2A-4921-A3C5-76F960930981}" name="OP1" dataDxfId="6"/>
    <tableColumn id="11" xr3:uid="{39173775-3C78-4FE9-BDCF-83499538BE89}" name="OP2" dataDxfId="4"/>
    <tableColumn id="7" xr3:uid="{F3976AE8-D66C-4536-AE65-B0A7AE46E4B7}" name="OP3" dataDxfId="3"/>
    <tableColumn id="6" xr3:uid="{A70D2F75-F894-4AF7-B60D-3007B9A62CEA}" name="OP4" dataDxfId="2"/>
    <tableColumn id="24" xr3:uid="{A3AFB759-0D7A-44E1-888F-4B5B0EB8A822}" name="OP5" dataDxfId="1"/>
    <tableColumn id="20" xr3:uid="{F610A49E-78E2-480E-B901-6B99A41E5174}" name="Status Usinagem" dataDxfId="0"/>
    <tableColumn id="21" xr3:uid="{FA7288EB-0143-4C36-8591-BF7231A8226E}" name="Observação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C3BD9-7BAA-49FB-9F98-CFD415149194}" name="Tabela13" displayName="Tabela13" ref="A1:Y56" totalsRowShown="0" headerRowDxfId="162" dataDxfId="161">
  <autoFilter ref="A1:Y56" xr:uid="{2AC5416C-4E1B-4478-8A2A-B698870CAB96}"/>
  <tableColumns count="25">
    <tableColumn id="1" xr3:uid="{9A983B4E-3365-4153-9B40-D7FE26E8B98F}" name="PV " dataDxfId="160"/>
    <tableColumn id="2" xr3:uid="{4F16CD54-AAD4-4149-8D48-CC3FFEA93AA5}" name="Item" dataDxfId="159"/>
    <tableColumn id="3" xr3:uid="{27DB1DBC-B9DA-4067-9696-8CA5ACAAA450}" name="OS/_x000a_Peça" dataDxfId="158"/>
    <tableColumn id="4" xr3:uid="{02C5E283-8ABF-44F8-B3B8-C3F186B4DF63}" name="Seq." dataDxfId="157"/>
    <tableColumn id="5" xr3:uid="{B1051CBE-EA72-4A43-8721-8756F3E2C9C9}" name="Cliente" dataDxfId="156"/>
    <tableColumn id="8" xr3:uid="{9EBF401A-1F29-4CB3-BFA3-F2B326242AB0}" name="Descrição" dataDxfId="155"/>
    <tableColumn id="14" xr3:uid="{85D3397C-7F95-49C7-BFFB-35012CA3B716}" name="Qtd." dataDxfId="154"/>
    <tableColumn id="9" xr3:uid="{0D04583C-577A-446B-9773-A173C5C1C166}" name="Data Prev._x000a_Fundido" dataDxfId="153"/>
    <tableColumn id="10" xr3:uid="{935D3899-0C12-4408-89DF-490A507F79BA}" name="Data Real_x000a_Fundido" dataDxfId="152"/>
    <tableColumn id="11" xr3:uid="{0F06941F-293B-4C15-9764-BB3495C5D3BD}" name="Data Prev._x000a_Entrega" dataDxfId="151"/>
    <tableColumn id="12" xr3:uid="{92FF2511-5498-45BF-9B68-94DBEA588C5A}" name="Data Real_x000a_Entrega" dataDxfId="150"/>
    <tableColumn id="25" xr3:uid="{98545C7E-9674-485C-A07D-715E8945B00E}" name="Falta_x000a_Dias" dataDxfId="149">
      <calculatedColumnFormula>Tabela13[[#This Row],[Data Prev.
Entrega]]-TODAY()</calculatedColumnFormula>
    </tableColumn>
    <tableColumn id="27" xr3:uid="{4EB63243-AA79-4695-93C8-CEA977B11387}" name="Indicador" dataDxfId="148">
      <calculatedColumnFormula>IF(L2&lt;0,"ATRASADO",IF(L2&lt;=15,"ATENÇÃO","NO PRAZO"))</calculatedColumnFormula>
    </tableColumn>
    <tableColumn id="15" xr3:uid="{7AB992C1-F70E-4469-85BB-EBB7763B2038}" name="Condição" dataDxfId="147"/>
    <tableColumn id="24" xr3:uid="{B5965349-4BC8-4DF7-9EB4-857B6D471E8A}" name="Desenho_x000a_Previsão" dataDxfId="146"/>
    <tableColumn id="13" xr3:uid="{FD827F61-5F7F-4B65-8A60-B59D23455B46}" name="Des." dataDxfId="145"/>
    <tableColumn id="16" xr3:uid="{3D186A5F-076F-4232-B21C-37E58E5373B2}" name="OP1" dataDxfId="144"/>
    <tableColumn id="17" xr3:uid="{6EEDF11E-F341-4B3E-8CD2-5595785C3427}" name="OP2" dataDxfId="143"/>
    <tableColumn id="26" xr3:uid="{286BF833-DF55-496A-BA42-E4A8CD9042A8}" name="OP3" dataDxfId="142"/>
    <tableColumn id="18" xr3:uid="{A84EFCF4-218F-4B17-8F46-8D5412141429}" name="OP4" dataDxfId="141"/>
    <tableColumn id="19" xr3:uid="{EBD50149-594D-440E-BFBB-E73ACAF7B6F8}" name="OP5" dataDxfId="140"/>
    <tableColumn id="20" xr3:uid="{91BE30ED-20C1-4F30-9041-45A50CCA04F0}" name="OP6" dataDxfId="139"/>
    <tableColumn id="21" xr3:uid="{A1A12DF6-FC3D-4466-8284-DBD00DEAF994}" name="OP7" dataDxfId="138"/>
    <tableColumn id="22" xr3:uid="{436F202D-DCF4-4376-A550-2541153BD99F}" name="Status Usinagem" dataDxfId="137">
      <calculatedColumnFormula>IF(I2="","AG. FUNDIDO",IF(W2="OK","LIBERADA","EM USINAGEM"))</calculatedColumnFormula>
    </tableColumn>
    <tableColumn id="23" xr3:uid="{F71E5739-8B79-47B3-9A24-E2E4D1DD46E6}" name="Observação" dataDxfId="1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A44271-44C6-408A-A6A6-B543ACC82025}" name="Tabela7" displayName="Tabela7" ref="A1:U65" totalsRowShown="0" headerRowDxfId="135" dataDxfId="134">
  <autoFilter ref="A1:U65" xr:uid="{4BA44271-44C6-408A-A6A6-B543ACC82025}"/>
  <tableColumns count="21">
    <tableColumn id="1" xr3:uid="{59A78859-607B-43B6-A1C1-8FD9058D131E}" name="PV" dataDxfId="133"/>
    <tableColumn id="2" xr3:uid="{5AC3CDB0-EECF-4366-AABB-10D4632E5647}" name="Item" dataDxfId="132"/>
    <tableColumn id="3" xr3:uid="{CA90DF44-B521-495F-A8BF-53A3271A5DAF}" name="Cliente" dataDxfId="131"/>
    <tableColumn id="4" xr3:uid="{12AD5BC7-853C-41A0-AF2A-10508DE122E6}" name="Descrição" dataDxfId="130"/>
    <tableColumn id="5" xr3:uid="{04BE35C7-D026-451E-8D4A-708772E0EEA0}" name="Qtde." dataDxfId="129"/>
    <tableColumn id="6" xr3:uid="{A8C5072F-7F3F-44B2-9E08-0B2B05394BBD}" name="Bit" dataDxfId="128"/>
    <tableColumn id="21" xr3:uid="{CA10AF60-179E-4208-9164-EC57F967A475}" name="Terno" dataDxfId="127"/>
    <tableColumn id="7" xr3:uid="{817D5A28-820D-426F-9B7B-6D7C33A33750}" name="Desenho_x000a_Previsão" dataDxfId="126"/>
    <tableColumn id="8" xr3:uid="{2AD27BA2-0CC6-4648-8F39-70EA6F2DCA28}" name="Des." dataDxfId="125"/>
    <tableColumn id="9" xr3:uid="{AD513A49-4F2F-4FD4-BABD-5E91B76CDAAC}" name="Prazo_x000a_Entrega" dataDxfId="124"/>
    <tableColumn id="10" xr3:uid="{DDFA283B-37B1-4509-9A90-96F168A6EA1A}" name="OP1" dataDxfId="123"/>
    <tableColumn id="11" xr3:uid="{7E5D6482-94D4-4961-A07A-AA83431642CA}" name="OP2" dataDxfId="122"/>
    <tableColumn id="12" xr3:uid="{3C73DB98-7E09-4F7D-99A4-F49C8EFED7C1}" name="OP3" dataDxfId="121"/>
    <tableColumn id="13" xr3:uid="{C9B276C1-EAA2-44D3-BC63-09DEABE1333C}" name="OP4" dataDxfId="120"/>
    <tableColumn id="14" xr3:uid="{701CD035-8F78-4DD2-ADB3-14616A43EDDD}" name="OP5" dataDxfId="119"/>
    <tableColumn id="15" xr3:uid="{FEC9B4B9-312E-4D84-9BEC-71B7DBB01E5B}" name="OP6" dataDxfId="118"/>
    <tableColumn id="16" xr3:uid="{43FA3F4C-88C2-41D3-860E-2222B637DA98}" name="OP7" dataDxfId="117"/>
    <tableColumn id="17" xr3:uid="{25BFED7E-9400-4EBB-9B25-F0519E3A306F}" name="OP8" dataDxfId="116"/>
    <tableColumn id="18" xr3:uid="{5536059E-6F8D-4810-A678-B0DF23A1ECE4}" name="OP9" dataDxfId="115"/>
    <tableColumn id="19" xr3:uid="{03C085CC-9EDE-476B-8644-A15B2377E8CA}" name="Status" dataDxfId="114"/>
    <tableColumn id="20" xr3:uid="{3944B797-D6B2-47B5-A9F2-815EB3A25DE8}" name="Observação" dataDxfId="1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F252D-0322-4579-B9EF-622E98B5994C}" name="Tabela4" displayName="Tabela4" ref="A1:R147" totalsRowShown="0" headerRowDxfId="112" dataDxfId="111">
  <autoFilter ref="A1:R147" xr:uid="{8F2F252D-0322-4579-B9EF-622E98B5994C}">
    <filterColumn colId="4">
      <filters>
        <filter val="Coopcana"/>
      </filters>
    </filterColumn>
  </autoFilter>
  <tableColumns count="18">
    <tableColumn id="1" xr3:uid="{56D3DA8E-4CA8-4DC6-8208-BAB93CDE51C0}" name="PV" dataDxfId="110"/>
    <tableColumn id="2" xr3:uid="{B14AE1B6-8C05-4725-BF42-3DBDB37AA4E3}" name="item" dataDxfId="109"/>
    <tableColumn id="3" xr3:uid="{24FE1002-C88A-4623-8882-5F391ECAB319}" name="OS/Peças" dataDxfId="108"/>
    <tableColumn id="4" xr3:uid="{4ED6249C-2003-4F3F-AE5A-67316434275E}" name="Seq." dataDxfId="107"/>
    <tableColumn id="5" xr3:uid="{6CE5B2E1-F32C-4D32-93F0-A17C05267ADB}" name="Cliente" dataDxfId="106"/>
    <tableColumn id="6" xr3:uid="{605F51C8-79D3-407B-8642-02F131952C62}" name="Qtd." dataDxfId="105"/>
    <tableColumn id="9" xr3:uid="{5366226E-7F3B-42E4-AC0C-86C659505CC8}" name="Descrição" dataDxfId="104"/>
    <tableColumn id="10" xr3:uid="{B0D229C5-5F5A-4951-A0B4-FEA62AEFBB36}" name="Prazo_x000a_Fundido" dataDxfId="103"/>
    <tableColumn id="11" xr3:uid="{8AE09F18-EB17-4537-8FBD-24671292144B}" name="Pz Fundido_x000a_Real" dataDxfId="102"/>
    <tableColumn id="12" xr3:uid="{965E0234-7E4B-482D-8943-132C1520AD21}" name="Prazo_x000a_Entrega" dataDxfId="101"/>
    <tableColumn id="13" xr3:uid="{D70BE32E-86AF-4C0F-893D-AC939E731683}" name="Pz Entrega_x000a_Real" dataDxfId="100"/>
    <tableColumn id="15" xr3:uid="{2FE637E5-62E2-4AE9-AE5A-BC264DC93D4F}" name="Falta_x000a_Dias" dataDxfId="99">
      <calculatedColumnFormula>Tabela4[[#This Row],[Prazo
Entrega]]-TODAY()</calculatedColumnFormula>
    </tableColumn>
    <tableColumn id="14" xr3:uid="{23AEF4D3-817F-4A15-AFBA-EC837E4BE1AE}" name="Indicador" dataDxfId="98">
      <calculatedColumnFormula>IF(L2&lt;0,"ATRASADO",IF(L2&lt;=15,"ATENÇÃO","NO PRAZO"))</calculatedColumnFormula>
    </tableColumn>
    <tableColumn id="16" xr3:uid="{78F55B7C-8E60-49C5-B1F7-B023E76BDA6E}" name="Condição" dataDxfId="97"/>
    <tableColumn id="20" xr3:uid="{A889C1FB-2FE0-407A-B849-FEB9F2CA4F96}" name="Desenho_x000a_Previsão" dataDxfId="96"/>
    <tableColumn id="19" xr3:uid="{FB1E21D0-A118-422F-AA5B-F56FFBA7B5E4}" name="Des." dataDxfId="95"/>
    <tableColumn id="17" xr3:uid="{C14325D6-C653-45B3-B85F-6AF107A71546}" name="Status" dataDxfId="94"/>
    <tableColumn id="18" xr3:uid="{C6F7CA6A-B8B3-4E22-B3E8-05FFB1A03AB6}" name="Observação" dataDxfId="93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F50CE1-35A6-4ABA-9594-79B9C39908E8}" name="Tabela6" displayName="Tabela6" ref="A1:AB225" totalsRowShown="0" headerRowDxfId="224" dataDxfId="223">
  <autoFilter ref="A1:AB225" xr:uid="{08F50CE1-35A6-4ABA-9594-79B9C39908E8}">
    <filterColumn colId="2">
      <filters>
        <filter val="Cafealcool"/>
      </filters>
    </filterColumn>
  </autoFilter>
  <tableColumns count="28">
    <tableColumn id="1" xr3:uid="{C25E2119-68FD-4765-BAFB-8CC2FA75E790}" name="PV" dataDxfId="222"/>
    <tableColumn id="2" xr3:uid="{39E67E43-7C76-4E6C-9319-15A91DE1C08C}" name="Item" dataDxfId="221"/>
    <tableColumn id="4" xr3:uid="{5B6759FC-B832-438E-B60C-770FAF7723FA}" name="Cliente" dataDxfId="220"/>
    <tableColumn id="5" xr3:uid="{20CFBF4C-4BD9-4F05-86D4-8A4AFFC243B2}" name="_x000a_O.S./Peça" dataDxfId="219"/>
    <tableColumn id="6" xr3:uid="{3994BD48-BFFD-46D2-9740-EDD282F2590D}" name="Descrição" dataDxfId="218"/>
    <tableColumn id="7" xr3:uid="{261AA518-FC82-431F-8839-D26554B59355}" name="Qtde." dataDxfId="217"/>
    <tableColumn id="24" xr3:uid="{0C566A21-B9D9-4AD7-A8B3-328E480EA286}" name="Bit" dataDxfId="216"/>
    <tableColumn id="17" xr3:uid="{7631FA30-8167-4961-B0E8-981A96ADEF58}" name="Tipo" dataDxfId="215"/>
    <tableColumn id="3" xr3:uid="{4F794446-D6E6-4C06-B881-9408CC542675}" name="Pos." dataDxfId="214"/>
    <tableColumn id="26" xr3:uid="{C41F63A6-DC4C-42FE-A13B-3E56F237270D}" name="Terno" dataDxfId="213"/>
    <tableColumn id="16" xr3:uid="{FF0A908E-E8EE-4CA0-96FA-38C032BFEFDE}" name="Forma" dataDxfId="212"/>
    <tableColumn id="12" xr3:uid="{C314135B-6E96-4285-97CB-3F7155419270}" name="Nº Eixo" dataDxfId="211"/>
    <tableColumn id="9" xr3:uid="{DE0283F8-D4F6-449C-A9CA-7DBCB898DFD9}" name="Prazo_x000a_Fund" dataDxfId="210"/>
    <tableColumn id="10" xr3:uid="{663D9716-4C25-4ACC-A105-E9E7A474BCE6}" name="Prazo_x000a_Fund Real" dataDxfId="209"/>
    <tableColumn id="11" xr3:uid="{6EF58C27-546C-4B57-B05D-BB07C2046388}" name="Prazo_x000a_Entrega_x000a_Camisa" dataDxfId="208"/>
    <tableColumn id="13" xr3:uid="{506EC589-7ED2-4A3B-BED8-6CA8F57277E1}" name="Desenho_x000a_Previsão" dataDxfId="207"/>
    <tableColumn id="14" xr3:uid="{A31AB572-7F13-4A5C-A42E-7E7A20433BDA}" name="Des." dataDxfId="206"/>
    <tableColumn id="33" xr3:uid="{9D21190D-5788-4F29-AED2-63644BCE6C32}" name="OP1" dataDxfId="205"/>
    <tableColumn id="30" xr3:uid="{6C8FD4D3-300E-4009-A264-D6FBC780DE60}" name="OP2" dataDxfId="204"/>
    <tableColumn id="28" xr3:uid="{533BCCB9-B72A-4E3A-BE20-626EE2E49D83}" name="OP3" dataDxfId="203"/>
    <tableColumn id="27" xr3:uid="{58435D6B-01D7-44DD-9B21-62EB23C9AA4F}" name="OP4" dataDxfId="202"/>
    <tableColumn id="25" xr3:uid="{B00B175A-D2BA-4783-8EBD-A000C46B6055}" name="OP5" dataDxfId="201"/>
    <tableColumn id="20" xr3:uid="{1C48207C-2D30-42CB-BD4E-0C9B569C9BCB}" name="OP6" dataDxfId="200"/>
    <tableColumn id="35" xr3:uid="{5857075F-D742-43D2-AD1F-F2BB8219D8E7}" name="OP7" dataDxfId="199"/>
    <tableColumn id="15" xr3:uid="{46F62312-EE93-4C00-9352-8A9BF48479C9}" name="OP8" dataDxfId="198"/>
    <tableColumn id="8" xr3:uid="{81AAED83-3114-4366-BECD-21F933A26FE9}" name="OP9" dataDxfId="197"/>
    <tableColumn id="18" xr3:uid="{F5387D14-C7D5-4022-901B-04E5D65304C7}" name="Status_x000a_Camisa" dataDxfId="196"/>
    <tableColumn id="19" xr3:uid="{A08285BC-8B0E-4492-A6AF-090B851B036D}" name="Observação" dataDxfId="19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11020D-4239-47C9-B941-F45CAD7BBE3D}" name="Tabela66" displayName="Tabela66" ref="A1:W118" totalsRowShown="0" headerRowDxfId="92" dataDxfId="91">
  <autoFilter ref="A1:W118" xr:uid="{08F50CE1-35A6-4ABA-9594-79B9C39908E8}">
    <filterColumn colId="2">
      <filters>
        <filter val="Cafealcool"/>
      </filters>
    </filterColumn>
  </autoFilter>
  <tableColumns count="23">
    <tableColumn id="2" xr3:uid="{FC1EB755-1B51-4973-AF64-F8D88603C831}" name="PV" dataDxfId="90"/>
    <tableColumn id="3" xr3:uid="{C1512D5D-E928-4CC2-9A29-8484494EA1A7}" name="Item" dataDxfId="89"/>
    <tableColumn id="4" xr3:uid="{DD6014DD-F2DC-47D0-A44B-A9397730BE4E}" name="Cliente" dataDxfId="88"/>
    <tableColumn id="6" xr3:uid="{59911696-06D3-45A5-970B-2AD22F609E28}" name="Descrição" dataDxfId="87"/>
    <tableColumn id="7" xr3:uid="{8F359B2A-1452-4DD5-8078-A592FF1FAEDA}" name="Qtde." dataDxfId="86"/>
    <tableColumn id="24" xr3:uid="{6ACDF30B-4FA5-46F2-B973-769AFF1A7ED5}" name="Bit" dataDxfId="85"/>
    <tableColumn id="9" xr3:uid="{E800A3D3-0303-4259-A58F-C223C4C1BA42}" name="Pos." dataDxfId="84"/>
    <tableColumn id="26" xr3:uid="{CA14875A-A13A-4CA2-81ED-1A988AD78208}" name="Terno" dataDxfId="83"/>
    <tableColumn id="11" xr3:uid="{2AE87132-0DBA-40D2-AB92-CEAC0877A62E}" name="Prazo_x000a_Entrega_x000a_Eixo" dataDxfId="82"/>
    <tableColumn id="13" xr3:uid="{75F62D18-9AFA-4320-9551-17D7D3F48733}" name="Desenho_x000a_Previsão" dataDxfId="81"/>
    <tableColumn id="14" xr3:uid="{0E91F17A-D1CD-4B1F-B5BA-F593FF862042}" name="Des." dataDxfId="80"/>
    <tableColumn id="1" xr3:uid="{94AA572C-41FE-43EA-AB0E-69CD585A6CEF}" name="Nº Eixo" dataDxfId="79"/>
    <tableColumn id="33" xr3:uid="{49915B29-1E2A-403B-BB52-E050204325AB}" name="OP1" dataDxfId="78"/>
    <tableColumn id="30" xr3:uid="{918DBD98-C28A-4CAB-8273-DEB81CE88B05}" name="OP2" dataDxfId="77"/>
    <tableColumn id="28" xr3:uid="{F99FDFD5-3B70-48B1-93CD-89C55B3CE706}" name="OP3" dataDxfId="76"/>
    <tableColumn id="27" xr3:uid="{3B6FF2E7-14DF-4DBF-B5AB-5AC8D2BE1CDD}" name="OP4" dataDxfId="75"/>
    <tableColumn id="25" xr3:uid="{0837249B-09C0-43AA-A6F1-42C6831ED1C4}" name="OP5" dataDxfId="74"/>
    <tableColumn id="20" xr3:uid="{9AB76328-313A-4CD8-9CB1-5AB1453CAE9E}" name="OP6" dataDxfId="73"/>
    <tableColumn id="35" xr3:uid="{B32C0B30-5F3F-42B0-8DFF-98B0B8FB2893}" name="OP7" dataDxfId="72"/>
    <tableColumn id="15" xr3:uid="{AF3E8433-61CF-422E-9FA2-91C9BA8DC757}" name="OP8" dataDxfId="71"/>
    <tableColumn id="8" xr3:uid="{A6F4F508-1C53-4E9B-9746-79444D0123BB}" name="OP9" dataDxfId="70"/>
    <tableColumn id="23" xr3:uid="{4DFCA09F-8E46-42D4-9163-40353BAA4ACE}" name="Status Usinagem" dataDxfId="69"/>
    <tableColumn id="19" xr3:uid="{E3D32BDE-09FA-4F17-8CE6-8B2139F9BB8A}" name="Observação" dataDxfId="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998E-DB8E-4214-BEB3-FBC60CB296CA}">
  <dimension ref="A1:AD120"/>
  <sheetViews>
    <sheetView tabSelected="1" view="pageBreakPreview" zoomScaleNormal="100" zoomScaleSheetLayoutView="100" workbookViewId="0">
      <selection activeCell="F18" sqref="F18"/>
    </sheetView>
  </sheetViews>
  <sheetFormatPr defaultRowHeight="15" x14ac:dyDescent="0.25"/>
  <cols>
    <col min="1" max="2" width="6.7109375" style="8" customWidth="1"/>
    <col min="3" max="3" width="9.85546875" style="8" bestFit="1" customWidth="1"/>
    <col min="4" max="4" width="7.5703125" style="8" customWidth="1"/>
    <col min="5" max="5" width="38.140625" style="8" customWidth="1"/>
    <col min="6" max="6" width="41.5703125" style="8" customWidth="1"/>
    <col min="7" max="7" width="7.28515625" style="8" customWidth="1"/>
    <col min="8" max="9" width="10.42578125" style="8" customWidth="1"/>
    <col min="10" max="11" width="12.7109375" style="8" customWidth="1"/>
    <col min="12" max="13" width="10.7109375" style="8" customWidth="1"/>
    <col min="14" max="15" width="13.7109375" style="8" customWidth="1"/>
    <col min="16" max="16" width="9.42578125" style="8" customWidth="1"/>
    <col min="17" max="17" width="12.140625" style="8" customWidth="1"/>
    <col min="18" max="18" width="11.28515625" style="8" customWidth="1"/>
    <col min="19" max="19" width="10.85546875" style="8" customWidth="1"/>
    <col min="20" max="20" width="12.85546875" style="8" customWidth="1"/>
    <col min="21" max="21" width="9.5703125" style="8" customWidth="1"/>
    <col min="22" max="22" width="11" style="8" customWidth="1"/>
    <col min="23" max="23" width="11.42578125" style="8" customWidth="1"/>
    <col min="24" max="25" width="24.5703125" style="8" customWidth="1"/>
    <col min="26" max="30" width="10.42578125" style="8" customWidth="1"/>
    <col min="31" max="16384" width="9.140625" style="8"/>
  </cols>
  <sheetData>
    <row r="1" spans="1:30" ht="45" x14ac:dyDescent="0.25">
      <c r="A1" s="34" t="s">
        <v>7</v>
      </c>
      <c r="B1" s="34" t="s">
        <v>1</v>
      </c>
      <c r="C1" s="34" t="s">
        <v>504</v>
      </c>
      <c r="D1" s="34" t="s">
        <v>5</v>
      </c>
      <c r="E1" s="34" t="s">
        <v>3</v>
      </c>
      <c r="F1" s="34" t="s">
        <v>6</v>
      </c>
      <c r="G1" s="34" t="s">
        <v>2</v>
      </c>
      <c r="H1" s="35" t="s">
        <v>54</v>
      </c>
      <c r="I1" s="35" t="s">
        <v>12</v>
      </c>
      <c r="J1" s="35" t="s">
        <v>53</v>
      </c>
      <c r="K1" s="35" t="s">
        <v>13</v>
      </c>
      <c r="L1" s="35" t="s">
        <v>55</v>
      </c>
      <c r="M1" s="35" t="s">
        <v>52</v>
      </c>
      <c r="N1" s="35" t="s">
        <v>31</v>
      </c>
      <c r="O1" s="27" t="s">
        <v>84</v>
      </c>
      <c r="P1" s="35" t="s">
        <v>68</v>
      </c>
      <c r="Q1" s="35" t="s">
        <v>234</v>
      </c>
      <c r="R1" s="35" t="s">
        <v>235</v>
      </c>
      <c r="S1" s="35" t="s">
        <v>236</v>
      </c>
      <c r="T1" s="35" t="s">
        <v>237</v>
      </c>
      <c r="U1" s="35" t="s">
        <v>238</v>
      </c>
      <c r="V1" s="35" t="s">
        <v>239</v>
      </c>
      <c r="W1" s="35" t="s">
        <v>240</v>
      </c>
      <c r="X1" s="35" t="s">
        <v>394</v>
      </c>
      <c r="Y1" s="35" t="s">
        <v>395</v>
      </c>
      <c r="Z1" s="36" t="s">
        <v>17</v>
      </c>
      <c r="AA1" s="36" t="s">
        <v>65</v>
      </c>
      <c r="AB1" s="36" t="s">
        <v>66</v>
      </c>
      <c r="AC1" s="36" t="s">
        <v>20</v>
      </c>
      <c r="AD1" s="36" t="s">
        <v>21</v>
      </c>
    </row>
    <row r="2" spans="1:30" x14ac:dyDescent="0.25">
      <c r="A2" s="13">
        <v>2199</v>
      </c>
      <c r="B2" s="13">
        <v>1</v>
      </c>
      <c r="C2" s="13">
        <v>956055</v>
      </c>
      <c r="D2" s="13">
        <v>1</v>
      </c>
      <c r="E2" s="13" t="s">
        <v>258</v>
      </c>
      <c r="F2" s="13" t="s">
        <v>8</v>
      </c>
      <c r="G2" s="13">
        <v>1</v>
      </c>
      <c r="H2" s="14">
        <v>46178</v>
      </c>
      <c r="I2" s="9">
        <v>46175</v>
      </c>
      <c r="J2" s="14">
        <v>46213</v>
      </c>
      <c r="K2" s="14">
        <v>46199</v>
      </c>
      <c r="L2" s="37">
        <f ca="1">Tabela1[[#This Row],[Prazo
Entrega]]-TODAY()</f>
        <v>-17</v>
      </c>
      <c r="M2" s="37" t="str">
        <f t="shared" ref="M2:M23" ca="1" si="0">IF(L2&lt;0,"ATRASADO",IF(L2&lt;=15,"ATENÇÃO","NO PRAZO"))</f>
        <v>ATRASADO</v>
      </c>
      <c r="N2" s="8" t="s">
        <v>32</v>
      </c>
      <c r="O2" s="38" t="s">
        <v>56</v>
      </c>
      <c r="P2" s="14" t="s">
        <v>56</v>
      </c>
      <c r="Q2" s="93" t="s">
        <v>392</v>
      </c>
      <c r="R2" s="93" t="s">
        <v>18</v>
      </c>
      <c r="S2" s="93" t="s">
        <v>67</v>
      </c>
      <c r="T2" s="93" t="s">
        <v>502</v>
      </c>
      <c r="U2" s="93" t="s">
        <v>473</v>
      </c>
      <c r="V2" s="93" t="s">
        <v>503</v>
      </c>
      <c r="X2" s="8" t="s">
        <v>326</v>
      </c>
      <c r="Z2" s="39">
        <v>24</v>
      </c>
      <c r="AA2" s="39">
        <f>Tabela1[[#This Row],[Plainar
Facear]]+1</f>
        <v>25</v>
      </c>
      <c r="AB2" s="39" t="s">
        <v>19</v>
      </c>
      <c r="AC2" s="39">
        <f>Tabela1[[#This Row],[Serrar2]]+1</f>
        <v>26</v>
      </c>
      <c r="AD2" s="39">
        <f>Tabela1[[#This Row],[Encaixe /
Furação]]+1</f>
        <v>27</v>
      </c>
    </row>
    <row r="3" spans="1:30" x14ac:dyDescent="0.25">
      <c r="A3" s="13">
        <v>2199</v>
      </c>
      <c r="B3" s="13">
        <v>2</v>
      </c>
      <c r="C3" s="13">
        <v>956056</v>
      </c>
      <c r="D3" s="13">
        <v>1</v>
      </c>
      <c r="E3" s="13" t="s">
        <v>258</v>
      </c>
      <c r="F3" s="13" t="s">
        <v>8</v>
      </c>
      <c r="G3" s="13">
        <v>1</v>
      </c>
      <c r="H3" s="14">
        <v>46178</v>
      </c>
      <c r="I3" s="9">
        <v>46192</v>
      </c>
      <c r="J3" s="14">
        <v>46241</v>
      </c>
      <c r="K3" s="14"/>
      <c r="L3" s="37">
        <f ca="1">Tabela1[[#This Row],[Prazo
Entrega]]-TODAY()</f>
        <v>11</v>
      </c>
      <c r="M3" s="37" t="str">
        <f t="shared" ca="1" si="0"/>
        <v>ATENÇÃO</v>
      </c>
      <c r="N3" s="8" t="s">
        <v>32</v>
      </c>
      <c r="O3" s="38" t="s">
        <v>56</v>
      </c>
      <c r="P3" s="14" t="s">
        <v>56</v>
      </c>
      <c r="Q3" s="93" t="s">
        <v>392</v>
      </c>
      <c r="R3" s="93" t="s">
        <v>18</v>
      </c>
      <c r="S3" s="93" t="s">
        <v>67</v>
      </c>
      <c r="T3" s="93" t="s">
        <v>502</v>
      </c>
      <c r="U3" s="93" t="s">
        <v>473</v>
      </c>
      <c r="V3" s="94" t="s">
        <v>376</v>
      </c>
      <c r="X3" s="8" t="s">
        <v>217</v>
      </c>
      <c r="Y3" s="8" t="s">
        <v>327</v>
      </c>
      <c r="Z3" s="39">
        <v>24</v>
      </c>
      <c r="AA3" s="39">
        <f>Tabela1[[#This Row],[Plainar
Facear]]+1</f>
        <v>25</v>
      </c>
      <c r="AB3" s="39" t="s">
        <v>19</v>
      </c>
      <c r="AC3" s="39">
        <f>Tabela1[[#This Row],[Serrar2]]+1</f>
        <v>26</v>
      </c>
      <c r="AD3" s="39">
        <f>Tabela1[[#This Row],[Encaixe /
Furação]]+1</f>
        <v>27</v>
      </c>
    </row>
    <row r="4" spans="1:30" x14ac:dyDescent="0.25">
      <c r="A4" s="13">
        <v>2199</v>
      </c>
      <c r="B4" s="13">
        <v>3</v>
      </c>
      <c r="C4" s="13">
        <v>956057</v>
      </c>
      <c r="D4" s="13">
        <v>1</v>
      </c>
      <c r="E4" s="13" t="s">
        <v>258</v>
      </c>
      <c r="F4" s="13" t="s">
        <v>8</v>
      </c>
      <c r="G4" s="13">
        <v>1</v>
      </c>
      <c r="H4" s="14">
        <v>46178</v>
      </c>
      <c r="I4" s="9">
        <v>46192</v>
      </c>
      <c r="J4" s="14">
        <v>46241</v>
      </c>
      <c r="K4" s="14"/>
      <c r="L4" s="37">
        <f ca="1">Tabela1[[#This Row],[Prazo
Entrega]]-TODAY()</f>
        <v>11</v>
      </c>
      <c r="M4" s="37" t="str">
        <f t="shared" ca="1" si="0"/>
        <v>ATENÇÃO</v>
      </c>
      <c r="N4" s="8" t="s">
        <v>32</v>
      </c>
      <c r="O4" s="38" t="s">
        <v>56</v>
      </c>
      <c r="P4" s="14" t="s">
        <v>56</v>
      </c>
      <c r="Q4" s="93" t="s">
        <v>392</v>
      </c>
      <c r="R4" s="93" t="s">
        <v>18</v>
      </c>
      <c r="S4" s="93" t="s">
        <v>67</v>
      </c>
      <c r="T4" s="93" t="s">
        <v>502</v>
      </c>
      <c r="U4" s="93" t="s">
        <v>473</v>
      </c>
      <c r="V4" s="94" t="s">
        <v>376</v>
      </c>
      <c r="X4" s="8" t="s">
        <v>217</v>
      </c>
      <c r="Y4" s="8" t="s">
        <v>327</v>
      </c>
      <c r="Z4" s="39">
        <v>24</v>
      </c>
      <c r="AA4" s="39">
        <f>Tabela1[[#This Row],[Plainar
Facear]]+1</f>
        <v>25</v>
      </c>
      <c r="AB4" s="39" t="s">
        <v>19</v>
      </c>
      <c r="AC4" s="39">
        <f>Tabela1[[#This Row],[Serrar2]]+1</f>
        <v>26</v>
      </c>
      <c r="AD4" s="39">
        <f>Tabela1[[#This Row],[Encaixe /
Furação]]+1</f>
        <v>27</v>
      </c>
    </row>
    <row r="5" spans="1:30" x14ac:dyDescent="0.25">
      <c r="A5" s="13">
        <v>2199</v>
      </c>
      <c r="B5" s="13">
        <v>4</v>
      </c>
      <c r="C5" s="13">
        <v>956058</v>
      </c>
      <c r="D5" s="13">
        <v>1</v>
      </c>
      <c r="E5" s="13" t="s">
        <v>258</v>
      </c>
      <c r="F5" s="13" t="s">
        <v>8</v>
      </c>
      <c r="G5" s="13">
        <v>1</v>
      </c>
      <c r="H5" s="14">
        <v>46178</v>
      </c>
      <c r="I5" s="9">
        <v>46192</v>
      </c>
      <c r="J5" s="14">
        <v>46220</v>
      </c>
      <c r="K5" s="14">
        <v>46220</v>
      </c>
      <c r="L5" s="37">
        <f ca="1">Tabela1[[#This Row],[Prazo
Entrega]]-TODAY()</f>
        <v>-10</v>
      </c>
      <c r="M5" s="37" t="str">
        <f t="shared" ca="1" si="0"/>
        <v>ATRASADO</v>
      </c>
      <c r="N5" s="8" t="s">
        <v>32</v>
      </c>
      <c r="O5" s="38" t="s">
        <v>56</v>
      </c>
      <c r="P5" s="14" t="s">
        <v>56</v>
      </c>
      <c r="Q5" s="93" t="s">
        <v>392</v>
      </c>
      <c r="R5" s="93" t="s">
        <v>18</v>
      </c>
      <c r="S5" s="93" t="s">
        <v>67</v>
      </c>
      <c r="T5" s="93" t="s">
        <v>502</v>
      </c>
      <c r="U5" s="93" t="s">
        <v>473</v>
      </c>
      <c r="V5" s="93" t="s">
        <v>376</v>
      </c>
      <c r="X5" s="8" t="s">
        <v>326</v>
      </c>
      <c r="Z5" s="39">
        <v>24</v>
      </c>
      <c r="AA5" s="39">
        <f>Tabela1[[#This Row],[Plainar
Facear]]+1</f>
        <v>25</v>
      </c>
      <c r="AB5" s="39" t="s">
        <v>19</v>
      </c>
      <c r="AC5" s="39">
        <f>Tabela1[[#This Row],[Serrar2]]+1</f>
        <v>26</v>
      </c>
      <c r="AD5" s="39">
        <f>Tabela1[[#This Row],[Encaixe /
Furação]]+1</f>
        <v>27</v>
      </c>
    </row>
    <row r="6" spans="1:30" x14ac:dyDescent="0.25">
      <c r="A6" s="13">
        <v>2199</v>
      </c>
      <c r="B6" s="13">
        <v>5</v>
      </c>
      <c r="C6" s="13">
        <v>956059</v>
      </c>
      <c r="D6" s="13">
        <v>1</v>
      </c>
      <c r="E6" s="13" t="s">
        <v>258</v>
      </c>
      <c r="F6" s="13" t="s">
        <v>8</v>
      </c>
      <c r="G6" s="13">
        <v>1</v>
      </c>
      <c r="H6" s="14">
        <v>46178</v>
      </c>
      <c r="I6" s="9">
        <v>46192</v>
      </c>
      <c r="J6" s="14">
        <v>46220</v>
      </c>
      <c r="K6" s="14">
        <v>46220</v>
      </c>
      <c r="L6" s="37">
        <f ca="1">Tabela1[[#This Row],[Prazo
Entrega]]-TODAY()</f>
        <v>-10</v>
      </c>
      <c r="M6" s="37" t="str">
        <f t="shared" ca="1" si="0"/>
        <v>ATRASADO</v>
      </c>
      <c r="N6" s="8" t="s">
        <v>32</v>
      </c>
      <c r="O6" s="38" t="s">
        <v>56</v>
      </c>
      <c r="P6" s="14" t="s">
        <v>56</v>
      </c>
      <c r="Q6" s="93" t="s">
        <v>392</v>
      </c>
      <c r="R6" s="93" t="s">
        <v>18</v>
      </c>
      <c r="S6" s="93" t="s">
        <v>67</v>
      </c>
      <c r="T6" s="93" t="s">
        <v>502</v>
      </c>
      <c r="U6" s="93" t="s">
        <v>473</v>
      </c>
      <c r="V6" s="93" t="s">
        <v>376</v>
      </c>
      <c r="X6" s="8" t="s">
        <v>326</v>
      </c>
      <c r="Y6" s="8" t="s">
        <v>309</v>
      </c>
      <c r="Z6" s="39">
        <v>24</v>
      </c>
      <c r="AA6" s="39">
        <f>Tabela1[[#This Row],[Plainar
Facear]]+1</f>
        <v>25</v>
      </c>
      <c r="AB6" s="39" t="s">
        <v>19</v>
      </c>
      <c r="AC6" s="39">
        <f>Tabela1[[#This Row],[Serrar2]]+1</f>
        <v>26</v>
      </c>
      <c r="AD6" s="39">
        <f>Tabela1[[#This Row],[Encaixe /
Furação]]+1</f>
        <v>27</v>
      </c>
    </row>
    <row r="7" spans="1:30" x14ac:dyDescent="0.25">
      <c r="A7" s="13">
        <v>2199</v>
      </c>
      <c r="B7" s="13">
        <v>6</v>
      </c>
      <c r="C7" s="13">
        <v>956060</v>
      </c>
      <c r="D7" s="13">
        <v>1</v>
      </c>
      <c r="E7" s="13" t="s">
        <v>258</v>
      </c>
      <c r="F7" s="13" t="s">
        <v>8</v>
      </c>
      <c r="G7" s="13">
        <v>1</v>
      </c>
      <c r="H7" s="14">
        <v>46178</v>
      </c>
      <c r="I7" s="9">
        <v>46188</v>
      </c>
      <c r="J7" s="14">
        <v>46220</v>
      </c>
      <c r="K7" s="14">
        <v>46220</v>
      </c>
      <c r="L7" s="37">
        <f ca="1">Tabela1[[#This Row],[Prazo
Entrega]]-TODAY()</f>
        <v>-10</v>
      </c>
      <c r="M7" s="37" t="str">
        <f t="shared" ca="1" si="0"/>
        <v>ATRASADO</v>
      </c>
      <c r="N7" s="8" t="s">
        <v>32</v>
      </c>
      <c r="O7" s="38" t="s">
        <v>56</v>
      </c>
      <c r="P7" s="14" t="s">
        <v>56</v>
      </c>
      <c r="Q7" s="93" t="s">
        <v>392</v>
      </c>
      <c r="R7" s="93" t="s">
        <v>18</v>
      </c>
      <c r="S7" s="93" t="s">
        <v>67</v>
      </c>
      <c r="T7" s="93" t="s">
        <v>502</v>
      </c>
      <c r="U7" s="93" t="s">
        <v>473</v>
      </c>
      <c r="V7" s="93" t="s">
        <v>376</v>
      </c>
      <c r="X7" s="8" t="s">
        <v>326</v>
      </c>
      <c r="Z7" s="39">
        <v>24</v>
      </c>
      <c r="AA7" s="39">
        <f>Tabela1[[#This Row],[Plainar
Facear]]+1</f>
        <v>25</v>
      </c>
      <c r="AB7" s="39" t="s">
        <v>19</v>
      </c>
      <c r="AC7" s="39">
        <f>Tabela1[[#This Row],[Serrar2]]+1</f>
        <v>26</v>
      </c>
      <c r="AD7" s="39">
        <f>Tabela1[[#This Row],[Encaixe /
Furação]]+1</f>
        <v>27</v>
      </c>
    </row>
    <row r="8" spans="1:30" x14ac:dyDescent="0.25">
      <c r="A8" s="13">
        <v>2199</v>
      </c>
      <c r="B8" s="13">
        <v>7</v>
      </c>
      <c r="C8" s="13">
        <v>956061</v>
      </c>
      <c r="D8" s="13">
        <v>1</v>
      </c>
      <c r="E8" s="13" t="s">
        <v>258</v>
      </c>
      <c r="F8" s="13" t="s">
        <v>8</v>
      </c>
      <c r="G8" s="13">
        <v>1</v>
      </c>
      <c r="H8" s="14">
        <v>46178</v>
      </c>
      <c r="I8" s="9">
        <v>46171</v>
      </c>
      <c r="J8" s="14">
        <v>46213</v>
      </c>
      <c r="K8" s="14">
        <v>46199</v>
      </c>
      <c r="L8" s="37">
        <f ca="1">Tabela1[[#This Row],[Prazo
Entrega]]-TODAY()</f>
        <v>-17</v>
      </c>
      <c r="M8" s="37" t="str">
        <f t="shared" ca="1" si="0"/>
        <v>ATRASADO</v>
      </c>
      <c r="N8" s="8" t="s">
        <v>32</v>
      </c>
      <c r="O8" s="38" t="s">
        <v>56</v>
      </c>
      <c r="P8" s="14" t="s">
        <v>56</v>
      </c>
      <c r="Q8" s="93" t="s">
        <v>392</v>
      </c>
      <c r="R8" s="93" t="s">
        <v>18</v>
      </c>
      <c r="S8" s="93" t="s">
        <v>67</v>
      </c>
      <c r="T8" s="93" t="s">
        <v>502</v>
      </c>
      <c r="U8" s="93" t="s">
        <v>473</v>
      </c>
      <c r="V8" s="93" t="s">
        <v>376</v>
      </c>
      <c r="X8" s="8" t="s">
        <v>326</v>
      </c>
      <c r="Z8" s="39">
        <v>23</v>
      </c>
      <c r="AA8" s="39">
        <f>Tabela1[[#This Row],[Plainar
Facear]]+1</f>
        <v>24</v>
      </c>
      <c r="AB8" s="39" t="s">
        <v>19</v>
      </c>
      <c r="AC8" s="39">
        <f>Tabela1[[#This Row],[Serrar2]]+1</f>
        <v>25</v>
      </c>
      <c r="AD8" s="39">
        <f>Tabela1[[#This Row],[Encaixe /
Furação]]+1</f>
        <v>26</v>
      </c>
    </row>
    <row r="9" spans="1:30" x14ac:dyDescent="0.25">
      <c r="A9" s="13">
        <v>2199</v>
      </c>
      <c r="B9" s="13">
        <v>8</v>
      </c>
      <c r="C9" s="13">
        <v>956062</v>
      </c>
      <c r="D9" s="13">
        <v>1</v>
      </c>
      <c r="E9" s="13" t="s">
        <v>258</v>
      </c>
      <c r="F9" s="13" t="s">
        <v>8</v>
      </c>
      <c r="G9" s="13">
        <v>1</v>
      </c>
      <c r="H9" s="14">
        <v>46178</v>
      </c>
      <c r="I9" s="9">
        <v>46171</v>
      </c>
      <c r="J9" s="14">
        <v>46213</v>
      </c>
      <c r="K9" s="14">
        <v>46199</v>
      </c>
      <c r="L9" s="37">
        <f ca="1">Tabela1[[#This Row],[Prazo
Entrega]]-TODAY()</f>
        <v>-17</v>
      </c>
      <c r="M9" s="37" t="str">
        <f t="shared" ca="1" si="0"/>
        <v>ATRASADO</v>
      </c>
      <c r="N9" s="8" t="s">
        <v>32</v>
      </c>
      <c r="O9" s="38" t="s">
        <v>56</v>
      </c>
      <c r="P9" s="14" t="s">
        <v>56</v>
      </c>
      <c r="Q9" s="93" t="s">
        <v>392</v>
      </c>
      <c r="R9" s="93" t="s">
        <v>18</v>
      </c>
      <c r="S9" s="93" t="s">
        <v>67</v>
      </c>
      <c r="T9" s="93" t="s">
        <v>502</v>
      </c>
      <c r="U9" s="93" t="s">
        <v>473</v>
      </c>
      <c r="V9" s="93" t="s">
        <v>376</v>
      </c>
      <c r="X9" s="8" t="s">
        <v>326</v>
      </c>
      <c r="Z9" s="39">
        <v>23</v>
      </c>
      <c r="AA9" s="39">
        <f>Tabela1[[#This Row],[Plainar
Facear]]+1</f>
        <v>24</v>
      </c>
      <c r="AB9" s="39" t="s">
        <v>19</v>
      </c>
      <c r="AC9" s="39">
        <f>Tabela1[[#This Row],[Serrar2]]+1</f>
        <v>25</v>
      </c>
      <c r="AD9" s="39">
        <f>Tabela1[[#This Row],[Encaixe /
Furação]]+1</f>
        <v>26</v>
      </c>
    </row>
    <row r="10" spans="1:30" x14ac:dyDescent="0.25">
      <c r="A10" s="13">
        <v>2199</v>
      </c>
      <c r="B10" s="13">
        <v>9</v>
      </c>
      <c r="C10" s="13">
        <v>956063</v>
      </c>
      <c r="D10" s="13">
        <v>1</v>
      </c>
      <c r="E10" s="13" t="s">
        <v>258</v>
      </c>
      <c r="F10" s="13" t="s">
        <v>8</v>
      </c>
      <c r="G10" s="13">
        <v>1</v>
      </c>
      <c r="H10" s="14">
        <v>46178</v>
      </c>
      <c r="I10" s="9">
        <v>46171</v>
      </c>
      <c r="J10" s="14">
        <v>46213</v>
      </c>
      <c r="K10" s="14">
        <v>46199</v>
      </c>
      <c r="L10" s="37">
        <f ca="1">Tabela1[[#This Row],[Prazo
Entrega]]-TODAY()</f>
        <v>-17</v>
      </c>
      <c r="M10" s="37" t="str">
        <f t="shared" ca="1" si="0"/>
        <v>ATRASADO</v>
      </c>
      <c r="N10" s="8" t="s">
        <v>32</v>
      </c>
      <c r="O10" s="38" t="s">
        <v>56</v>
      </c>
      <c r="P10" s="14" t="s">
        <v>56</v>
      </c>
      <c r="Q10" s="93" t="s">
        <v>392</v>
      </c>
      <c r="R10" s="93" t="s">
        <v>18</v>
      </c>
      <c r="S10" s="93" t="s">
        <v>67</v>
      </c>
      <c r="T10" s="93" t="s">
        <v>502</v>
      </c>
      <c r="U10" s="93" t="s">
        <v>473</v>
      </c>
      <c r="V10" s="93" t="s">
        <v>376</v>
      </c>
      <c r="X10" s="8" t="s">
        <v>326</v>
      </c>
      <c r="Z10" s="39">
        <v>23</v>
      </c>
      <c r="AA10" s="39">
        <f>Tabela1[[#This Row],[Plainar
Facear]]+1</f>
        <v>24</v>
      </c>
      <c r="AB10" s="39" t="s">
        <v>19</v>
      </c>
      <c r="AC10" s="39">
        <f>Tabela1[[#This Row],[Serrar2]]+1</f>
        <v>25</v>
      </c>
      <c r="AD10" s="39">
        <f>Tabela1[[#This Row],[Encaixe /
Furação]]+1</f>
        <v>26</v>
      </c>
    </row>
    <row r="11" spans="1:30" x14ac:dyDescent="0.25">
      <c r="A11" s="13">
        <v>2199</v>
      </c>
      <c r="B11" s="13">
        <v>10</v>
      </c>
      <c r="C11" s="13">
        <v>956064</v>
      </c>
      <c r="D11" s="13">
        <v>1</v>
      </c>
      <c r="E11" s="13" t="s">
        <v>258</v>
      </c>
      <c r="F11" s="13" t="s">
        <v>8</v>
      </c>
      <c r="G11" s="13">
        <v>1</v>
      </c>
      <c r="H11" s="14">
        <v>46178</v>
      </c>
      <c r="I11" s="9">
        <v>46171</v>
      </c>
      <c r="J11" s="14">
        <v>46213</v>
      </c>
      <c r="K11" s="14">
        <v>46199</v>
      </c>
      <c r="L11" s="37">
        <f ca="1">Tabela1[[#This Row],[Prazo
Entrega]]-TODAY()</f>
        <v>-17</v>
      </c>
      <c r="M11" s="37" t="str">
        <f t="shared" ca="1" si="0"/>
        <v>ATRASADO</v>
      </c>
      <c r="N11" s="8" t="s">
        <v>32</v>
      </c>
      <c r="O11" s="38" t="s">
        <v>56</v>
      </c>
      <c r="P11" s="14" t="s">
        <v>56</v>
      </c>
      <c r="Q11" s="93" t="s">
        <v>392</v>
      </c>
      <c r="R11" s="93" t="s">
        <v>18</v>
      </c>
      <c r="S11" s="93" t="s">
        <v>67</v>
      </c>
      <c r="T11" s="93" t="s">
        <v>502</v>
      </c>
      <c r="U11" s="93" t="s">
        <v>473</v>
      </c>
      <c r="V11" s="93" t="s">
        <v>376</v>
      </c>
      <c r="X11" s="8" t="s">
        <v>326</v>
      </c>
      <c r="Z11" s="39">
        <v>23</v>
      </c>
      <c r="AA11" s="39">
        <f>Tabela1[[#This Row],[Plainar
Facear]]+1</f>
        <v>24</v>
      </c>
      <c r="AB11" s="39" t="s">
        <v>19</v>
      </c>
      <c r="AC11" s="39">
        <f>Tabela1[[#This Row],[Serrar2]]+1</f>
        <v>25</v>
      </c>
      <c r="AD11" s="39">
        <f>Tabela1[[#This Row],[Encaixe /
Furação]]+1</f>
        <v>26</v>
      </c>
    </row>
    <row r="12" spans="1:30" x14ac:dyDescent="0.25">
      <c r="A12" s="13">
        <v>2201</v>
      </c>
      <c r="B12" s="13">
        <v>1</v>
      </c>
      <c r="C12" s="13">
        <v>1148030</v>
      </c>
      <c r="D12" s="13">
        <v>1</v>
      </c>
      <c r="E12" s="13" t="s">
        <v>487</v>
      </c>
      <c r="F12" s="13" t="s">
        <v>8</v>
      </c>
      <c r="G12" s="13">
        <v>1</v>
      </c>
      <c r="H12" s="14">
        <v>46178</v>
      </c>
      <c r="I12" s="9">
        <v>46192</v>
      </c>
      <c r="J12" s="14">
        <v>46220</v>
      </c>
      <c r="K12" s="14">
        <v>46220</v>
      </c>
      <c r="L12" s="37">
        <f ca="1">Tabela1[[#This Row],[Prazo
Entrega]]-TODAY()</f>
        <v>-10</v>
      </c>
      <c r="M12" s="37" t="str">
        <f t="shared" ca="1" si="0"/>
        <v>ATRASADO</v>
      </c>
      <c r="N12" s="8" t="s">
        <v>32</v>
      </c>
      <c r="O12" s="38" t="s">
        <v>56</v>
      </c>
      <c r="P12" s="14" t="s">
        <v>56</v>
      </c>
      <c r="Q12" s="93" t="s">
        <v>392</v>
      </c>
      <c r="R12" s="93" t="s">
        <v>18</v>
      </c>
      <c r="S12" s="93" t="s">
        <v>67</v>
      </c>
      <c r="T12" s="93" t="s">
        <v>502</v>
      </c>
      <c r="U12" s="93" t="s">
        <v>473</v>
      </c>
      <c r="V12" s="93" t="s">
        <v>376</v>
      </c>
      <c r="X12" s="8" t="s">
        <v>326</v>
      </c>
      <c r="Z12" s="39">
        <v>26</v>
      </c>
      <c r="AA12" s="39">
        <f>Tabela1[[#This Row],[Plainar
Facear]]+1</f>
        <v>27</v>
      </c>
      <c r="AB12" s="39" t="s">
        <v>19</v>
      </c>
      <c r="AC12" s="39">
        <f>Tabela1[[#This Row],[Serrar2]]+1</f>
        <v>28</v>
      </c>
      <c r="AD12" s="39">
        <f>Tabela1[[#This Row],[Encaixe /
Furação]]+1</f>
        <v>29</v>
      </c>
    </row>
    <row r="13" spans="1:30" x14ac:dyDescent="0.25">
      <c r="A13" s="13">
        <v>2201</v>
      </c>
      <c r="B13" s="13">
        <v>2</v>
      </c>
      <c r="C13" s="13">
        <v>1148031</v>
      </c>
      <c r="D13" s="13">
        <v>1</v>
      </c>
      <c r="E13" s="13" t="s">
        <v>487</v>
      </c>
      <c r="F13" s="13" t="s">
        <v>8</v>
      </c>
      <c r="G13" s="13">
        <v>1</v>
      </c>
      <c r="H13" s="14">
        <v>46178</v>
      </c>
      <c r="I13" s="9">
        <v>46192</v>
      </c>
      <c r="J13" s="14">
        <v>46220</v>
      </c>
      <c r="K13" s="14">
        <v>46220</v>
      </c>
      <c r="L13" s="37">
        <f ca="1">Tabela1[[#This Row],[Prazo
Entrega]]-TODAY()</f>
        <v>-10</v>
      </c>
      <c r="M13" s="37" t="str">
        <f t="shared" ca="1" si="0"/>
        <v>ATRASADO</v>
      </c>
      <c r="N13" s="8" t="s">
        <v>32</v>
      </c>
      <c r="O13" s="38" t="s">
        <v>56</v>
      </c>
      <c r="P13" s="14" t="s">
        <v>56</v>
      </c>
      <c r="Q13" s="93" t="s">
        <v>392</v>
      </c>
      <c r="R13" s="93" t="s">
        <v>18</v>
      </c>
      <c r="S13" s="93" t="s">
        <v>67</v>
      </c>
      <c r="T13" s="93" t="s">
        <v>502</v>
      </c>
      <c r="U13" s="93" t="s">
        <v>473</v>
      </c>
      <c r="V13" s="93" t="s">
        <v>376</v>
      </c>
      <c r="X13" s="8" t="s">
        <v>326</v>
      </c>
      <c r="Z13" s="39">
        <v>26</v>
      </c>
      <c r="AA13" s="39">
        <f>Tabela1[[#This Row],[Plainar
Facear]]+1</f>
        <v>27</v>
      </c>
      <c r="AB13" s="39" t="s">
        <v>19</v>
      </c>
      <c r="AC13" s="39">
        <f>Tabela1[[#This Row],[Serrar2]]+1</f>
        <v>28</v>
      </c>
      <c r="AD13" s="39">
        <f>Tabela1[[#This Row],[Encaixe /
Furação]]+1</f>
        <v>29</v>
      </c>
    </row>
    <row r="14" spans="1:30" x14ac:dyDescent="0.25">
      <c r="A14" s="13">
        <v>2201</v>
      </c>
      <c r="B14" s="13">
        <v>3</v>
      </c>
      <c r="C14" s="13">
        <v>1148032</v>
      </c>
      <c r="D14" s="13">
        <v>1</v>
      </c>
      <c r="E14" s="13" t="s">
        <v>487</v>
      </c>
      <c r="F14" s="13" t="s">
        <v>8</v>
      </c>
      <c r="G14" s="13">
        <v>1</v>
      </c>
      <c r="H14" s="14">
        <v>46178</v>
      </c>
      <c r="I14" s="9">
        <v>46189</v>
      </c>
      <c r="J14" s="14">
        <v>46220</v>
      </c>
      <c r="K14" s="14">
        <v>46220</v>
      </c>
      <c r="L14" s="37">
        <f ca="1">Tabela1[[#This Row],[Prazo
Entrega]]-TODAY()</f>
        <v>-10</v>
      </c>
      <c r="M14" s="37" t="str">
        <f t="shared" ca="1" si="0"/>
        <v>ATRASADO</v>
      </c>
      <c r="N14" s="8" t="s">
        <v>32</v>
      </c>
      <c r="O14" s="38" t="s">
        <v>56</v>
      </c>
      <c r="P14" s="14" t="s">
        <v>56</v>
      </c>
      <c r="Q14" s="93" t="s">
        <v>392</v>
      </c>
      <c r="R14" s="93" t="s">
        <v>18</v>
      </c>
      <c r="S14" s="93" t="s">
        <v>67</v>
      </c>
      <c r="T14" s="93" t="s">
        <v>502</v>
      </c>
      <c r="U14" s="93" t="s">
        <v>473</v>
      </c>
      <c r="V14" s="93" t="s">
        <v>376</v>
      </c>
      <c r="X14" s="8" t="s">
        <v>326</v>
      </c>
      <c r="Z14" s="39">
        <v>26</v>
      </c>
      <c r="AA14" s="39">
        <f>Tabela1[[#This Row],[Plainar
Facear]]+1</f>
        <v>27</v>
      </c>
      <c r="AB14" s="39" t="s">
        <v>19</v>
      </c>
      <c r="AC14" s="39">
        <f>Tabela1[[#This Row],[Serrar2]]+1</f>
        <v>28</v>
      </c>
      <c r="AD14" s="39">
        <f>Tabela1[[#This Row],[Encaixe /
Furação]]+1</f>
        <v>29</v>
      </c>
    </row>
    <row r="15" spans="1:30" ht="16.5" customHeight="1" x14ac:dyDescent="0.25">
      <c r="A15" s="13">
        <v>2199</v>
      </c>
      <c r="B15" s="13">
        <v>11</v>
      </c>
      <c r="C15" s="13">
        <v>956065</v>
      </c>
      <c r="D15" s="13">
        <v>1</v>
      </c>
      <c r="E15" s="13" t="s">
        <v>258</v>
      </c>
      <c r="F15" s="13" t="s">
        <v>8</v>
      </c>
      <c r="G15" s="13">
        <v>1</v>
      </c>
      <c r="H15" s="14">
        <v>46178</v>
      </c>
      <c r="I15" s="9">
        <v>46175</v>
      </c>
      <c r="J15" s="14">
        <v>46227</v>
      </c>
      <c r="K15" s="14">
        <v>46227</v>
      </c>
      <c r="L15" s="37">
        <f ca="1">Tabela1[[#This Row],[Prazo
Entrega]]-TODAY()</f>
        <v>-3</v>
      </c>
      <c r="M15" s="37" t="str">
        <f t="shared" ca="1" si="0"/>
        <v>ATRASADO</v>
      </c>
      <c r="N15" s="8" t="s">
        <v>32</v>
      </c>
      <c r="O15" s="38" t="s">
        <v>56</v>
      </c>
      <c r="P15" s="14" t="s">
        <v>56</v>
      </c>
      <c r="Q15" s="93" t="s">
        <v>392</v>
      </c>
      <c r="R15" s="93" t="s">
        <v>18</v>
      </c>
      <c r="S15" s="93" t="s">
        <v>67</v>
      </c>
      <c r="T15" s="93" t="s">
        <v>502</v>
      </c>
      <c r="U15" s="93" t="s">
        <v>473</v>
      </c>
      <c r="V15" s="93" t="s">
        <v>376</v>
      </c>
      <c r="X15" s="8" t="s">
        <v>326</v>
      </c>
      <c r="Y15" s="84" t="s">
        <v>387</v>
      </c>
      <c r="Z15" s="39">
        <v>26</v>
      </c>
      <c r="AA15" s="39">
        <f>Tabela1[[#This Row],[Plainar
Facear]]+1</f>
        <v>27</v>
      </c>
      <c r="AB15" s="39" t="s">
        <v>19</v>
      </c>
      <c r="AC15" s="39">
        <f>Tabela1[[#This Row],[Serrar2]]+1</f>
        <v>28</v>
      </c>
      <c r="AD15" s="39">
        <f>Tabela1[[#This Row],[Encaixe /
Furação]]+1</f>
        <v>29</v>
      </c>
    </row>
    <row r="16" spans="1:30" x14ac:dyDescent="0.25">
      <c r="A16" s="13">
        <v>2199</v>
      </c>
      <c r="B16" s="13">
        <v>12</v>
      </c>
      <c r="C16" s="13">
        <v>956066</v>
      </c>
      <c r="D16" s="13">
        <v>1</v>
      </c>
      <c r="E16" s="13" t="s">
        <v>258</v>
      </c>
      <c r="F16" s="13" t="s">
        <v>8</v>
      </c>
      <c r="G16" s="13">
        <v>1</v>
      </c>
      <c r="H16" s="14">
        <v>46178</v>
      </c>
      <c r="I16" s="9">
        <v>46175</v>
      </c>
      <c r="J16" s="14">
        <v>46220</v>
      </c>
      <c r="K16" s="14">
        <v>46220</v>
      </c>
      <c r="L16" s="37">
        <f ca="1">Tabela1[[#This Row],[Prazo
Entrega]]-TODAY()</f>
        <v>-10</v>
      </c>
      <c r="M16" s="37" t="str">
        <f t="shared" ca="1" si="0"/>
        <v>ATRASADO</v>
      </c>
      <c r="N16" s="8" t="s">
        <v>32</v>
      </c>
      <c r="O16" s="38" t="s">
        <v>56</v>
      </c>
      <c r="P16" s="14" t="s">
        <v>56</v>
      </c>
      <c r="Q16" s="93" t="s">
        <v>392</v>
      </c>
      <c r="R16" s="93" t="s">
        <v>18</v>
      </c>
      <c r="S16" s="93" t="s">
        <v>67</v>
      </c>
      <c r="T16" s="93" t="s">
        <v>502</v>
      </c>
      <c r="U16" s="93" t="s">
        <v>473</v>
      </c>
      <c r="V16" s="93" t="s">
        <v>376</v>
      </c>
      <c r="X16" s="8" t="s">
        <v>326</v>
      </c>
      <c r="Z16" s="39">
        <v>26</v>
      </c>
      <c r="AA16" s="39">
        <f>Tabela1[[#This Row],[Plainar
Facear]]+1</f>
        <v>27</v>
      </c>
      <c r="AB16" s="39" t="s">
        <v>19</v>
      </c>
      <c r="AC16" s="39">
        <f>Tabela1[[#This Row],[Serrar2]]+1</f>
        <v>28</v>
      </c>
      <c r="AD16" s="39">
        <f>Tabela1[[#This Row],[Encaixe /
Furação]]+1</f>
        <v>29</v>
      </c>
    </row>
    <row r="17" spans="1:30" x14ac:dyDescent="0.25">
      <c r="A17" s="13">
        <v>2201</v>
      </c>
      <c r="B17" s="13">
        <v>4</v>
      </c>
      <c r="C17" s="13">
        <v>1148033</v>
      </c>
      <c r="D17" s="13">
        <v>1</v>
      </c>
      <c r="E17" s="13" t="s">
        <v>487</v>
      </c>
      <c r="F17" s="13" t="s">
        <v>8</v>
      </c>
      <c r="G17" s="13">
        <v>1</v>
      </c>
      <c r="H17" s="14">
        <v>46185</v>
      </c>
      <c r="I17" s="9">
        <v>46175</v>
      </c>
      <c r="J17" s="14">
        <v>46213</v>
      </c>
      <c r="K17" s="14">
        <v>46199</v>
      </c>
      <c r="L17" s="37">
        <f ca="1">Tabela1[[#This Row],[Prazo
Entrega]]-TODAY()</f>
        <v>-17</v>
      </c>
      <c r="M17" s="37" t="str">
        <f t="shared" ca="1" si="0"/>
        <v>ATRASADO</v>
      </c>
      <c r="N17" s="8" t="s">
        <v>32</v>
      </c>
      <c r="O17" s="38" t="s">
        <v>56</v>
      </c>
      <c r="P17" s="14" t="s">
        <v>56</v>
      </c>
      <c r="Q17" s="93" t="s">
        <v>392</v>
      </c>
      <c r="R17" s="93" t="s">
        <v>18</v>
      </c>
      <c r="S17" s="93" t="s">
        <v>67</v>
      </c>
      <c r="T17" s="93" t="s">
        <v>502</v>
      </c>
      <c r="U17" s="93" t="s">
        <v>473</v>
      </c>
      <c r="V17" s="93" t="s">
        <v>376</v>
      </c>
      <c r="X17" s="8" t="s">
        <v>326</v>
      </c>
      <c r="Z17" s="39">
        <v>26</v>
      </c>
      <c r="AA17" s="39">
        <f>Tabela1[[#This Row],[Plainar
Facear]]+1</f>
        <v>27</v>
      </c>
      <c r="AB17" s="39" t="s">
        <v>19</v>
      </c>
      <c r="AC17" s="39">
        <f>Tabela1[[#This Row],[Serrar2]]+1</f>
        <v>28</v>
      </c>
      <c r="AD17" s="39">
        <f>Tabela1[[#This Row],[Encaixe /
Furação]]+1</f>
        <v>29</v>
      </c>
    </row>
    <row r="18" spans="1:30" x14ac:dyDescent="0.25">
      <c r="A18" s="13">
        <v>2201</v>
      </c>
      <c r="B18" s="13">
        <v>5</v>
      </c>
      <c r="C18" s="13">
        <v>1148034</v>
      </c>
      <c r="D18" s="13">
        <v>1</v>
      </c>
      <c r="E18" s="13" t="s">
        <v>487</v>
      </c>
      <c r="F18" s="13" t="s">
        <v>8</v>
      </c>
      <c r="G18" s="13">
        <v>1</v>
      </c>
      <c r="H18" s="14">
        <v>46185</v>
      </c>
      <c r="I18" s="9">
        <v>46175</v>
      </c>
      <c r="J18" s="14">
        <v>46213</v>
      </c>
      <c r="K18" s="14">
        <v>46199</v>
      </c>
      <c r="L18" s="37">
        <f ca="1">Tabela1[[#This Row],[Prazo
Entrega]]-TODAY()</f>
        <v>-17</v>
      </c>
      <c r="M18" s="37" t="str">
        <f t="shared" ca="1" si="0"/>
        <v>ATRASADO</v>
      </c>
      <c r="N18" s="8" t="s">
        <v>32</v>
      </c>
      <c r="O18" s="38" t="s">
        <v>56</v>
      </c>
      <c r="P18" s="14" t="s">
        <v>56</v>
      </c>
      <c r="Q18" s="93" t="s">
        <v>392</v>
      </c>
      <c r="R18" s="93" t="s">
        <v>18</v>
      </c>
      <c r="S18" s="93" t="s">
        <v>67</v>
      </c>
      <c r="T18" s="93" t="s">
        <v>502</v>
      </c>
      <c r="U18" s="93" t="s">
        <v>473</v>
      </c>
      <c r="V18" s="93" t="s">
        <v>376</v>
      </c>
      <c r="X18" s="8" t="s">
        <v>326</v>
      </c>
      <c r="Z18" s="39">
        <v>26</v>
      </c>
      <c r="AA18" s="39">
        <f>Tabela1[[#This Row],[Plainar
Facear]]+1</f>
        <v>27</v>
      </c>
      <c r="AB18" s="39" t="s">
        <v>19</v>
      </c>
      <c r="AC18" s="39">
        <f>Tabela1[[#This Row],[Serrar2]]+1</f>
        <v>28</v>
      </c>
      <c r="AD18" s="39">
        <f>Tabela1[[#This Row],[Encaixe /
Furação]]+1</f>
        <v>29</v>
      </c>
    </row>
    <row r="19" spans="1:30" x14ac:dyDescent="0.25">
      <c r="A19" s="13">
        <v>2201</v>
      </c>
      <c r="B19" s="13">
        <v>6</v>
      </c>
      <c r="C19" s="13">
        <v>1148035</v>
      </c>
      <c r="D19" s="13">
        <v>1</v>
      </c>
      <c r="E19" s="13" t="s">
        <v>487</v>
      </c>
      <c r="F19" s="13" t="s">
        <v>8</v>
      </c>
      <c r="G19" s="13">
        <v>1</v>
      </c>
      <c r="H19" s="14">
        <v>46185</v>
      </c>
      <c r="I19" s="9">
        <v>46175</v>
      </c>
      <c r="J19" s="14">
        <v>46213</v>
      </c>
      <c r="K19" s="14">
        <v>46199</v>
      </c>
      <c r="L19" s="37">
        <f ca="1">Tabela1[[#This Row],[Prazo
Entrega]]-TODAY()</f>
        <v>-17</v>
      </c>
      <c r="M19" s="37" t="str">
        <f t="shared" ca="1" si="0"/>
        <v>ATRASADO</v>
      </c>
      <c r="N19" s="8" t="s">
        <v>32</v>
      </c>
      <c r="O19" s="38" t="s">
        <v>56</v>
      </c>
      <c r="P19" s="14" t="s">
        <v>56</v>
      </c>
      <c r="Q19" s="93" t="s">
        <v>392</v>
      </c>
      <c r="R19" s="93" t="s">
        <v>18</v>
      </c>
      <c r="S19" s="93" t="s">
        <v>67</v>
      </c>
      <c r="T19" s="93" t="s">
        <v>502</v>
      </c>
      <c r="U19" s="93" t="s">
        <v>473</v>
      </c>
      <c r="V19" s="93" t="s">
        <v>376</v>
      </c>
      <c r="X19" s="8" t="s">
        <v>326</v>
      </c>
      <c r="Z19" s="39">
        <v>26</v>
      </c>
      <c r="AA19" s="39">
        <f>Tabela1[[#This Row],[Plainar
Facear]]+1</f>
        <v>27</v>
      </c>
      <c r="AB19" s="39" t="s">
        <v>19</v>
      </c>
      <c r="AC19" s="39">
        <f>Tabela1[[#This Row],[Serrar2]]+1</f>
        <v>28</v>
      </c>
      <c r="AD19" s="39">
        <f>Tabela1[[#This Row],[Encaixe /
Furação]]+1</f>
        <v>29</v>
      </c>
    </row>
    <row r="20" spans="1:30" x14ac:dyDescent="0.25">
      <c r="A20" s="13">
        <v>2201</v>
      </c>
      <c r="B20" s="13">
        <v>7</v>
      </c>
      <c r="C20" s="13">
        <v>1148036</v>
      </c>
      <c r="D20" s="13">
        <v>1</v>
      </c>
      <c r="E20" s="13" t="s">
        <v>487</v>
      </c>
      <c r="F20" s="13" t="s">
        <v>8</v>
      </c>
      <c r="G20" s="13">
        <v>1</v>
      </c>
      <c r="H20" s="14">
        <v>46185</v>
      </c>
      <c r="I20" s="9">
        <v>46206</v>
      </c>
      <c r="J20" s="14">
        <v>46220</v>
      </c>
      <c r="K20" s="14">
        <v>46220</v>
      </c>
      <c r="L20" s="37">
        <f ca="1">Tabela1[[#This Row],[Prazo
Entrega]]-TODAY()</f>
        <v>-10</v>
      </c>
      <c r="M20" s="37" t="str">
        <f t="shared" ca="1" si="0"/>
        <v>ATRASADO</v>
      </c>
      <c r="N20" s="8" t="s">
        <v>32</v>
      </c>
      <c r="O20" s="38" t="s">
        <v>56</v>
      </c>
      <c r="P20" s="14" t="s">
        <v>56</v>
      </c>
      <c r="Q20" s="93" t="s">
        <v>392</v>
      </c>
      <c r="R20" s="93" t="s">
        <v>18</v>
      </c>
      <c r="S20" s="93" t="s">
        <v>67</v>
      </c>
      <c r="T20" s="93" t="s">
        <v>502</v>
      </c>
      <c r="U20" s="93" t="s">
        <v>473</v>
      </c>
      <c r="V20" s="93" t="s">
        <v>376</v>
      </c>
      <c r="X20" s="8" t="s">
        <v>76</v>
      </c>
      <c r="Z20" s="39">
        <v>26</v>
      </c>
      <c r="AA20" s="39">
        <f>Tabela1[[#This Row],[Plainar
Facear]]+1</f>
        <v>27</v>
      </c>
      <c r="AB20" s="39" t="s">
        <v>19</v>
      </c>
      <c r="AC20" s="39">
        <f>Tabela1[[#This Row],[Serrar2]]+1</f>
        <v>28</v>
      </c>
      <c r="AD20" s="39">
        <f>Tabela1[[#This Row],[Encaixe /
Furação]]+1</f>
        <v>29</v>
      </c>
    </row>
    <row r="21" spans="1:30" x14ac:dyDescent="0.25">
      <c r="A21" s="13">
        <v>2201</v>
      </c>
      <c r="B21" s="13">
        <v>8</v>
      </c>
      <c r="C21" s="13">
        <v>1148037</v>
      </c>
      <c r="D21" s="13">
        <v>1</v>
      </c>
      <c r="E21" s="13" t="s">
        <v>487</v>
      </c>
      <c r="F21" s="13" t="s">
        <v>8</v>
      </c>
      <c r="G21" s="13">
        <v>1</v>
      </c>
      <c r="H21" s="14">
        <v>46185</v>
      </c>
      <c r="I21" s="9">
        <v>46206</v>
      </c>
      <c r="J21" s="14">
        <v>46227</v>
      </c>
      <c r="K21" s="14">
        <v>46227</v>
      </c>
      <c r="L21" s="37">
        <f ca="1">Tabela1[[#This Row],[Prazo
Entrega]]-TODAY()</f>
        <v>-3</v>
      </c>
      <c r="M21" s="37" t="str">
        <f t="shared" ca="1" si="0"/>
        <v>ATRASADO</v>
      </c>
      <c r="N21" s="8" t="s">
        <v>32</v>
      </c>
      <c r="O21" s="38" t="s">
        <v>56</v>
      </c>
      <c r="P21" s="14" t="s">
        <v>56</v>
      </c>
      <c r="Q21" s="93" t="s">
        <v>392</v>
      </c>
      <c r="R21" s="93" t="s">
        <v>18</v>
      </c>
      <c r="S21" s="93" t="s">
        <v>67</v>
      </c>
      <c r="T21" s="93" t="s">
        <v>502</v>
      </c>
      <c r="U21" s="93" t="s">
        <v>473</v>
      </c>
      <c r="V21" s="93" t="s">
        <v>376</v>
      </c>
      <c r="X21" s="8" t="s">
        <v>326</v>
      </c>
      <c r="Z21" s="39">
        <v>26</v>
      </c>
      <c r="AA21" s="39">
        <f>Tabela1[[#This Row],[Plainar
Facear]]+1</f>
        <v>27</v>
      </c>
      <c r="AB21" s="39" t="s">
        <v>19</v>
      </c>
      <c r="AC21" s="39">
        <f>Tabela1[[#This Row],[Serrar2]]+1</f>
        <v>28</v>
      </c>
      <c r="AD21" s="39">
        <f>Tabela1[[#This Row],[Encaixe /
Furação]]+1</f>
        <v>29</v>
      </c>
    </row>
    <row r="22" spans="1:30" x14ac:dyDescent="0.25">
      <c r="A22" s="13">
        <v>2203</v>
      </c>
      <c r="B22" s="13">
        <v>1</v>
      </c>
      <c r="C22" s="13">
        <v>958022</v>
      </c>
      <c r="D22" s="13">
        <v>1</v>
      </c>
      <c r="E22" s="13" t="s">
        <v>261</v>
      </c>
      <c r="F22" s="13" t="s">
        <v>8</v>
      </c>
      <c r="G22" s="13">
        <v>1</v>
      </c>
      <c r="H22" s="14">
        <v>46185</v>
      </c>
      <c r="I22" s="9">
        <v>46189</v>
      </c>
      <c r="J22" s="14">
        <v>46227</v>
      </c>
      <c r="K22" s="14"/>
      <c r="L22" s="37">
        <f ca="1">Tabela1[[#This Row],[Prazo
Entrega]]-TODAY()</f>
        <v>-3</v>
      </c>
      <c r="M22" s="37" t="str">
        <f t="shared" ca="1" si="0"/>
        <v>ATRASADO</v>
      </c>
      <c r="N22" s="8" t="s">
        <v>32</v>
      </c>
      <c r="O22" s="38" t="s">
        <v>56</v>
      </c>
      <c r="P22" s="14" t="s">
        <v>56</v>
      </c>
      <c r="Q22" s="93" t="s">
        <v>392</v>
      </c>
      <c r="R22" s="93" t="s">
        <v>18</v>
      </c>
      <c r="S22" s="93" t="s">
        <v>67</v>
      </c>
      <c r="T22" s="94" t="s">
        <v>502</v>
      </c>
      <c r="U22" s="8" t="s">
        <v>473</v>
      </c>
      <c r="V22" s="8" t="s">
        <v>503</v>
      </c>
      <c r="X22" s="8" t="str">
        <f>IF(I22="","AG. FUNDIDO",IF(Q22="AG","AG. USINAGEM","EM USINAGEM"))</f>
        <v>EM USINAGEM</v>
      </c>
      <c r="Z22" s="39">
        <v>25</v>
      </c>
      <c r="AA22" s="39">
        <f>Tabela1[[#This Row],[Plainar
Facear]]+1</f>
        <v>26</v>
      </c>
      <c r="AB22" s="39" t="s">
        <v>19</v>
      </c>
      <c r="AC22" s="39">
        <f>Tabela1[[#This Row],[Serrar2]]+1</f>
        <v>27</v>
      </c>
      <c r="AD22" s="39">
        <f>Tabela1[[#This Row],[Encaixe /
Furação]]+1</f>
        <v>28</v>
      </c>
    </row>
    <row r="23" spans="1:30" x14ac:dyDescent="0.25">
      <c r="A23" s="13">
        <v>2203</v>
      </c>
      <c r="B23" s="13">
        <v>2</v>
      </c>
      <c r="C23" s="13">
        <v>958023</v>
      </c>
      <c r="D23" s="13">
        <v>1</v>
      </c>
      <c r="E23" s="13" t="s">
        <v>261</v>
      </c>
      <c r="F23" s="13" t="s">
        <v>8</v>
      </c>
      <c r="G23" s="13">
        <v>1</v>
      </c>
      <c r="H23" s="14">
        <v>46185</v>
      </c>
      <c r="I23" s="9">
        <v>46190</v>
      </c>
      <c r="J23" s="14">
        <v>46227</v>
      </c>
      <c r="K23" s="14"/>
      <c r="L23" s="37">
        <f ca="1">Tabela1[[#This Row],[Prazo
Entrega]]-TODAY()</f>
        <v>-3</v>
      </c>
      <c r="M23" s="37" t="str">
        <f t="shared" ca="1" si="0"/>
        <v>ATRASADO</v>
      </c>
      <c r="N23" s="8" t="s">
        <v>32</v>
      </c>
      <c r="O23" s="38" t="s">
        <v>56</v>
      </c>
      <c r="P23" s="14" t="s">
        <v>56</v>
      </c>
      <c r="Q23" s="93" t="s">
        <v>392</v>
      </c>
      <c r="R23" s="93" t="s">
        <v>18</v>
      </c>
      <c r="S23" s="93" t="s">
        <v>67</v>
      </c>
      <c r="T23" s="94" t="s">
        <v>502</v>
      </c>
      <c r="U23" s="8" t="s">
        <v>473</v>
      </c>
      <c r="V23" s="8" t="s">
        <v>503</v>
      </c>
      <c r="X23" s="8" t="str">
        <f>IF(I23="","AG. FUNDIDO",IF(Q23="AG","AG. USINAGEM","EM USINAGEM"))</f>
        <v>EM USINAGEM</v>
      </c>
      <c r="Z23" s="39">
        <v>25</v>
      </c>
      <c r="AA23" s="39">
        <f>Tabela1[[#This Row],[Plainar
Facear]]+1</f>
        <v>26</v>
      </c>
      <c r="AB23" s="39" t="s">
        <v>19</v>
      </c>
      <c r="AC23" s="39">
        <f>Tabela1[[#This Row],[Serrar2]]+1</f>
        <v>27</v>
      </c>
      <c r="AD23" s="39">
        <f>Tabela1[[#This Row],[Encaixe /
Furação]]+1</f>
        <v>28</v>
      </c>
    </row>
    <row r="24" spans="1:30" x14ac:dyDescent="0.25">
      <c r="A24" s="13">
        <v>2227</v>
      </c>
      <c r="B24" s="13">
        <v>14</v>
      </c>
      <c r="C24" s="12">
        <v>1454055</v>
      </c>
      <c r="D24" s="12">
        <v>1</v>
      </c>
      <c r="E24" s="13" t="s">
        <v>22</v>
      </c>
      <c r="F24" s="13" t="s">
        <v>11</v>
      </c>
      <c r="G24" s="13">
        <v>1</v>
      </c>
      <c r="H24" s="14">
        <v>46190</v>
      </c>
      <c r="I24" s="9">
        <v>46184</v>
      </c>
      <c r="J24" s="14">
        <v>46210</v>
      </c>
      <c r="K24" s="14">
        <v>46220</v>
      </c>
      <c r="L24" s="37">
        <f ca="1">Tabela1[[#This Row],[Prazo
Entrega]]-TODAY()</f>
        <v>-20</v>
      </c>
      <c r="M24" s="37" t="s">
        <v>56</v>
      </c>
      <c r="N24" s="8" t="s">
        <v>32</v>
      </c>
      <c r="O24" s="38" t="s">
        <v>56</v>
      </c>
      <c r="P24" s="14" t="s">
        <v>56</v>
      </c>
      <c r="Q24" s="93" t="s">
        <v>392</v>
      </c>
      <c r="R24" s="93" t="s">
        <v>18</v>
      </c>
      <c r="S24" s="93" t="s">
        <v>67</v>
      </c>
      <c r="T24" s="93" t="s">
        <v>502</v>
      </c>
      <c r="U24" s="93" t="s">
        <v>473</v>
      </c>
      <c r="V24" s="93" t="s">
        <v>503</v>
      </c>
      <c r="X24" s="8" t="s">
        <v>326</v>
      </c>
      <c r="Z24" s="39">
        <v>25</v>
      </c>
      <c r="AA24" s="39">
        <f>Tabela1[[#This Row],[Plainar
Facear]]+1</f>
        <v>26</v>
      </c>
      <c r="AB24" s="39" t="s">
        <v>19</v>
      </c>
      <c r="AC24" s="39">
        <f>Tabela1[[#This Row],[Serrar2]]+1</f>
        <v>27</v>
      </c>
      <c r="AD24" s="39">
        <f>Tabela1[[#This Row],[Encaixe /
Furação]]+1</f>
        <v>28</v>
      </c>
    </row>
    <row r="25" spans="1:30" x14ac:dyDescent="0.25">
      <c r="A25" s="13">
        <v>2227</v>
      </c>
      <c r="B25" s="13">
        <v>15</v>
      </c>
      <c r="C25" s="12">
        <v>1454055</v>
      </c>
      <c r="D25" s="12">
        <v>2</v>
      </c>
      <c r="E25" s="13" t="s">
        <v>22</v>
      </c>
      <c r="F25" s="13" t="s">
        <v>11</v>
      </c>
      <c r="G25" s="13">
        <v>1</v>
      </c>
      <c r="H25" s="14">
        <v>46190</v>
      </c>
      <c r="I25" s="9">
        <v>46184</v>
      </c>
      <c r="J25" s="14">
        <v>46210</v>
      </c>
      <c r="K25" s="14">
        <v>46220</v>
      </c>
      <c r="L25" s="37">
        <f ca="1">Tabela1[[#This Row],[Prazo
Entrega]]-TODAY()</f>
        <v>-20</v>
      </c>
      <c r="M25" s="37" t="s">
        <v>56</v>
      </c>
      <c r="N25" s="8" t="s">
        <v>32</v>
      </c>
      <c r="O25" s="38" t="s">
        <v>56</v>
      </c>
      <c r="P25" s="14" t="s">
        <v>56</v>
      </c>
      <c r="Q25" s="93" t="s">
        <v>392</v>
      </c>
      <c r="R25" s="93" t="s">
        <v>18</v>
      </c>
      <c r="S25" s="93" t="s">
        <v>67</v>
      </c>
      <c r="T25" s="93" t="s">
        <v>502</v>
      </c>
      <c r="U25" s="93" t="s">
        <v>473</v>
      </c>
      <c r="V25" s="93" t="s">
        <v>503</v>
      </c>
      <c r="X25" s="8" t="s">
        <v>326</v>
      </c>
      <c r="Z25" s="39">
        <v>25</v>
      </c>
      <c r="AA25" s="39">
        <f>Tabela1[[#This Row],[Plainar
Facear]]+1</f>
        <v>26</v>
      </c>
      <c r="AB25" s="39" t="s">
        <v>19</v>
      </c>
      <c r="AC25" s="39">
        <f>Tabela1[[#This Row],[Serrar2]]+1</f>
        <v>27</v>
      </c>
      <c r="AD25" s="39">
        <f>Tabela1[[#This Row],[Encaixe /
Furação]]+1</f>
        <v>28</v>
      </c>
    </row>
    <row r="26" spans="1:30" x14ac:dyDescent="0.25">
      <c r="A26" s="13">
        <v>2227</v>
      </c>
      <c r="B26" s="13">
        <v>17</v>
      </c>
      <c r="C26" s="12">
        <v>1454056</v>
      </c>
      <c r="D26" s="12">
        <v>2</v>
      </c>
      <c r="E26" s="13" t="s">
        <v>22</v>
      </c>
      <c r="F26" s="13" t="s">
        <v>11</v>
      </c>
      <c r="G26" s="13">
        <v>1</v>
      </c>
      <c r="H26" s="14">
        <v>46190</v>
      </c>
      <c r="I26" s="9">
        <v>46184</v>
      </c>
      <c r="J26" s="14">
        <v>46210</v>
      </c>
      <c r="K26" s="14">
        <v>46220</v>
      </c>
      <c r="L26" s="37">
        <f ca="1">Tabela1[[#This Row],[Prazo
Entrega]]-TODAY()</f>
        <v>-20</v>
      </c>
      <c r="M26" s="37" t="s">
        <v>56</v>
      </c>
      <c r="N26" s="8" t="s">
        <v>32</v>
      </c>
      <c r="O26" s="38" t="s">
        <v>56</v>
      </c>
      <c r="P26" s="14" t="s">
        <v>56</v>
      </c>
      <c r="Q26" s="93" t="s">
        <v>392</v>
      </c>
      <c r="R26" s="93" t="s">
        <v>18</v>
      </c>
      <c r="S26" s="93" t="s">
        <v>67</v>
      </c>
      <c r="T26" s="93" t="s">
        <v>502</v>
      </c>
      <c r="U26" s="93" t="s">
        <v>473</v>
      </c>
      <c r="V26" s="93" t="s">
        <v>503</v>
      </c>
      <c r="X26" s="8" t="s">
        <v>326</v>
      </c>
      <c r="Z26" s="39">
        <v>25</v>
      </c>
      <c r="AA26" s="39">
        <f>Tabela1[[#This Row],[Plainar
Facear]]+1</f>
        <v>26</v>
      </c>
      <c r="AB26" s="39" t="s">
        <v>19</v>
      </c>
      <c r="AC26" s="39">
        <f>Tabela1[[#This Row],[Serrar2]]+1</f>
        <v>27</v>
      </c>
      <c r="AD26" s="39">
        <f>Tabela1[[#This Row],[Encaixe /
Furação]]+1</f>
        <v>28</v>
      </c>
    </row>
    <row r="27" spans="1:30" x14ac:dyDescent="0.25">
      <c r="A27" s="13">
        <v>2227</v>
      </c>
      <c r="B27" s="13">
        <v>18</v>
      </c>
      <c r="C27" s="12">
        <v>1454056</v>
      </c>
      <c r="D27" s="12">
        <v>1</v>
      </c>
      <c r="E27" s="13" t="s">
        <v>22</v>
      </c>
      <c r="F27" s="13" t="s">
        <v>11</v>
      </c>
      <c r="G27" s="13">
        <v>1</v>
      </c>
      <c r="H27" s="14">
        <v>46190</v>
      </c>
      <c r="I27" s="9">
        <v>46184</v>
      </c>
      <c r="J27" s="14">
        <v>46210</v>
      </c>
      <c r="K27" s="14">
        <v>46220</v>
      </c>
      <c r="L27" s="37">
        <f ca="1">Tabela1[[#This Row],[Prazo
Entrega]]-TODAY()</f>
        <v>-20</v>
      </c>
      <c r="M27" s="37" t="s">
        <v>56</v>
      </c>
      <c r="N27" s="8" t="s">
        <v>32</v>
      </c>
      <c r="O27" s="38" t="s">
        <v>56</v>
      </c>
      <c r="P27" s="14" t="s">
        <v>56</v>
      </c>
      <c r="Q27" s="93" t="s">
        <v>392</v>
      </c>
      <c r="R27" s="93" t="s">
        <v>18</v>
      </c>
      <c r="S27" s="93" t="s">
        <v>67</v>
      </c>
      <c r="T27" s="93" t="s">
        <v>502</v>
      </c>
      <c r="U27" s="93" t="s">
        <v>473</v>
      </c>
      <c r="V27" s="93" t="s">
        <v>503</v>
      </c>
      <c r="X27" s="8" t="s">
        <v>326</v>
      </c>
      <c r="Z27" s="39">
        <v>25</v>
      </c>
      <c r="AA27" s="39">
        <f>Tabela1[[#This Row],[Plainar
Facear]]+1</f>
        <v>26</v>
      </c>
      <c r="AB27" s="39" t="s">
        <v>19</v>
      </c>
      <c r="AC27" s="39">
        <f>Tabela1[[#This Row],[Serrar2]]+1</f>
        <v>27</v>
      </c>
      <c r="AD27" s="39">
        <f>Tabela1[[#This Row],[Encaixe /
Furação]]+1</f>
        <v>28</v>
      </c>
    </row>
    <row r="28" spans="1:30" x14ac:dyDescent="0.25">
      <c r="A28" s="13">
        <v>2227</v>
      </c>
      <c r="B28" s="13">
        <v>19</v>
      </c>
      <c r="C28" s="12">
        <v>1454057</v>
      </c>
      <c r="D28" s="12">
        <v>1</v>
      </c>
      <c r="E28" s="13" t="s">
        <v>22</v>
      </c>
      <c r="F28" s="13" t="s">
        <v>11</v>
      </c>
      <c r="G28" s="13">
        <v>1</v>
      </c>
      <c r="H28" s="14">
        <v>46190</v>
      </c>
      <c r="I28" s="9">
        <v>46184</v>
      </c>
      <c r="J28" s="14">
        <v>46210</v>
      </c>
      <c r="K28" s="14">
        <v>46220</v>
      </c>
      <c r="L28" s="37">
        <f ca="1">Tabela1[[#This Row],[Prazo
Entrega]]-TODAY()</f>
        <v>-20</v>
      </c>
      <c r="M28" s="37" t="s">
        <v>56</v>
      </c>
      <c r="N28" s="8" t="s">
        <v>32</v>
      </c>
      <c r="O28" s="38" t="s">
        <v>56</v>
      </c>
      <c r="P28" s="14" t="s">
        <v>56</v>
      </c>
      <c r="Q28" s="93" t="s">
        <v>392</v>
      </c>
      <c r="R28" s="93" t="s">
        <v>18</v>
      </c>
      <c r="S28" s="93" t="s">
        <v>67</v>
      </c>
      <c r="T28" s="93" t="s">
        <v>502</v>
      </c>
      <c r="U28" s="93" t="s">
        <v>473</v>
      </c>
      <c r="V28" s="93" t="s">
        <v>503</v>
      </c>
      <c r="X28" s="8" t="s">
        <v>326</v>
      </c>
      <c r="Z28" s="39">
        <v>25</v>
      </c>
      <c r="AA28" s="39">
        <f>Tabela1[[#This Row],[Plainar
Facear]]+1</f>
        <v>26</v>
      </c>
      <c r="AB28" s="39" t="s">
        <v>19</v>
      </c>
      <c r="AC28" s="39">
        <f>Tabela1[[#This Row],[Serrar2]]+1</f>
        <v>27</v>
      </c>
      <c r="AD28" s="39">
        <f>Tabela1[[#This Row],[Encaixe /
Furação]]+1</f>
        <v>28</v>
      </c>
    </row>
    <row r="29" spans="1:30" x14ac:dyDescent="0.25">
      <c r="A29" s="13">
        <v>2227</v>
      </c>
      <c r="B29" s="13">
        <v>20</v>
      </c>
      <c r="C29" s="12">
        <v>1454057</v>
      </c>
      <c r="D29" s="12">
        <v>2</v>
      </c>
      <c r="E29" s="13" t="s">
        <v>22</v>
      </c>
      <c r="F29" s="13" t="s">
        <v>11</v>
      </c>
      <c r="G29" s="13">
        <v>1</v>
      </c>
      <c r="H29" s="14">
        <v>46190</v>
      </c>
      <c r="I29" s="9">
        <v>46184</v>
      </c>
      <c r="J29" s="14">
        <v>46210</v>
      </c>
      <c r="K29" s="14">
        <v>46220</v>
      </c>
      <c r="L29" s="37">
        <f ca="1">Tabela1[[#This Row],[Prazo
Entrega]]-TODAY()</f>
        <v>-20</v>
      </c>
      <c r="M29" s="37" t="s">
        <v>56</v>
      </c>
      <c r="N29" s="8" t="s">
        <v>32</v>
      </c>
      <c r="O29" s="38" t="s">
        <v>56</v>
      </c>
      <c r="P29" s="14" t="s">
        <v>56</v>
      </c>
      <c r="Q29" s="93" t="s">
        <v>392</v>
      </c>
      <c r="R29" s="93" t="s">
        <v>18</v>
      </c>
      <c r="S29" s="93" t="s">
        <v>67</v>
      </c>
      <c r="T29" s="93" t="s">
        <v>502</v>
      </c>
      <c r="U29" s="93" t="s">
        <v>473</v>
      </c>
      <c r="V29" s="93" t="s">
        <v>503</v>
      </c>
      <c r="X29" s="8" t="s">
        <v>326</v>
      </c>
      <c r="Z29" s="39">
        <v>25</v>
      </c>
      <c r="AA29" s="39">
        <f>Tabela1[[#This Row],[Plainar
Facear]]+1</f>
        <v>26</v>
      </c>
      <c r="AB29" s="39" t="s">
        <v>19</v>
      </c>
      <c r="AC29" s="39">
        <f>Tabela1[[#This Row],[Serrar2]]+1</f>
        <v>27</v>
      </c>
      <c r="AD29" s="39">
        <f>Tabela1[[#This Row],[Encaixe /
Furação]]+1</f>
        <v>28</v>
      </c>
    </row>
    <row r="30" spans="1:30" x14ac:dyDescent="0.25">
      <c r="A30" s="13">
        <v>2203</v>
      </c>
      <c r="B30" s="13">
        <v>3</v>
      </c>
      <c r="C30" s="13">
        <v>958024</v>
      </c>
      <c r="D30" s="13">
        <v>1</v>
      </c>
      <c r="E30" s="13" t="s">
        <v>261</v>
      </c>
      <c r="F30" s="13" t="s">
        <v>8</v>
      </c>
      <c r="G30" s="13">
        <v>1</v>
      </c>
      <c r="H30" s="14">
        <v>46185</v>
      </c>
      <c r="I30" s="9">
        <v>46192</v>
      </c>
      <c r="J30" s="14">
        <v>46227</v>
      </c>
      <c r="K30" s="14"/>
      <c r="L30" s="37">
        <f ca="1">Tabela1[[#This Row],[Prazo
Entrega]]-TODAY()</f>
        <v>-3</v>
      </c>
      <c r="M30" s="37" t="str">
        <f t="shared" ref="M30:M61" ca="1" si="1">IF(L30&lt;0,"ATRASADO",IF(L30&lt;=15,"ATENÇÃO","NO PRAZO"))</f>
        <v>ATRASADO</v>
      </c>
      <c r="N30" s="8" t="s">
        <v>32</v>
      </c>
      <c r="O30" s="38" t="s">
        <v>56</v>
      </c>
      <c r="P30" s="14" t="s">
        <v>56</v>
      </c>
      <c r="Q30" s="93" t="s">
        <v>392</v>
      </c>
      <c r="R30" s="93" t="s">
        <v>18</v>
      </c>
      <c r="S30" s="93" t="s">
        <v>67</v>
      </c>
      <c r="T30" s="94" t="s">
        <v>502</v>
      </c>
      <c r="U30" s="8" t="s">
        <v>473</v>
      </c>
      <c r="V30" s="8" t="s">
        <v>503</v>
      </c>
      <c r="X30" s="8" t="str">
        <f>IF(I30="","AG. FUNDIDO",IF(Q30="AG","AG. USINAGEM","EM USINAGEM"))</f>
        <v>EM USINAGEM</v>
      </c>
      <c r="Z30" s="39">
        <v>27</v>
      </c>
      <c r="AA30" s="39">
        <f>Tabela1[[#This Row],[Plainar
Facear]]+1</f>
        <v>28</v>
      </c>
      <c r="AB30" s="39" t="s">
        <v>19</v>
      </c>
      <c r="AC30" s="39">
        <f>Tabela1[[#This Row],[Serrar2]]+1</f>
        <v>29</v>
      </c>
      <c r="AD30" s="39">
        <f>Tabela1[[#This Row],[Encaixe /
Furação]]+1</f>
        <v>30</v>
      </c>
    </row>
    <row r="31" spans="1:30" x14ac:dyDescent="0.25">
      <c r="A31" s="13">
        <v>2202</v>
      </c>
      <c r="B31" s="13">
        <v>1</v>
      </c>
      <c r="C31" s="13">
        <v>1256014</v>
      </c>
      <c r="D31" s="13">
        <v>1</v>
      </c>
      <c r="E31" s="13" t="s">
        <v>483</v>
      </c>
      <c r="F31" s="13" t="s">
        <v>8</v>
      </c>
      <c r="G31" s="13">
        <v>1</v>
      </c>
      <c r="H31" s="14">
        <v>46185</v>
      </c>
      <c r="I31" s="9">
        <v>46175</v>
      </c>
      <c r="J31" s="14">
        <v>46213</v>
      </c>
      <c r="K31" s="14">
        <v>46199</v>
      </c>
      <c r="L31" s="37">
        <f ca="1">Tabela1[[#This Row],[Prazo
Entrega]]-TODAY()</f>
        <v>-17</v>
      </c>
      <c r="M31" s="37" t="str">
        <f t="shared" ca="1" si="1"/>
        <v>ATRASADO</v>
      </c>
      <c r="N31" s="8" t="s">
        <v>32</v>
      </c>
      <c r="O31" s="38" t="s">
        <v>56</v>
      </c>
      <c r="P31" s="14" t="s">
        <v>56</v>
      </c>
      <c r="Q31" s="93" t="s">
        <v>392</v>
      </c>
      <c r="R31" s="93" t="s">
        <v>18</v>
      </c>
      <c r="S31" s="93" t="s">
        <v>67</v>
      </c>
      <c r="T31" s="93" t="s">
        <v>502</v>
      </c>
      <c r="U31" s="93" t="s">
        <v>473</v>
      </c>
      <c r="V31" s="93" t="s">
        <v>376</v>
      </c>
      <c r="X31" s="8" t="s">
        <v>76</v>
      </c>
      <c r="Z31" s="39">
        <v>27</v>
      </c>
      <c r="AA31" s="39">
        <f>Tabela1[[#This Row],[Plainar
Facear]]+1</f>
        <v>28</v>
      </c>
      <c r="AB31" s="39" t="s">
        <v>19</v>
      </c>
      <c r="AC31" s="39">
        <f>Tabela1[[#This Row],[Serrar2]]+1</f>
        <v>29</v>
      </c>
      <c r="AD31" s="39">
        <f>Tabela1[[#This Row],[Encaixe /
Furação]]+1</f>
        <v>30</v>
      </c>
    </row>
    <row r="32" spans="1:30" x14ac:dyDescent="0.25">
      <c r="A32" s="13">
        <v>2202</v>
      </c>
      <c r="B32" s="13">
        <v>2</v>
      </c>
      <c r="C32" s="13">
        <v>1256015</v>
      </c>
      <c r="D32" s="13">
        <v>1</v>
      </c>
      <c r="E32" s="13" t="s">
        <v>483</v>
      </c>
      <c r="F32" s="13" t="s">
        <v>8</v>
      </c>
      <c r="G32" s="13">
        <v>1</v>
      </c>
      <c r="H32" s="14">
        <v>46185</v>
      </c>
      <c r="I32" s="9">
        <v>46175</v>
      </c>
      <c r="J32" s="14">
        <v>46220</v>
      </c>
      <c r="K32" s="14">
        <v>46220</v>
      </c>
      <c r="L32" s="37">
        <f ca="1">Tabela1[[#This Row],[Prazo
Entrega]]-TODAY()</f>
        <v>-10</v>
      </c>
      <c r="M32" s="37" t="str">
        <f t="shared" ca="1" si="1"/>
        <v>ATRASADO</v>
      </c>
      <c r="N32" s="8" t="s">
        <v>32</v>
      </c>
      <c r="O32" s="38" t="s">
        <v>56</v>
      </c>
      <c r="P32" s="14" t="s">
        <v>56</v>
      </c>
      <c r="Q32" s="93" t="s">
        <v>392</v>
      </c>
      <c r="R32" s="93" t="s">
        <v>18</v>
      </c>
      <c r="S32" s="93" t="s">
        <v>67</v>
      </c>
      <c r="T32" s="93" t="s">
        <v>502</v>
      </c>
      <c r="U32" s="93" t="s">
        <v>473</v>
      </c>
      <c r="V32" s="93" t="s">
        <v>376</v>
      </c>
      <c r="X32" s="8" t="s">
        <v>76</v>
      </c>
      <c r="Z32" s="39">
        <v>27</v>
      </c>
      <c r="AA32" s="39">
        <f>Tabela1[[#This Row],[Plainar
Facear]]+1</f>
        <v>28</v>
      </c>
      <c r="AB32" s="39" t="s">
        <v>19</v>
      </c>
      <c r="AC32" s="39">
        <f>Tabela1[[#This Row],[Serrar2]]+1</f>
        <v>29</v>
      </c>
      <c r="AD32" s="39">
        <f>Tabela1[[#This Row],[Encaixe /
Furação]]+1</f>
        <v>30</v>
      </c>
    </row>
    <row r="33" spans="1:30" x14ac:dyDescent="0.25">
      <c r="A33" s="13">
        <v>2202</v>
      </c>
      <c r="B33" s="13">
        <v>3</v>
      </c>
      <c r="C33" s="13">
        <v>1256016</v>
      </c>
      <c r="D33" s="13">
        <v>1</v>
      </c>
      <c r="E33" s="13" t="s">
        <v>483</v>
      </c>
      <c r="F33" s="13" t="s">
        <v>8</v>
      </c>
      <c r="G33" s="13">
        <v>1</v>
      </c>
      <c r="H33" s="14">
        <v>46185</v>
      </c>
      <c r="I33" s="9">
        <v>46175</v>
      </c>
      <c r="J33" s="14">
        <v>46227</v>
      </c>
      <c r="K33" s="14">
        <v>46227</v>
      </c>
      <c r="L33" s="37">
        <f ca="1">Tabela1[[#This Row],[Prazo
Entrega]]-TODAY()</f>
        <v>-3</v>
      </c>
      <c r="M33" s="37" t="str">
        <f t="shared" ca="1" si="1"/>
        <v>ATRASADO</v>
      </c>
      <c r="N33" s="8" t="s">
        <v>32</v>
      </c>
      <c r="O33" s="38" t="s">
        <v>56</v>
      </c>
      <c r="P33" s="14" t="s">
        <v>56</v>
      </c>
      <c r="Q33" s="93" t="s">
        <v>392</v>
      </c>
      <c r="R33" s="93" t="s">
        <v>18</v>
      </c>
      <c r="S33" s="93" t="s">
        <v>67</v>
      </c>
      <c r="T33" s="93" t="s">
        <v>502</v>
      </c>
      <c r="U33" s="93" t="s">
        <v>473</v>
      </c>
      <c r="V33" s="93" t="s">
        <v>376</v>
      </c>
      <c r="X33" s="8" t="s">
        <v>76</v>
      </c>
      <c r="Z33" s="39">
        <v>27</v>
      </c>
      <c r="AA33" s="39">
        <f>Tabela1[[#This Row],[Plainar
Facear]]+1</f>
        <v>28</v>
      </c>
      <c r="AB33" s="39" t="s">
        <v>19</v>
      </c>
      <c r="AC33" s="39">
        <f>Tabela1[[#This Row],[Serrar2]]+1</f>
        <v>29</v>
      </c>
      <c r="AD33" s="39">
        <f>Tabela1[[#This Row],[Encaixe /
Furação]]+1</f>
        <v>30</v>
      </c>
    </row>
    <row r="34" spans="1:30" x14ac:dyDescent="0.25">
      <c r="A34" s="13">
        <v>2202</v>
      </c>
      <c r="B34" s="13">
        <v>4</v>
      </c>
      <c r="C34" s="13">
        <v>1256017</v>
      </c>
      <c r="D34" s="13">
        <v>1</v>
      </c>
      <c r="E34" s="13" t="s">
        <v>483</v>
      </c>
      <c r="F34" s="13" t="s">
        <v>8</v>
      </c>
      <c r="G34" s="13">
        <v>1</v>
      </c>
      <c r="H34" s="14">
        <v>46185</v>
      </c>
      <c r="I34" s="9">
        <v>46175</v>
      </c>
      <c r="J34" s="14">
        <v>46220</v>
      </c>
      <c r="K34" s="14">
        <v>46220</v>
      </c>
      <c r="L34" s="37">
        <f ca="1">Tabela1[[#This Row],[Prazo
Entrega]]-TODAY()</f>
        <v>-10</v>
      </c>
      <c r="M34" s="37" t="str">
        <f t="shared" ca="1" si="1"/>
        <v>ATRASADO</v>
      </c>
      <c r="N34" s="8" t="s">
        <v>32</v>
      </c>
      <c r="O34" s="38" t="s">
        <v>56</v>
      </c>
      <c r="P34" s="14" t="s">
        <v>56</v>
      </c>
      <c r="Q34" s="93" t="s">
        <v>392</v>
      </c>
      <c r="R34" s="93" t="s">
        <v>18</v>
      </c>
      <c r="S34" s="93" t="s">
        <v>67</v>
      </c>
      <c r="T34" s="93" t="s">
        <v>502</v>
      </c>
      <c r="U34" s="93" t="s">
        <v>473</v>
      </c>
      <c r="V34" s="93" t="s">
        <v>376</v>
      </c>
      <c r="X34" s="8" t="s">
        <v>326</v>
      </c>
      <c r="Z34" s="39">
        <v>27</v>
      </c>
      <c r="AA34" s="39">
        <f>Tabela1[[#This Row],[Plainar
Facear]]+1</f>
        <v>28</v>
      </c>
      <c r="AB34" s="39" t="s">
        <v>19</v>
      </c>
      <c r="AC34" s="39">
        <f>Tabela1[[#This Row],[Serrar2]]+1</f>
        <v>29</v>
      </c>
      <c r="AD34" s="39">
        <f>Tabela1[[#This Row],[Encaixe /
Furação]]+1</f>
        <v>30</v>
      </c>
    </row>
    <row r="35" spans="1:30" x14ac:dyDescent="0.25">
      <c r="A35" s="13">
        <v>2202</v>
      </c>
      <c r="B35" s="13">
        <v>5</v>
      </c>
      <c r="C35" s="13">
        <v>1256018</v>
      </c>
      <c r="D35" s="13">
        <v>1</v>
      </c>
      <c r="E35" s="13" t="s">
        <v>483</v>
      </c>
      <c r="F35" s="13" t="s">
        <v>8</v>
      </c>
      <c r="G35" s="13">
        <v>1</v>
      </c>
      <c r="H35" s="14">
        <v>46185</v>
      </c>
      <c r="I35" s="9">
        <v>46175</v>
      </c>
      <c r="J35" s="14">
        <v>46227</v>
      </c>
      <c r="K35" s="14">
        <v>46227</v>
      </c>
      <c r="L35" s="37">
        <f ca="1">Tabela1[[#This Row],[Prazo
Entrega]]-TODAY()</f>
        <v>-3</v>
      </c>
      <c r="M35" s="37" t="str">
        <f t="shared" ca="1" si="1"/>
        <v>ATRASADO</v>
      </c>
      <c r="N35" s="8" t="s">
        <v>32</v>
      </c>
      <c r="O35" s="38" t="s">
        <v>56</v>
      </c>
      <c r="P35" s="14" t="s">
        <v>56</v>
      </c>
      <c r="Q35" s="93" t="s">
        <v>392</v>
      </c>
      <c r="R35" s="93" t="s">
        <v>18</v>
      </c>
      <c r="S35" s="93" t="s">
        <v>67</v>
      </c>
      <c r="T35" s="93" t="s">
        <v>502</v>
      </c>
      <c r="U35" s="93" t="s">
        <v>473</v>
      </c>
      <c r="V35" s="93" t="s">
        <v>376</v>
      </c>
      <c r="X35" s="8" t="s">
        <v>76</v>
      </c>
      <c r="Z35" s="39">
        <v>27</v>
      </c>
      <c r="AA35" s="39">
        <f>Tabela1[[#This Row],[Plainar
Facear]]+1</f>
        <v>28</v>
      </c>
      <c r="AB35" s="39" t="s">
        <v>19</v>
      </c>
      <c r="AC35" s="39">
        <f>Tabela1[[#This Row],[Serrar2]]+1</f>
        <v>29</v>
      </c>
      <c r="AD35" s="39">
        <f>Tabela1[[#This Row],[Encaixe /
Furação]]+1</f>
        <v>30</v>
      </c>
    </row>
    <row r="36" spans="1:30" x14ac:dyDescent="0.25">
      <c r="A36" s="13">
        <v>2201</v>
      </c>
      <c r="B36" s="13">
        <v>9</v>
      </c>
      <c r="C36" s="13">
        <v>1148038</v>
      </c>
      <c r="D36" s="13">
        <v>1</v>
      </c>
      <c r="E36" s="13" t="s">
        <v>487</v>
      </c>
      <c r="F36" s="13" t="s">
        <v>8</v>
      </c>
      <c r="G36" s="13">
        <v>1</v>
      </c>
      <c r="H36" s="14">
        <v>46185</v>
      </c>
      <c r="I36" s="9">
        <v>46189</v>
      </c>
      <c r="J36" s="14">
        <v>46220</v>
      </c>
      <c r="K36" s="14">
        <v>46220</v>
      </c>
      <c r="L36" s="37">
        <f ca="1">Tabela1[[#This Row],[Prazo
Entrega]]-TODAY()</f>
        <v>-10</v>
      </c>
      <c r="M36" s="37" t="str">
        <f t="shared" ca="1" si="1"/>
        <v>ATRASADO</v>
      </c>
      <c r="N36" s="8" t="s">
        <v>32</v>
      </c>
      <c r="O36" s="38" t="s">
        <v>56</v>
      </c>
      <c r="P36" s="14" t="s">
        <v>56</v>
      </c>
      <c r="Q36" s="93" t="s">
        <v>392</v>
      </c>
      <c r="R36" s="93" t="s">
        <v>18</v>
      </c>
      <c r="S36" s="93" t="s">
        <v>67</v>
      </c>
      <c r="T36" s="93" t="s">
        <v>502</v>
      </c>
      <c r="U36" s="93" t="s">
        <v>473</v>
      </c>
      <c r="V36" s="93" t="s">
        <v>376</v>
      </c>
      <c r="X36" s="8" t="s">
        <v>326</v>
      </c>
      <c r="Z36" s="39">
        <v>27</v>
      </c>
      <c r="AA36" s="39">
        <f>Tabela1[[#This Row],[Plainar
Facear]]+1</f>
        <v>28</v>
      </c>
      <c r="AB36" s="39" t="s">
        <v>19</v>
      </c>
      <c r="AC36" s="39">
        <f>Tabela1[[#This Row],[Serrar2]]+1</f>
        <v>29</v>
      </c>
      <c r="AD36" s="39">
        <f>Tabela1[[#This Row],[Encaixe /
Furação]]+1</f>
        <v>30</v>
      </c>
    </row>
    <row r="37" spans="1:30" x14ac:dyDescent="0.25">
      <c r="A37" s="13">
        <v>2201</v>
      </c>
      <c r="B37" s="13">
        <v>10</v>
      </c>
      <c r="C37" s="13">
        <v>1148039</v>
      </c>
      <c r="D37" s="13">
        <v>1</v>
      </c>
      <c r="E37" s="13" t="s">
        <v>487</v>
      </c>
      <c r="F37" s="13" t="s">
        <v>11</v>
      </c>
      <c r="G37" s="13">
        <v>1</v>
      </c>
      <c r="H37" s="14">
        <v>46185</v>
      </c>
      <c r="I37" s="14">
        <v>46192</v>
      </c>
      <c r="J37" s="14">
        <v>46227</v>
      </c>
      <c r="K37" s="14"/>
      <c r="L37" s="37">
        <f ca="1">Tabela1[[#This Row],[Prazo
Entrega]]-TODAY()</f>
        <v>-3</v>
      </c>
      <c r="M37" s="37" t="str">
        <f t="shared" ca="1" si="1"/>
        <v>ATRASADO</v>
      </c>
      <c r="N37" s="8" t="s">
        <v>32</v>
      </c>
      <c r="O37" s="38" t="s">
        <v>56</v>
      </c>
      <c r="P37" s="14" t="s">
        <v>56</v>
      </c>
      <c r="Q37" s="8" t="s">
        <v>392</v>
      </c>
      <c r="R37" s="8" t="s">
        <v>18</v>
      </c>
      <c r="S37" s="8" t="s">
        <v>67</v>
      </c>
      <c r="T37" s="8" t="s">
        <v>502</v>
      </c>
      <c r="U37" s="8" t="s">
        <v>473</v>
      </c>
      <c r="V37" s="8" t="s">
        <v>376</v>
      </c>
      <c r="X37" s="8" t="str">
        <f>IF(I37="","AG. FUNDIDO",IF(Q37="AG","AG. USINAGEM","EM USINAGEM"))</f>
        <v>EM USINAGEM</v>
      </c>
      <c r="Y37" s="8" t="s">
        <v>308</v>
      </c>
      <c r="Z37" s="39">
        <v>27</v>
      </c>
      <c r="AA37" s="39">
        <f>Tabela1[[#This Row],[Plainar
Facear]]+1</f>
        <v>28</v>
      </c>
      <c r="AB37" s="39" t="s">
        <v>19</v>
      </c>
      <c r="AC37" s="39">
        <f>Tabela1[[#This Row],[Serrar2]]+1</f>
        <v>29</v>
      </c>
      <c r="AD37" s="39">
        <f>Tabela1[[#This Row],[Encaixe /
Furação]]+1</f>
        <v>30</v>
      </c>
    </row>
    <row r="38" spans="1:30" x14ac:dyDescent="0.25">
      <c r="A38" s="13">
        <v>2205</v>
      </c>
      <c r="B38" s="13">
        <v>1</v>
      </c>
      <c r="C38" s="13">
        <v>1483008</v>
      </c>
      <c r="D38" s="13">
        <v>1</v>
      </c>
      <c r="E38" s="13" t="s">
        <v>485</v>
      </c>
      <c r="F38" s="13" t="s">
        <v>8</v>
      </c>
      <c r="G38" s="13">
        <v>1</v>
      </c>
      <c r="H38" s="14">
        <v>46192</v>
      </c>
      <c r="I38" s="9">
        <v>46175</v>
      </c>
      <c r="J38" s="14">
        <v>46234</v>
      </c>
      <c r="K38" s="14"/>
      <c r="L38" s="37">
        <f ca="1">Tabela1[[#This Row],[Prazo
Entrega]]-TODAY()</f>
        <v>4</v>
      </c>
      <c r="M38" s="37" t="str">
        <f t="shared" ca="1" si="1"/>
        <v>ATENÇÃO</v>
      </c>
      <c r="N38" s="8" t="s">
        <v>32</v>
      </c>
      <c r="O38" s="38" t="s">
        <v>56</v>
      </c>
      <c r="P38" s="14" t="s">
        <v>56</v>
      </c>
      <c r="Q38" s="93" t="s">
        <v>392</v>
      </c>
      <c r="R38" s="93" t="s">
        <v>18</v>
      </c>
      <c r="S38" s="93" t="s">
        <v>67</v>
      </c>
      <c r="T38" s="93" t="s">
        <v>502</v>
      </c>
      <c r="U38" s="93" t="s">
        <v>473</v>
      </c>
      <c r="V38" s="94" t="s">
        <v>376</v>
      </c>
      <c r="X38" s="8" t="str">
        <f>IF(I38="","AG. FUNDIDO",IF(Q38="AG","AG. USINAGEM","EM USINAGEM"))</f>
        <v>EM USINAGEM</v>
      </c>
      <c r="Z38" s="39">
        <v>27</v>
      </c>
      <c r="AA38" s="39">
        <f>Tabela1[[#This Row],[Plainar
Facear]]+1</f>
        <v>28</v>
      </c>
      <c r="AB38" s="39" t="s">
        <v>19</v>
      </c>
      <c r="AC38" s="39">
        <f>Tabela1[[#This Row],[Serrar2]]+1</f>
        <v>29</v>
      </c>
      <c r="AD38" s="39">
        <f>Tabela1[[#This Row],[Encaixe /
Furação]]+1</f>
        <v>30</v>
      </c>
    </row>
    <row r="39" spans="1:30" x14ac:dyDescent="0.25">
      <c r="A39" s="13">
        <v>2204</v>
      </c>
      <c r="B39" s="13">
        <v>1</v>
      </c>
      <c r="C39" s="13">
        <v>1334017</v>
      </c>
      <c r="D39" s="13">
        <v>1</v>
      </c>
      <c r="E39" s="13" t="s">
        <v>486</v>
      </c>
      <c r="F39" s="13" t="s">
        <v>8</v>
      </c>
      <c r="G39" s="13">
        <v>1</v>
      </c>
      <c r="H39" s="14">
        <v>46192</v>
      </c>
      <c r="I39" s="9">
        <v>46233</v>
      </c>
      <c r="J39" s="14">
        <v>46234</v>
      </c>
      <c r="K39" s="14"/>
      <c r="L39" s="37">
        <f ca="1">Tabela1[[#This Row],[Prazo
Entrega]]-TODAY()</f>
        <v>4</v>
      </c>
      <c r="M39" s="37" t="str">
        <f t="shared" ca="1" si="1"/>
        <v>ATENÇÃO</v>
      </c>
      <c r="N39" s="8" t="s">
        <v>32</v>
      </c>
      <c r="O39" s="38" t="s">
        <v>56</v>
      </c>
      <c r="P39" s="14" t="s">
        <v>56</v>
      </c>
      <c r="Q39" s="94" t="s">
        <v>392</v>
      </c>
      <c r="R39" s="8" t="s">
        <v>18</v>
      </c>
      <c r="S39" s="8" t="s">
        <v>67</v>
      </c>
      <c r="T39" s="8" t="s">
        <v>502</v>
      </c>
      <c r="U39" s="8" t="s">
        <v>473</v>
      </c>
      <c r="V39" s="8" t="s">
        <v>376</v>
      </c>
      <c r="X39" s="8" t="str">
        <f t="shared" ref="X39:X71" si="2">IF(I39="","AG. FUNDIDO",IF(Q39="AG","AG. USINAGEM","EM USINAGEM"))</f>
        <v>EM USINAGEM</v>
      </c>
      <c r="Z39" s="39">
        <v>27</v>
      </c>
      <c r="AA39" s="39">
        <f>Tabela1[[#This Row],[Plainar
Facear]]+1</f>
        <v>28</v>
      </c>
      <c r="AB39" s="39" t="s">
        <v>19</v>
      </c>
      <c r="AC39" s="39">
        <f>Tabela1[[#This Row],[Serrar2]]+1</f>
        <v>29</v>
      </c>
      <c r="AD39" s="39">
        <f>Tabela1[[#This Row],[Encaixe /
Furação]]+1</f>
        <v>30</v>
      </c>
    </row>
    <row r="40" spans="1:30" x14ac:dyDescent="0.25">
      <c r="A40" s="13">
        <v>2204</v>
      </c>
      <c r="B40" s="13">
        <v>2</v>
      </c>
      <c r="C40" s="13">
        <v>1334018</v>
      </c>
      <c r="D40" s="13">
        <v>1</v>
      </c>
      <c r="E40" s="13" t="s">
        <v>486</v>
      </c>
      <c r="F40" s="13" t="s">
        <v>8</v>
      </c>
      <c r="G40" s="13">
        <v>1</v>
      </c>
      <c r="H40" s="14">
        <v>46192</v>
      </c>
      <c r="I40" s="9">
        <v>46217</v>
      </c>
      <c r="J40" s="14">
        <v>46234</v>
      </c>
      <c r="K40" s="14"/>
      <c r="L40" s="37">
        <f ca="1">Tabela1[[#This Row],[Prazo
Entrega]]-TODAY()</f>
        <v>4</v>
      </c>
      <c r="M40" s="37" t="str">
        <f t="shared" ca="1" si="1"/>
        <v>ATENÇÃO</v>
      </c>
      <c r="N40" s="8" t="s">
        <v>32</v>
      </c>
      <c r="O40" s="38" t="s">
        <v>56</v>
      </c>
      <c r="P40" s="14" t="s">
        <v>56</v>
      </c>
      <c r="Q40" s="94" t="s">
        <v>392</v>
      </c>
      <c r="R40" s="8" t="s">
        <v>18</v>
      </c>
      <c r="S40" s="8" t="s">
        <v>67</v>
      </c>
      <c r="T40" s="8" t="s">
        <v>502</v>
      </c>
      <c r="U40" s="8" t="s">
        <v>473</v>
      </c>
      <c r="V40" s="8" t="s">
        <v>376</v>
      </c>
      <c r="X40" s="8" t="str">
        <f t="shared" si="2"/>
        <v>EM USINAGEM</v>
      </c>
      <c r="Z40" s="39">
        <v>28</v>
      </c>
      <c r="AA40" s="39">
        <f>Tabela1[[#This Row],[Plainar
Facear]]+1</f>
        <v>29</v>
      </c>
      <c r="AB40" s="39" t="s">
        <v>19</v>
      </c>
      <c r="AC40" s="39">
        <f>Tabela1[[#This Row],[Serrar2]]+1</f>
        <v>30</v>
      </c>
      <c r="AD40" s="39">
        <f>Tabela1[[#This Row],[Encaixe /
Furação]]+1</f>
        <v>31</v>
      </c>
    </row>
    <row r="41" spans="1:30" x14ac:dyDescent="0.25">
      <c r="A41" s="13">
        <v>2204</v>
      </c>
      <c r="B41" s="13">
        <v>3</v>
      </c>
      <c r="C41" s="13">
        <v>1334019</v>
      </c>
      <c r="D41" s="13">
        <v>1</v>
      </c>
      <c r="E41" s="13" t="s">
        <v>486</v>
      </c>
      <c r="F41" s="13" t="s">
        <v>8</v>
      </c>
      <c r="G41" s="13">
        <v>1</v>
      </c>
      <c r="H41" s="14">
        <v>46192</v>
      </c>
      <c r="I41" s="9">
        <v>46175</v>
      </c>
      <c r="J41" s="14">
        <v>46234</v>
      </c>
      <c r="K41" s="14"/>
      <c r="L41" s="37">
        <f ca="1">Tabela1[[#This Row],[Prazo
Entrega]]-TODAY()</f>
        <v>4</v>
      </c>
      <c r="M41" s="37" t="str">
        <f t="shared" ca="1" si="1"/>
        <v>ATENÇÃO</v>
      </c>
      <c r="N41" s="8" t="s">
        <v>32</v>
      </c>
      <c r="O41" s="38" t="s">
        <v>56</v>
      </c>
      <c r="P41" s="14" t="s">
        <v>56</v>
      </c>
      <c r="Q41" s="8" t="s">
        <v>392</v>
      </c>
      <c r="R41" s="8" t="s">
        <v>18</v>
      </c>
      <c r="S41" s="8" t="s">
        <v>67</v>
      </c>
      <c r="T41" s="8" t="s">
        <v>502</v>
      </c>
      <c r="U41" s="8" t="s">
        <v>473</v>
      </c>
      <c r="V41" s="8" t="s">
        <v>376</v>
      </c>
      <c r="X41" s="8" t="str">
        <f t="shared" si="2"/>
        <v>EM USINAGEM</v>
      </c>
      <c r="Z41" s="39">
        <v>28</v>
      </c>
      <c r="AA41" s="39">
        <f>Tabela1[[#This Row],[Plainar
Facear]]+1</f>
        <v>29</v>
      </c>
      <c r="AB41" s="39" t="s">
        <v>19</v>
      </c>
      <c r="AC41" s="39">
        <f>Tabela1[[#This Row],[Serrar2]]+1</f>
        <v>30</v>
      </c>
      <c r="AD41" s="39">
        <f>Tabela1[[#This Row],[Encaixe /
Furação]]+1</f>
        <v>31</v>
      </c>
    </row>
    <row r="42" spans="1:30" x14ac:dyDescent="0.25">
      <c r="A42" s="13">
        <v>2204</v>
      </c>
      <c r="B42" s="13">
        <v>4</v>
      </c>
      <c r="C42" s="13">
        <v>1334020</v>
      </c>
      <c r="D42" s="13">
        <v>1</v>
      </c>
      <c r="E42" s="13" t="s">
        <v>486</v>
      </c>
      <c r="F42" s="13" t="s">
        <v>8</v>
      </c>
      <c r="G42" s="13">
        <v>1</v>
      </c>
      <c r="H42" s="14">
        <v>46192</v>
      </c>
      <c r="I42" s="9">
        <v>46175</v>
      </c>
      <c r="J42" s="14">
        <v>46234</v>
      </c>
      <c r="K42" s="14"/>
      <c r="L42" s="37">
        <f ca="1">Tabela1[[#This Row],[Prazo
Entrega]]-TODAY()</f>
        <v>4</v>
      </c>
      <c r="M42" s="37" t="str">
        <f t="shared" ca="1" si="1"/>
        <v>ATENÇÃO</v>
      </c>
      <c r="N42" s="8" t="s">
        <v>32</v>
      </c>
      <c r="O42" s="38" t="s">
        <v>56</v>
      </c>
      <c r="P42" s="14" t="s">
        <v>56</v>
      </c>
      <c r="Q42" s="8" t="s">
        <v>392</v>
      </c>
      <c r="R42" s="8" t="s">
        <v>18</v>
      </c>
      <c r="S42" s="8" t="s">
        <v>67</v>
      </c>
      <c r="T42" s="8" t="s">
        <v>502</v>
      </c>
      <c r="U42" s="8" t="s">
        <v>473</v>
      </c>
      <c r="V42" s="8" t="s">
        <v>376</v>
      </c>
      <c r="X42" s="8" t="str">
        <f t="shared" si="2"/>
        <v>EM USINAGEM</v>
      </c>
      <c r="Z42" s="39">
        <v>28</v>
      </c>
      <c r="AA42" s="39">
        <f>Tabela1[[#This Row],[Plainar
Facear]]+1</f>
        <v>29</v>
      </c>
      <c r="AB42" s="39" t="s">
        <v>19</v>
      </c>
      <c r="AC42" s="39">
        <f>Tabela1[[#This Row],[Serrar2]]+1</f>
        <v>30</v>
      </c>
      <c r="AD42" s="39">
        <f>Tabela1[[#This Row],[Encaixe /
Furação]]+1</f>
        <v>31</v>
      </c>
    </row>
    <row r="43" spans="1:30" x14ac:dyDescent="0.25">
      <c r="A43" s="13">
        <v>2204</v>
      </c>
      <c r="B43" s="13">
        <v>5</v>
      </c>
      <c r="C43" s="13">
        <v>1334021</v>
      </c>
      <c r="D43" s="13">
        <v>1</v>
      </c>
      <c r="E43" s="13" t="s">
        <v>486</v>
      </c>
      <c r="F43" s="13" t="s">
        <v>8</v>
      </c>
      <c r="G43" s="13">
        <v>1</v>
      </c>
      <c r="H43" s="14">
        <v>46192</v>
      </c>
      <c r="I43" s="9">
        <v>46192</v>
      </c>
      <c r="J43" s="14">
        <v>46234</v>
      </c>
      <c r="K43" s="14"/>
      <c r="L43" s="37">
        <f ca="1">Tabela1[[#This Row],[Prazo
Entrega]]-TODAY()</f>
        <v>4</v>
      </c>
      <c r="M43" s="37" t="str">
        <f t="shared" ca="1" si="1"/>
        <v>ATENÇÃO</v>
      </c>
      <c r="N43" s="8" t="s">
        <v>32</v>
      </c>
      <c r="O43" s="38" t="s">
        <v>56</v>
      </c>
      <c r="P43" s="14" t="s">
        <v>56</v>
      </c>
      <c r="Q43" s="8" t="s">
        <v>392</v>
      </c>
      <c r="R43" s="8" t="s">
        <v>18</v>
      </c>
      <c r="S43" s="8" t="s">
        <v>67</v>
      </c>
      <c r="T43" s="8" t="s">
        <v>502</v>
      </c>
      <c r="U43" s="8" t="s">
        <v>473</v>
      </c>
      <c r="V43" s="8" t="s">
        <v>376</v>
      </c>
      <c r="X43" s="8" t="str">
        <f t="shared" si="2"/>
        <v>EM USINAGEM</v>
      </c>
      <c r="Z43" s="39">
        <v>28</v>
      </c>
      <c r="AA43" s="39">
        <f>Tabela1[[#This Row],[Plainar
Facear]]+1</f>
        <v>29</v>
      </c>
      <c r="AB43" s="39" t="s">
        <v>19</v>
      </c>
      <c r="AC43" s="39">
        <f>Tabela1[[#This Row],[Serrar2]]+1</f>
        <v>30</v>
      </c>
      <c r="AD43" s="39">
        <f>Tabela1[[#This Row],[Encaixe /
Furação]]+1</f>
        <v>31</v>
      </c>
    </row>
    <row r="44" spans="1:30" x14ac:dyDescent="0.25">
      <c r="A44" s="13">
        <v>2204</v>
      </c>
      <c r="B44" s="13">
        <v>6</v>
      </c>
      <c r="C44" s="13">
        <v>1334022</v>
      </c>
      <c r="D44" s="13">
        <v>1</v>
      </c>
      <c r="E44" s="13" t="s">
        <v>486</v>
      </c>
      <c r="F44" s="13" t="s">
        <v>9</v>
      </c>
      <c r="G44" s="13">
        <v>1</v>
      </c>
      <c r="H44" s="14">
        <v>46192</v>
      </c>
      <c r="I44" s="9">
        <v>46217</v>
      </c>
      <c r="J44" s="14">
        <v>46234</v>
      </c>
      <c r="K44" s="14"/>
      <c r="L44" s="37">
        <f ca="1">Tabela1[[#This Row],[Prazo
Entrega]]-TODAY()</f>
        <v>4</v>
      </c>
      <c r="M44" s="37" t="str">
        <f t="shared" ca="1" si="1"/>
        <v>ATENÇÃO</v>
      </c>
      <c r="N44" s="8" t="s">
        <v>32</v>
      </c>
      <c r="O44" s="38" t="s">
        <v>56</v>
      </c>
      <c r="P44" s="14" t="s">
        <v>56</v>
      </c>
      <c r="Q44" s="8" t="s">
        <v>392</v>
      </c>
      <c r="R44" s="8" t="s">
        <v>18</v>
      </c>
      <c r="S44" s="8" t="s">
        <v>67</v>
      </c>
      <c r="T44" s="8" t="s">
        <v>502</v>
      </c>
      <c r="U44" s="8" t="s">
        <v>473</v>
      </c>
      <c r="V44" s="8" t="s">
        <v>376</v>
      </c>
      <c r="X44" s="8" t="str">
        <f t="shared" si="2"/>
        <v>EM USINAGEM</v>
      </c>
      <c r="Z44" s="39">
        <v>28</v>
      </c>
      <c r="AA44" s="39">
        <f>Tabela1[[#This Row],[Plainar
Facear]]+1</f>
        <v>29</v>
      </c>
      <c r="AB44" s="39" t="s">
        <v>19</v>
      </c>
      <c r="AC44" s="39">
        <f>Tabela1[[#This Row],[Serrar2]]+1</f>
        <v>30</v>
      </c>
      <c r="AD44" s="39">
        <f>Tabela1[[#This Row],[Encaixe /
Furação]]+1</f>
        <v>31</v>
      </c>
    </row>
    <row r="45" spans="1:30" x14ac:dyDescent="0.25">
      <c r="A45" s="13">
        <v>2203</v>
      </c>
      <c r="B45" s="13">
        <v>4</v>
      </c>
      <c r="C45" s="13">
        <v>958025</v>
      </c>
      <c r="D45" s="13">
        <v>1</v>
      </c>
      <c r="E45" s="13" t="s">
        <v>261</v>
      </c>
      <c r="F45" s="13" t="s">
        <v>8</v>
      </c>
      <c r="G45" s="13">
        <v>1</v>
      </c>
      <c r="H45" s="14">
        <v>46192</v>
      </c>
      <c r="I45" s="9">
        <v>46188</v>
      </c>
      <c r="J45" s="14">
        <v>46234</v>
      </c>
      <c r="K45" s="14"/>
      <c r="L45" s="37">
        <f ca="1">Tabela1[[#This Row],[Prazo
Entrega]]-TODAY()</f>
        <v>4</v>
      </c>
      <c r="M45" s="37" t="str">
        <f t="shared" ca="1" si="1"/>
        <v>ATENÇÃO</v>
      </c>
      <c r="N45" s="8" t="s">
        <v>32</v>
      </c>
      <c r="O45" s="38" t="s">
        <v>56</v>
      </c>
      <c r="P45" s="14" t="s">
        <v>56</v>
      </c>
      <c r="Q45" s="93" t="s">
        <v>392</v>
      </c>
      <c r="R45" s="93" t="s">
        <v>18</v>
      </c>
      <c r="S45" s="93" t="s">
        <v>67</v>
      </c>
      <c r="T45" s="94" t="s">
        <v>502</v>
      </c>
      <c r="U45" s="8" t="s">
        <v>473</v>
      </c>
      <c r="V45" s="8" t="s">
        <v>376</v>
      </c>
      <c r="X45" s="8" t="str">
        <f t="shared" si="2"/>
        <v>EM USINAGEM</v>
      </c>
      <c r="Z45" s="39">
        <v>28</v>
      </c>
      <c r="AA45" s="39">
        <f>Tabela1[[#This Row],[Plainar
Facear]]+1</f>
        <v>29</v>
      </c>
      <c r="AB45" s="39" t="s">
        <v>19</v>
      </c>
      <c r="AC45" s="39">
        <f>Tabela1[[#This Row],[Serrar2]]+1</f>
        <v>30</v>
      </c>
      <c r="AD45" s="39">
        <f>Tabela1[[#This Row],[Encaixe /
Furação]]+1</f>
        <v>31</v>
      </c>
    </row>
    <row r="46" spans="1:30" x14ac:dyDescent="0.25">
      <c r="A46" s="13">
        <v>2203</v>
      </c>
      <c r="B46" s="13">
        <v>5</v>
      </c>
      <c r="C46" s="13">
        <v>958026</v>
      </c>
      <c r="D46" s="13">
        <v>1</v>
      </c>
      <c r="E46" s="13" t="s">
        <v>261</v>
      </c>
      <c r="F46" s="13" t="s">
        <v>8</v>
      </c>
      <c r="G46" s="13">
        <v>1</v>
      </c>
      <c r="H46" s="14">
        <v>46192</v>
      </c>
      <c r="I46" s="9">
        <v>46189</v>
      </c>
      <c r="J46" s="14">
        <v>46234</v>
      </c>
      <c r="K46" s="14"/>
      <c r="L46" s="37">
        <f ca="1">Tabela1[[#This Row],[Prazo
Entrega]]-TODAY()</f>
        <v>4</v>
      </c>
      <c r="M46" s="37" t="str">
        <f t="shared" ca="1" si="1"/>
        <v>ATENÇÃO</v>
      </c>
      <c r="N46" s="8" t="s">
        <v>32</v>
      </c>
      <c r="O46" s="38" t="s">
        <v>56</v>
      </c>
      <c r="P46" s="14" t="s">
        <v>56</v>
      </c>
      <c r="Q46" s="94" t="s">
        <v>392</v>
      </c>
      <c r="R46" s="8" t="s">
        <v>18</v>
      </c>
      <c r="S46" s="8" t="s">
        <v>67</v>
      </c>
      <c r="T46" s="8" t="s">
        <v>502</v>
      </c>
      <c r="U46" s="8" t="s">
        <v>473</v>
      </c>
      <c r="V46" s="8" t="s">
        <v>376</v>
      </c>
      <c r="X46" s="8" t="str">
        <f t="shared" si="2"/>
        <v>EM USINAGEM</v>
      </c>
      <c r="Z46" s="39">
        <v>28</v>
      </c>
      <c r="AA46" s="39">
        <f>Tabela1[[#This Row],[Plainar
Facear]]+1</f>
        <v>29</v>
      </c>
      <c r="AB46" s="39" t="s">
        <v>19</v>
      </c>
      <c r="AC46" s="39">
        <f>Tabela1[[#This Row],[Serrar2]]+1</f>
        <v>30</v>
      </c>
      <c r="AD46" s="39">
        <f>Tabela1[[#This Row],[Encaixe /
Furação]]+1</f>
        <v>31</v>
      </c>
    </row>
    <row r="47" spans="1:30" x14ac:dyDescent="0.25">
      <c r="A47" s="13">
        <v>2203</v>
      </c>
      <c r="B47" s="13">
        <v>6</v>
      </c>
      <c r="C47" s="13">
        <v>958027</v>
      </c>
      <c r="D47" s="13">
        <v>1</v>
      </c>
      <c r="E47" s="13" t="s">
        <v>261</v>
      </c>
      <c r="F47" s="13" t="s">
        <v>10</v>
      </c>
      <c r="G47" s="13">
        <v>1</v>
      </c>
      <c r="H47" s="14">
        <v>46192</v>
      </c>
      <c r="I47" s="8" t="s">
        <v>51</v>
      </c>
      <c r="J47" s="14">
        <v>46234</v>
      </c>
      <c r="K47" s="14"/>
      <c r="L47" s="37">
        <f ca="1">Tabela1[[#This Row],[Prazo
Entrega]]-TODAY()</f>
        <v>4</v>
      </c>
      <c r="M47" s="37" t="str">
        <f t="shared" ca="1" si="1"/>
        <v>ATENÇÃO</v>
      </c>
      <c r="N47" s="8" t="s">
        <v>32</v>
      </c>
      <c r="O47" s="38" t="s">
        <v>56</v>
      </c>
      <c r="P47" s="14" t="s">
        <v>56</v>
      </c>
      <c r="Q47" s="93" t="s">
        <v>392</v>
      </c>
      <c r="R47" s="93" t="s">
        <v>18</v>
      </c>
      <c r="S47" s="93" t="s">
        <v>67</v>
      </c>
      <c r="T47" s="94" t="s">
        <v>502</v>
      </c>
      <c r="U47" s="8" t="s">
        <v>473</v>
      </c>
      <c r="V47" s="8" t="s">
        <v>376</v>
      </c>
      <c r="X47" s="8" t="str">
        <f t="shared" si="2"/>
        <v>EM USINAGEM</v>
      </c>
      <c r="Z47" s="39">
        <v>28</v>
      </c>
      <c r="AA47" s="39">
        <f>Tabela1[[#This Row],[Plainar
Facear]]+1</f>
        <v>29</v>
      </c>
      <c r="AB47" s="39" t="s">
        <v>19</v>
      </c>
      <c r="AC47" s="39">
        <f>Tabela1[[#This Row],[Serrar2]]+1</f>
        <v>30</v>
      </c>
      <c r="AD47" s="39">
        <f>Tabela1[[#This Row],[Encaixe /
Furação]]+1</f>
        <v>31</v>
      </c>
    </row>
    <row r="48" spans="1:30" x14ac:dyDescent="0.25">
      <c r="A48" s="13">
        <v>2206</v>
      </c>
      <c r="B48" s="13">
        <v>1</v>
      </c>
      <c r="C48" s="13">
        <v>1255019</v>
      </c>
      <c r="D48" s="13">
        <v>1</v>
      </c>
      <c r="E48" s="13" t="s">
        <v>484</v>
      </c>
      <c r="F48" s="13" t="s">
        <v>8</v>
      </c>
      <c r="G48" s="13">
        <v>1</v>
      </c>
      <c r="H48" s="14">
        <v>46192</v>
      </c>
      <c r="I48" s="9">
        <v>46206</v>
      </c>
      <c r="J48" s="14">
        <v>46241</v>
      </c>
      <c r="K48" s="14"/>
      <c r="L48" s="37">
        <f ca="1">Tabela1[[#This Row],[Prazo
Entrega]]-TODAY()</f>
        <v>11</v>
      </c>
      <c r="M48" s="37" t="str">
        <f t="shared" ca="1" si="1"/>
        <v>ATENÇÃO</v>
      </c>
      <c r="N48" s="8" t="s">
        <v>32</v>
      </c>
      <c r="O48" s="38" t="s">
        <v>56</v>
      </c>
      <c r="P48" s="14" t="s">
        <v>56</v>
      </c>
      <c r="Q48" s="8" t="s">
        <v>392</v>
      </c>
      <c r="R48" s="8" t="s">
        <v>18</v>
      </c>
      <c r="S48" s="8" t="s">
        <v>67</v>
      </c>
      <c r="T48" s="8" t="s">
        <v>502</v>
      </c>
      <c r="U48" s="8" t="s">
        <v>473</v>
      </c>
      <c r="V48" s="8" t="s">
        <v>376</v>
      </c>
      <c r="X48" s="8" t="str">
        <f t="shared" si="2"/>
        <v>EM USINAGEM</v>
      </c>
      <c r="Z48" s="39">
        <v>28</v>
      </c>
      <c r="AA48" s="39">
        <f>Tabela1[[#This Row],[Plainar
Facear]]+1</f>
        <v>29</v>
      </c>
      <c r="AB48" s="39" t="s">
        <v>19</v>
      </c>
      <c r="AC48" s="39">
        <f>Tabela1[[#This Row],[Serrar2]]+1</f>
        <v>30</v>
      </c>
      <c r="AD48" s="39">
        <v>32</v>
      </c>
    </row>
    <row r="49" spans="1:30" x14ac:dyDescent="0.25">
      <c r="A49" s="13">
        <v>2205</v>
      </c>
      <c r="B49" s="13">
        <v>2</v>
      </c>
      <c r="C49" s="13">
        <v>1483009</v>
      </c>
      <c r="D49" s="13">
        <v>1</v>
      </c>
      <c r="E49" s="13" t="s">
        <v>485</v>
      </c>
      <c r="F49" s="13" t="s">
        <v>8</v>
      </c>
      <c r="G49" s="13">
        <v>1</v>
      </c>
      <c r="H49" s="14">
        <v>46192</v>
      </c>
      <c r="I49" s="9">
        <v>46175</v>
      </c>
      <c r="J49" s="14">
        <v>46227</v>
      </c>
      <c r="K49" s="14"/>
      <c r="L49" s="37">
        <f ca="1">Tabela1[[#This Row],[Prazo
Entrega]]-TODAY()</f>
        <v>-3</v>
      </c>
      <c r="M49" s="37" t="str">
        <f t="shared" ca="1" si="1"/>
        <v>ATRASADO</v>
      </c>
      <c r="N49" s="8" t="s">
        <v>32</v>
      </c>
      <c r="O49" s="38" t="s">
        <v>56</v>
      </c>
      <c r="P49" s="14" t="s">
        <v>56</v>
      </c>
      <c r="Q49" s="93" t="s">
        <v>392</v>
      </c>
      <c r="R49" s="93" t="s">
        <v>18</v>
      </c>
      <c r="S49" s="93" t="s">
        <v>67</v>
      </c>
      <c r="T49" s="93" t="s">
        <v>502</v>
      </c>
      <c r="U49" s="93" t="s">
        <v>473</v>
      </c>
      <c r="V49" s="94" t="s">
        <v>376</v>
      </c>
      <c r="X49" s="8" t="str">
        <f t="shared" si="2"/>
        <v>EM USINAGEM</v>
      </c>
      <c r="Z49" s="39">
        <v>28</v>
      </c>
      <c r="AA49" s="39">
        <f>Tabela1[[#This Row],[Plainar
Facear]]+1</f>
        <v>29</v>
      </c>
      <c r="AB49" s="39" t="s">
        <v>19</v>
      </c>
      <c r="AC49" s="39">
        <f>Tabela1[[#This Row],[Serrar2]]+1</f>
        <v>30</v>
      </c>
      <c r="AD49" s="39">
        <v>32</v>
      </c>
    </row>
    <row r="50" spans="1:30" x14ac:dyDescent="0.25">
      <c r="A50" s="13">
        <v>2205</v>
      </c>
      <c r="B50" s="13">
        <v>3</v>
      </c>
      <c r="C50" s="13">
        <v>1483010</v>
      </c>
      <c r="D50" s="13">
        <v>1</v>
      </c>
      <c r="E50" s="13" t="s">
        <v>485</v>
      </c>
      <c r="F50" s="13" t="s">
        <v>8</v>
      </c>
      <c r="G50" s="13">
        <v>1</v>
      </c>
      <c r="H50" s="14">
        <v>46192</v>
      </c>
      <c r="I50" s="9">
        <v>46175</v>
      </c>
      <c r="J50" s="14">
        <v>46227</v>
      </c>
      <c r="K50" s="14"/>
      <c r="L50" s="37">
        <f ca="1">Tabela1[[#This Row],[Prazo
Entrega]]-TODAY()</f>
        <v>-3</v>
      </c>
      <c r="M50" s="37" t="str">
        <f t="shared" ca="1" si="1"/>
        <v>ATRASADO</v>
      </c>
      <c r="N50" s="8" t="s">
        <v>32</v>
      </c>
      <c r="O50" s="38" t="s">
        <v>56</v>
      </c>
      <c r="P50" s="14" t="s">
        <v>56</v>
      </c>
      <c r="Q50" s="93" t="s">
        <v>392</v>
      </c>
      <c r="R50" s="93" t="s">
        <v>18</v>
      </c>
      <c r="S50" s="93" t="s">
        <v>67</v>
      </c>
      <c r="T50" s="93" t="s">
        <v>502</v>
      </c>
      <c r="U50" s="93" t="s">
        <v>473</v>
      </c>
      <c r="V50" s="94" t="s">
        <v>376</v>
      </c>
      <c r="X50" s="8" t="str">
        <f t="shared" si="2"/>
        <v>EM USINAGEM</v>
      </c>
      <c r="Z50" s="39">
        <v>29</v>
      </c>
      <c r="AA50" s="39">
        <f>Tabela1[[#This Row],[Plainar
Facear]]+1</f>
        <v>30</v>
      </c>
      <c r="AB50" s="39" t="s">
        <v>19</v>
      </c>
      <c r="AC50" s="39">
        <f>Tabela1[[#This Row],[Serrar2]]+1</f>
        <v>31</v>
      </c>
      <c r="AD50" s="39">
        <f>Tabela1[[#This Row],[Encaixe /
Furação]]+1</f>
        <v>32</v>
      </c>
    </row>
    <row r="51" spans="1:30" x14ac:dyDescent="0.25">
      <c r="A51" s="13">
        <v>2205</v>
      </c>
      <c r="B51" s="13">
        <v>4</v>
      </c>
      <c r="C51" s="13">
        <v>1483011</v>
      </c>
      <c r="D51" s="13">
        <v>1</v>
      </c>
      <c r="E51" s="13" t="s">
        <v>485</v>
      </c>
      <c r="F51" s="13" t="s">
        <v>8</v>
      </c>
      <c r="G51" s="13">
        <v>1</v>
      </c>
      <c r="H51" s="14">
        <v>46192</v>
      </c>
      <c r="I51" s="9">
        <v>46192</v>
      </c>
      <c r="J51" s="14">
        <v>46241</v>
      </c>
      <c r="K51" s="14"/>
      <c r="L51" s="37">
        <f ca="1">Tabela1[[#This Row],[Prazo
Entrega]]-TODAY()</f>
        <v>11</v>
      </c>
      <c r="M51" s="37" t="str">
        <f t="shared" ca="1" si="1"/>
        <v>ATENÇÃO</v>
      </c>
      <c r="N51" s="8" t="s">
        <v>32</v>
      </c>
      <c r="O51" s="38" t="s">
        <v>56</v>
      </c>
      <c r="P51" s="14" t="s">
        <v>56</v>
      </c>
      <c r="Q51" s="93" t="s">
        <v>392</v>
      </c>
      <c r="R51" s="93" t="s">
        <v>18</v>
      </c>
      <c r="S51" s="93" t="s">
        <v>67</v>
      </c>
      <c r="T51" s="93" t="s">
        <v>502</v>
      </c>
      <c r="U51" s="93" t="s">
        <v>473</v>
      </c>
      <c r="V51" s="94" t="s">
        <v>376</v>
      </c>
      <c r="X51" s="8" t="str">
        <f t="shared" si="2"/>
        <v>EM USINAGEM</v>
      </c>
      <c r="Z51" s="39">
        <v>29</v>
      </c>
      <c r="AA51" s="39">
        <f>Tabela1[[#This Row],[Plainar
Facear]]+1</f>
        <v>30</v>
      </c>
      <c r="AB51" s="39" t="s">
        <v>19</v>
      </c>
      <c r="AC51" s="39">
        <f>Tabela1[[#This Row],[Serrar2]]+1</f>
        <v>31</v>
      </c>
      <c r="AD51" s="39">
        <f>Tabela1[[#This Row],[Encaixe /
Furação]]+1</f>
        <v>32</v>
      </c>
    </row>
    <row r="52" spans="1:30" x14ac:dyDescent="0.25">
      <c r="A52" s="13">
        <v>2205</v>
      </c>
      <c r="B52" s="13">
        <v>5</v>
      </c>
      <c r="C52" s="13">
        <v>1483012</v>
      </c>
      <c r="D52" s="13">
        <v>1</v>
      </c>
      <c r="E52" s="13" t="s">
        <v>485</v>
      </c>
      <c r="F52" s="13" t="s">
        <v>8</v>
      </c>
      <c r="G52" s="13">
        <v>1</v>
      </c>
      <c r="H52" s="14">
        <v>46192</v>
      </c>
      <c r="I52" s="9">
        <v>46183</v>
      </c>
      <c r="J52" s="14">
        <v>46241</v>
      </c>
      <c r="K52" s="14"/>
      <c r="L52" s="37">
        <f ca="1">Tabela1[[#This Row],[Prazo
Entrega]]-TODAY()</f>
        <v>11</v>
      </c>
      <c r="M52" s="37" t="str">
        <f t="shared" ca="1" si="1"/>
        <v>ATENÇÃO</v>
      </c>
      <c r="N52" s="8" t="s">
        <v>32</v>
      </c>
      <c r="O52" s="38" t="s">
        <v>56</v>
      </c>
      <c r="P52" s="14" t="s">
        <v>56</v>
      </c>
      <c r="Q52" s="93" t="s">
        <v>392</v>
      </c>
      <c r="R52" s="93" t="s">
        <v>18</v>
      </c>
      <c r="S52" s="93" t="s">
        <v>67</v>
      </c>
      <c r="T52" s="93" t="s">
        <v>502</v>
      </c>
      <c r="U52" s="93" t="s">
        <v>473</v>
      </c>
      <c r="V52" s="94" t="s">
        <v>376</v>
      </c>
      <c r="X52" s="8" t="str">
        <f t="shared" si="2"/>
        <v>EM USINAGEM</v>
      </c>
      <c r="Z52" s="39">
        <v>29</v>
      </c>
      <c r="AA52" s="39">
        <f>Tabela1[[#This Row],[Plainar
Facear]]+1</f>
        <v>30</v>
      </c>
      <c r="AB52" s="39" t="s">
        <v>19</v>
      </c>
      <c r="AC52" s="39">
        <f>Tabela1[[#This Row],[Serrar2]]+1</f>
        <v>31</v>
      </c>
      <c r="AD52" s="39">
        <f>Tabela1[[#This Row],[Encaixe /
Furação]]+1</f>
        <v>32</v>
      </c>
    </row>
    <row r="53" spans="1:30" x14ac:dyDescent="0.25">
      <c r="A53" s="13">
        <v>2206</v>
      </c>
      <c r="B53" s="13">
        <v>2</v>
      </c>
      <c r="C53" s="13">
        <v>1255020</v>
      </c>
      <c r="D53" s="13">
        <v>1</v>
      </c>
      <c r="E53" s="13" t="s">
        <v>484</v>
      </c>
      <c r="F53" s="13" t="s">
        <v>8</v>
      </c>
      <c r="G53" s="13">
        <v>1</v>
      </c>
      <c r="H53" s="14">
        <v>46199</v>
      </c>
      <c r="I53" s="9">
        <v>46189</v>
      </c>
      <c r="J53" s="14">
        <v>46241</v>
      </c>
      <c r="K53" s="14"/>
      <c r="L53" s="37">
        <f ca="1">Tabela1[[#This Row],[Prazo
Entrega]]-TODAY()</f>
        <v>11</v>
      </c>
      <c r="M53" s="37" t="str">
        <f t="shared" ca="1" si="1"/>
        <v>ATENÇÃO</v>
      </c>
      <c r="N53" s="8" t="s">
        <v>32</v>
      </c>
      <c r="O53" s="38" t="s">
        <v>56</v>
      </c>
      <c r="P53" s="14" t="s">
        <v>56</v>
      </c>
      <c r="Q53" s="8" t="s">
        <v>392</v>
      </c>
      <c r="R53" s="8" t="s">
        <v>18</v>
      </c>
      <c r="S53" s="8" t="s">
        <v>67</v>
      </c>
      <c r="T53" s="8" t="s">
        <v>502</v>
      </c>
      <c r="U53" s="8" t="s">
        <v>473</v>
      </c>
      <c r="V53" s="8" t="s">
        <v>376</v>
      </c>
      <c r="X53" s="8" t="str">
        <f t="shared" si="2"/>
        <v>EM USINAGEM</v>
      </c>
      <c r="Z53" s="39">
        <v>29</v>
      </c>
      <c r="AA53" s="39">
        <f>Tabela1[[#This Row],[Plainar
Facear]]+1</f>
        <v>30</v>
      </c>
      <c r="AB53" s="39" t="s">
        <v>19</v>
      </c>
      <c r="AC53" s="39">
        <f>Tabela1[[#This Row],[Serrar2]]+1</f>
        <v>31</v>
      </c>
      <c r="AD53" s="39">
        <f>Tabela1[[#This Row],[Encaixe /
Furação]]+1</f>
        <v>32</v>
      </c>
    </row>
    <row r="54" spans="1:30" x14ac:dyDescent="0.25">
      <c r="A54" s="13">
        <v>2206</v>
      </c>
      <c r="B54" s="13">
        <v>3</v>
      </c>
      <c r="C54" s="13">
        <v>1255021</v>
      </c>
      <c r="D54" s="13">
        <v>1</v>
      </c>
      <c r="E54" s="13" t="s">
        <v>484</v>
      </c>
      <c r="F54" s="13" t="s">
        <v>8</v>
      </c>
      <c r="G54" s="13">
        <v>1</v>
      </c>
      <c r="H54" s="14">
        <v>46199</v>
      </c>
      <c r="I54" s="9">
        <v>46206</v>
      </c>
      <c r="J54" s="14">
        <v>46241</v>
      </c>
      <c r="K54" s="14"/>
      <c r="L54" s="37">
        <f ca="1">Tabela1[[#This Row],[Prazo
Entrega]]-TODAY()</f>
        <v>11</v>
      </c>
      <c r="M54" s="37" t="str">
        <f t="shared" ca="1" si="1"/>
        <v>ATENÇÃO</v>
      </c>
      <c r="N54" s="8" t="s">
        <v>32</v>
      </c>
      <c r="O54" s="38" t="s">
        <v>56</v>
      </c>
      <c r="P54" s="14" t="s">
        <v>56</v>
      </c>
      <c r="Q54" s="8" t="s">
        <v>392</v>
      </c>
      <c r="R54" s="8" t="s">
        <v>18</v>
      </c>
      <c r="S54" s="8" t="s">
        <v>67</v>
      </c>
      <c r="T54" s="8" t="s">
        <v>502</v>
      </c>
      <c r="U54" s="8" t="s">
        <v>473</v>
      </c>
      <c r="V54" s="8" t="s">
        <v>376</v>
      </c>
      <c r="X54" s="8" t="str">
        <f t="shared" si="2"/>
        <v>EM USINAGEM</v>
      </c>
      <c r="Z54" s="39">
        <v>29</v>
      </c>
      <c r="AA54" s="39">
        <f>Tabela1[[#This Row],[Plainar
Facear]]+1</f>
        <v>30</v>
      </c>
      <c r="AB54" s="39" t="s">
        <v>19</v>
      </c>
      <c r="AC54" s="39">
        <f>Tabela1[[#This Row],[Serrar2]]+1</f>
        <v>31</v>
      </c>
      <c r="AD54" s="39">
        <f>Tabela1[[#This Row],[Encaixe /
Furação]]+1</f>
        <v>32</v>
      </c>
    </row>
    <row r="55" spans="1:30" x14ac:dyDescent="0.25">
      <c r="A55" s="13">
        <v>2206</v>
      </c>
      <c r="B55" s="13">
        <v>4</v>
      </c>
      <c r="C55" s="13">
        <v>1255022</v>
      </c>
      <c r="D55" s="13">
        <v>1</v>
      </c>
      <c r="E55" s="13" t="s">
        <v>484</v>
      </c>
      <c r="F55" s="13" t="s">
        <v>8</v>
      </c>
      <c r="G55" s="13">
        <v>1</v>
      </c>
      <c r="H55" s="14">
        <v>46199</v>
      </c>
      <c r="I55" s="9">
        <v>46217</v>
      </c>
      <c r="J55" s="14">
        <v>46241</v>
      </c>
      <c r="K55" s="14"/>
      <c r="L55" s="37">
        <f ca="1">Tabela1[[#This Row],[Prazo
Entrega]]-TODAY()</f>
        <v>11</v>
      </c>
      <c r="M55" s="37" t="str">
        <f t="shared" ca="1" si="1"/>
        <v>ATENÇÃO</v>
      </c>
      <c r="N55" s="8" t="s">
        <v>32</v>
      </c>
      <c r="O55" s="38" t="s">
        <v>56</v>
      </c>
      <c r="P55" s="14" t="s">
        <v>56</v>
      </c>
      <c r="Q55" s="8" t="s">
        <v>392</v>
      </c>
      <c r="R55" s="8" t="s">
        <v>18</v>
      </c>
      <c r="S55" s="8" t="s">
        <v>67</v>
      </c>
      <c r="T55" s="8" t="s">
        <v>502</v>
      </c>
      <c r="U55" s="8" t="s">
        <v>473</v>
      </c>
      <c r="V55" s="8" t="s">
        <v>376</v>
      </c>
      <c r="X55" s="8" t="str">
        <f t="shared" si="2"/>
        <v>EM USINAGEM</v>
      </c>
      <c r="Z55" s="39">
        <v>29</v>
      </c>
      <c r="AA55" s="39">
        <f>Tabela1[[#This Row],[Plainar
Facear]]+1</f>
        <v>30</v>
      </c>
      <c r="AB55" s="39" t="s">
        <v>19</v>
      </c>
      <c r="AC55" s="39">
        <f>Tabela1[[#This Row],[Serrar2]]+1</f>
        <v>31</v>
      </c>
      <c r="AD55" s="39">
        <f>Tabela1[[#This Row],[Encaixe /
Furação]]+1</f>
        <v>32</v>
      </c>
    </row>
    <row r="56" spans="1:30" x14ac:dyDescent="0.25">
      <c r="A56" s="13">
        <v>2206</v>
      </c>
      <c r="B56" s="13">
        <v>5</v>
      </c>
      <c r="C56" s="13">
        <v>1255023</v>
      </c>
      <c r="D56" s="13">
        <v>1</v>
      </c>
      <c r="E56" s="13" t="s">
        <v>484</v>
      </c>
      <c r="F56" s="13" t="s">
        <v>8</v>
      </c>
      <c r="G56" s="13">
        <v>1</v>
      </c>
      <c r="H56" s="14">
        <v>46199</v>
      </c>
      <c r="I56" s="9">
        <v>46206</v>
      </c>
      <c r="J56" s="14">
        <v>46241</v>
      </c>
      <c r="K56" s="14"/>
      <c r="L56" s="37">
        <f ca="1">Tabela1[[#This Row],[Prazo
Entrega]]-TODAY()</f>
        <v>11</v>
      </c>
      <c r="M56" s="37" t="str">
        <f t="shared" ca="1" si="1"/>
        <v>ATENÇÃO</v>
      </c>
      <c r="N56" s="8" t="s">
        <v>32</v>
      </c>
      <c r="O56" s="38" t="s">
        <v>56</v>
      </c>
      <c r="P56" s="14" t="s">
        <v>56</v>
      </c>
      <c r="Q56" s="8" t="s">
        <v>392</v>
      </c>
      <c r="R56" s="8" t="s">
        <v>18</v>
      </c>
      <c r="S56" s="8" t="s">
        <v>67</v>
      </c>
      <c r="T56" s="8" t="s">
        <v>502</v>
      </c>
      <c r="U56" s="8" t="s">
        <v>473</v>
      </c>
      <c r="V56" s="8" t="s">
        <v>376</v>
      </c>
      <c r="X56" s="8" t="str">
        <f t="shared" si="2"/>
        <v>EM USINAGEM</v>
      </c>
      <c r="Z56" s="39">
        <v>29</v>
      </c>
      <c r="AA56" s="39">
        <f>Tabela1[[#This Row],[Plainar
Facear]]+1</f>
        <v>30</v>
      </c>
      <c r="AB56" s="39" t="s">
        <v>19</v>
      </c>
      <c r="AC56" s="39">
        <f>Tabela1[[#This Row],[Serrar2]]+1</f>
        <v>31</v>
      </c>
      <c r="AD56" s="39">
        <f>Tabela1[[#This Row],[Encaixe /
Furação]]+1</f>
        <v>32</v>
      </c>
    </row>
    <row r="57" spans="1:30" x14ac:dyDescent="0.25">
      <c r="A57" s="13">
        <v>2206</v>
      </c>
      <c r="B57" s="13">
        <v>6</v>
      </c>
      <c r="C57" s="13">
        <v>1255024</v>
      </c>
      <c r="D57" s="13">
        <v>1</v>
      </c>
      <c r="E57" s="13" t="s">
        <v>484</v>
      </c>
      <c r="F57" s="13" t="s">
        <v>8</v>
      </c>
      <c r="G57" s="13">
        <v>1</v>
      </c>
      <c r="H57" s="14">
        <v>46199</v>
      </c>
      <c r="I57" s="9">
        <v>46217</v>
      </c>
      <c r="J57" s="14">
        <v>46241</v>
      </c>
      <c r="K57" s="14"/>
      <c r="L57" s="37">
        <f ca="1">Tabela1[[#This Row],[Prazo
Entrega]]-TODAY()</f>
        <v>11</v>
      </c>
      <c r="M57" s="37" t="str">
        <f t="shared" ca="1" si="1"/>
        <v>ATENÇÃO</v>
      </c>
      <c r="N57" s="8" t="s">
        <v>32</v>
      </c>
      <c r="O57" s="38" t="s">
        <v>56</v>
      </c>
      <c r="P57" s="14" t="s">
        <v>56</v>
      </c>
      <c r="Q57" s="8" t="s">
        <v>392</v>
      </c>
      <c r="R57" s="8" t="s">
        <v>18</v>
      </c>
      <c r="S57" s="8" t="s">
        <v>67</v>
      </c>
      <c r="T57" s="8" t="s">
        <v>502</v>
      </c>
      <c r="U57" s="8" t="s">
        <v>473</v>
      </c>
      <c r="V57" s="8" t="s">
        <v>376</v>
      </c>
      <c r="X57" s="8" t="str">
        <f t="shared" si="2"/>
        <v>EM USINAGEM</v>
      </c>
      <c r="Z57" s="39">
        <v>29</v>
      </c>
      <c r="AA57" s="39">
        <f>Tabela1[[#This Row],[Plainar
Facear]]+1</f>
        <v>30</v>
      </c>
      <c r="AB57" s="39" t="s">
        <v>19</v>
      </c>
      <c r="AC57" s="39">
        <f>Tabela1[[#This Row],[Serrar2]]+1</f>
        <v>31</v>
      </c>
      <c r="AD57" s="39">
        <f>Tabela1[[#This Row],[Encaixe /
Furação]]+1</f>
        <v>32</v>
      </c>
    </row>
    <row r="58" spans="1:30" x14ac:dyDescent="0.25">
      <c r="A58" s="13">
        <v>2207</v>
      </c>
      <c r="B58" s="13">
        <v>1</v>
      </c>
      <c r="C58" s="13">
        <v>372054</v>
      </c>
      <c r="D58" s="13">
        <v>1</v>
      </c>
      <c r="E58" s="13" t="s">
        <v>273</v>
      </c>
      <c r="F58" s="13" t="s">
        <v>8</v>
      </c>
      <c r="G58" s="13">
        <v>1</v>
      </c>
      <c r="H58" s="14">
        <v>46199</v>
      </c>
      <c r="I58" s="9">
        <v>46190</v>
      </c>
      <c r="J58" s="14">
        <v>46248</v>
      </c>
      <c r="K58" s="14"/>
      <c r="L58" s="37">
        <f ca="1">Tabela1[[#This Row],[Prazo
Entrega]]-TODAY()</f>
        <v>18</v>
      </c>
      <c r="M58" s="37" t="str">
        <f t="shared" ca="1" si="1"/>
        <v>NO PRAZO</v>
      </c>
      <c r="N58" s="8" t="s">
        <v>32</v>
      </c>
      <c r="O58" s="38" t="s">
        <v>56</v>
      </c>
      <c r="P58" s="14" t="s">
        <v>56</v>
      </c>
      <c r="Q58" s="8" t="s">
        <v>392</v>
      </c>
      <c r="R58" s="8" t="s">
        <v>18</v>
      </c>
      <c r="S58" s="8" t="s">
        <v>67</v>
      </c>
      <c r="T58" s="8" t="s">
        <v>502</v>
      </c>
      <c r="U58" s="8" t="s">
        <v>473</v>
      </c>
      <c r="V58" s="8" t="s">
        <v>376</v>
      </c>
      <c r="X58" s="8" t="str">
        <f t="shared" si="2"/>
        <v>EM USINAGEM</v>
      </c>
      <c r="Z58" s="39">
        <v>29</v>
      </c>
      <c r="AA58" s="39">
        <f>Tabela1[[#This Row],[Plainar
Facear]]+1</f>
        <v>30</v>
      </c>
      <c r="AB58" s="39" t="s">
        <v>19</v>
      </c>
      <c r="AC58" s="39">
        <f>Tabela1[[#This Row],[Serrar2]]+1</f>
        <v>31</v>
      </c>
      <c r="AD58" s="39">
        <f>Tabela1[[#This Row],[Encaixe /
Furação]]+1</f>
        <v>32</v>
      </c>
    </row>
    <row r="59" spans="1:30" x14ac:dyDescent="0.25">
      <c r="A59" s="13">
        <v>2207</v>
      </c>
      <c r="B59" s="13">
        <v>2</v>
      </c>
      <c r="C59" s="13">
        <v>372055</v>
      </c>
      <c r="D59" s="13">
        <v>1</v>
      </c>
      <c r="E59" s="13" t="s">
        <v>273</v>
      </c>
      <c r="F59" s="13" t="s">
        <v>8</v>
      </c>
      <c r="G59" s="13">
        <v>1</v>
      </c>
      <c r="H59" s="14">
        <v>46199</v>
      </c>
      <c r="I59" s="9">
        <v>46188</v>
      </c>
      <c r="J59" s="14">
        <v>46248</v>
      </c>
      <c r="K59" s="14"/>
      <c r="L59" s="37">
        <f ca="1">Tabela1[[#This Row],[Prazo
Entrega]]-TODAY()</f>
        <v>18</v>
      </c>
      <c r="M59" s="37" t="str">
        <f t="shared" ca="1" si="1"/>
        <v>NO PRAZO</v>
      </c>
      <c r="N59" s="8" t="s">
        <v>32</v>
      </c>
      <c r="O59" s="38" t="s">
        <v>56</v>
      </c>
      <c r="P59" s="14" t="s">
        <v>56</v>
      </c>
      <c r="Q59" s="8" t="s">
        <v>392</v>
      </c>
      <c r="R59" s="8" t="s">
        <v>18</v>
      </c>
      <c r="S59" s="8" t="s">
        <v>67</v>
      </c>
      <c r="T59" s="8" t="s">
        <v>502</v>
      </c>
      <c r="U59" s="8" t="s">
        <v>473</v>
      </c>
      <c r="V59" s="8" t="s">
        <v>376</v>
      </c>
      <c r="X59" s="8" t="str">
        <f t="shared" si="2"/>
        <v>EM USINAGEM</v>
      </c>
      <c r="Z59" s="39">
        <v>29</v>
      </c>
      <c r="AA59" s="39">
        <f>Tabela1[[#This Row],[Plainar
Facear]]+1</f>
        <v>30</v>
      </c>
      <c r="AB59" s="39" t="s">
        <v>19</v>
      </c>
      <c r="AC59" s="39">
        <f>Tabela1[[#This Row],[Serrar2]]+1</f>
        <v>31</v>
      </c>
      <c r="AD59" s="39">
        <f>Tabela1[[#This Row],[Encaixe /
Furação]]+1</f>
        <v>32</v>
      </c>
    </row>
    <row r="60" spans="1:30" x14ac:dyDescent="0.25">
      <c r="A60" s="13">
        <v>2226</v>
      </c>
      <c r="B60" s="13">
        <v>1</v>
      </c>
      <c r="C60" s="12">
        <v>1495050</v>
      </c>
      <c r="D60" s="12">
        <v>1</v>
      </c>
      <c r="E60" s="13" t="s">
        <v>14</v>
      </c>
      <c r="F60" s="13" t="s">
        <v>15</v>
      </c>
      <c r="G60" s="13">
        <v>1</v>
      </c>
      <c r="H60" s="14">
        <v>46189</v>
      </c>
      <c r="I60" s="9">
        <v>46203</v>
      </c>
      <c r="J60" s="14">
        <v>46234</v>
      </c>
      <c r="K60" s="14"/>
      <c r="L60" s="37">
        <f ca="1">Tabela1[[#This Row],[Prazo
Entrega]]-TODAY()</f>
        <v>4</v>
      </c>
      <c r="M60" s="37" t="str">
        <f t="shared" ca="1" si="1"/>
        <v>ATENÇÃO</v>
      </c>
      <c r="N60" s="8" t="s">
        <v>32</v>
      </c>
      <c r="O60" s="38" t="s">
        <v>56</v>
      </c>
      <c r="P60" s="14" t="s">
        <v>56</v>
      </c>
      <c r="Q60" s="93" t="s">
        <v>392</v>
      </c>
      <c r="R60" s="93" t="s">
        <v>18</v>
      </c>
      <c r="S60" s="93" t="s">
        <v>67</v>
      </c>
      <c r="T60" s="93" t="s">
        <v>502</v>
      </c>
      <c r="U60" s="94" t="s">
        <v>473</v>
      </c>
      <c r="V60" s="8" t="s">
        <v>376</v>
      </c>
      <c r="X60" s="8" t="str">
        <f t="shared" si="2"/>
        <v>EM USINAGEM</v>
      </c>
      <c r="Z60" s="39">
        <v>30</v>
      </c>
      <c r="AA60" s="39" t="s">
        <v>19</v>
      </c>
      <c r="AB60" s="39" t="s">
        <v>19</v>
      </c>
      <c r="AC60" s="39" t="s">
        <v>19</v>
      </c>
      <c r="AD60" s="39">
        <v>31</v>
      </c>
    </row>
    <row r="61" spans="1:30" x14ac:dyDescent="0.25">
      <c r="A61" s="13">
        <v>2226</v>
      </c>
      <c r="B61" s="13">
        <v>2</v>
      </c>
      <c r="C61" s="12">
        <v>1495050</v>
      </c>
      <c r="D61" s="12">
        <v>2</v>
      </c>
      <c r="E61" s="13" t="s">
        <v>14</v>
      </c>
      <c r="F61" s="13" t="s">
        <v>15</v>
      </c>
      <c r="G61" s="13">
        <v>1</v>
      </c>
      <c r="H61" s="14">
        <v>46189</v>
      </c>
      <c r="I61" s="9">
        <v>46203</v>
      </c>
      <c r="J61" s="14">
        <v>46234</v>
      </c>
      <c r="K61" s="14"/>
      <c r="L61" s="37">
        <f ca="1">Tabela1[[#This Row],[Prazo
Entrega]]-TODAY()</f>
        <v>4</v>
      </c>
      <c r="M61" s="37" t="str">
        <f t="shared" ca="1" si="1"/>
        <v>ATENÇÃO</v>
      </c>
      <c r="N61" s="8" t="s">
        <v>32</v>
      </c>
      <c r="O61" s="38" t="s">
        <v>56</v>
      </c>
      <c r="P61" s="14" t="s">
        <v>56</v>
      </c>
      <c r="Q61" s="93" t="s">
        <v>392</v>
      </c>
      <c r="R61" s="93" t="s">
        <v>18</v>
      </c>
      <c r="S61" s="93" t="s">
        <v>67</v>
      </c>
      <c r="T61" s="93" t="s">
        <v>502</v>
      </c>
      <c r="U61" s="94" t="s">
        <v>473</v>
      </c>
      <c r="V61" s="8" t="s">
        <v>376</v>
      </c>
      <c r="X61" s="8" t="str">
        <f t="shared" si="2"/>
        <v>EM USINAGEM</v>
      </c>
      <c r="Z61" s="39">
        <v>30</v>
      </c>
      <c r="AA61" s="39" t="s">
        <v>19</v>
      </c>
      <c r="AB61" s="39" t="s">
        <v>19</v>
      </c>
      <c r="AC61" s="39" t="s">
        <v>19</v>
      </c>
      <c r="AD61" s="39">
        <v>31</v>
      </c>
    </row>
    <row r="62" spans="1:30" x14ac:dyDescent="0.25">
      <c r="A62" s="13">
        <v>2226</v>
      </c>
      <c r="B62" s="13">
        <v>3</v>
      </c>
      <c r="C62" s="12">
        <v>1495050</v>
      </c>
      <c r="D62" s="12">
        <v>3</v>
      </c>
      <c r="E62" s="13" t="s">
        <v>14</v>
      </c>
      <c r="F62" s="13" t="s">
        <v>15</v>
      </c>
      <c r="G62" s="13">
        <v>1</v>
      </c>
      <c r="H62" s="14">
        <v>46189</v>
      </c>
      <c r="I62" s="9">
        <v>46197</v>
      </c>
      <c r="J62" s="14">
        <v>46234</v>
      </c>
      <c r="K62" s="14"/>
      <c r="L62" s="37">
        <f ca="1">Tabela1[[#This Row],[Prazo
Entrega]]-TODAY()</f>
        <v>4</v>
      </c>
      <c r="M62" s="37" t="str">
        <f t="shared" ref="M62:M93" ca="1" si="3">IF(L62&lt;0,"ATRASADO",IF(L62&lt;=15,"ATENÇÃO","NO PRAZO"))</f>
        <v>ATENÇÃO</v>
      </c>
      <c r="N62" s="8" t="s">
        <v>32</v>
      </c>
      <c r="O62" s="38" t="s">
        <v>56</v>
      </c>
      <c r="P62" s="14" t="s">
        <v>56</v>
      </c>
      <c r="Q62" s="93" t="s">
        <v>392</v>
      </c>
      <c r="R62" s="93" t="s">
        <v>18</v>
      </c>
      <c r="S62" s="93" t="s">
        <v>67</v>
      </c>
      <c r="T62" s="93" t="s">
        <v>502</v>
      </c>
      <c r="U62" s="94" t="s">
        <v>473</v>
      </c>
      <c r="V62" s="8" t="s">
        <v>376</v>
      </c>
      <c r="X62" s="8" t="str">
        <f t="shared" si="2"/>
        <v>EM USINAGEM</v>
      </c>
      <c r="Z62" s="39">
        <v>30</v>
      </c>
      <c r="AA62" s="39" t="s">
        <v>19</v>
      </c>
      <c r="AB62" s="39" t="s">
        <v>19</v>
      </c>
      <c r="AC62" s="39" t="s">
        <v>19</v>
      </c>
      <c r="AD62" s="39">
        <v>31</v>
      </c>
    </row>
    <row r="63" spans="1:30" x14ac:dyDescent="0.25">
      <c r="A63" s="13">
        <v>2226</v>
      </c>
      <c r="B63" s="13">
        <v>4</v>
      </c>
      <c r="C63" s="12">
        <v>1495051</v>
      </c>
      <c r="D63" s="12">
        <v>1</v>
      </c>
      <c r="E63" s="13" t="s">
        <v>14</v>
      </c>
      <c r="F63" s="13" t="s">
        <v>15</v>
      </c>
      <c r="G63" s="13">
        <v>1</v>
      </c>
      <c r="H63" s="14">
        <v>46189</v>
      </c>
      <c r="I63" s="9">
        <v>46197</v>
      </c>
      <c r="J63" s="14">
        <v>46234</v>
      </c>
      <c r="K63" s="14"/>
      <c r="L63" s="37">
        <f ca="1">Tabela1[[#This Row],[Prazo
Entrega]]-TODAY()</f>
        <v>4</v>
      </c>
      <c r="M63" s="37" t="str">
        <f t="shared" ca="1" si="3"/>
        <v>ATENÇÃO</v>
      </c>
      <c r="N63" s="8" t="s">
        <v>32</v>
      </c>
      <c r="O63" s="38" t="s">
        <v>56</v>
      </c>
      <c r="P63" s="14" t="s">
        <v>56</v>
      </c>
      <c r="Q63" s="94" t="s">
        <v>392</v>
      </c>
      <c r="R63" s="93" t="s">
        <v>18</v>
      </c>
      <c r="S63" s="93" t="s">
        <v>67</v>
      </c>
      <c r="T63" s="93" t="s">
        <v>502</v>
      </c>
      <c r="U63" s="8" t="s">
        <v>473</v>
      </c>
      <c r="V63" s="8" t="s">
        <v>376</v>
      </c>
      <c r="X63" s="8" t="str">
        <f t="shared" si="2"/>
        <v>EM USINAGEM</v>
      </c>
      <c r="Z63" s="39">
        <v>30</v>
      </c>
      <c r="AA63" s="39" t="s">
        <v>19</v>
      </c>
      <c r="AB63" s="39" t="s">
        <v>19</v>
      </c>
      <c r="AC63" s="39" t="s">
        <v>19</v>
      </c>
      <c r="AD63" s="39">
        <v>31</v>
      </c>
    </row>
    <row r="64" spans="1:30" x14ac:dyDescent="0.25">
      <c r="A64" s="13">
        <v>2226</v>
      </c>
      <c r="B64" s="13">
        <v>5</v>
      </c>
      <c r="C64" s="12">
        <v>1495051</v>
      </c>
      <c r="D64" s="12">
        <v>2</v>
      </c>
      <c r="E64" s="13" t="s">
        <v>14</v>
      </c>
      <c r="F64" s="13" t="s">
        <v>15</v>
      </c>
      <c r="G64" s="13">
        <v>1</v>
      </c>
      <c r="H64" s="14">
        <v>46189</v>
      </c>
      <c r="I64" s="9">
        <v>46197</v>
      </c>
      <c r="J64" s="14">
        <v>46234</v>
      </c>
      <c r="K64" s="14"/>
      <c r="L64" s="37">
        <f ca="1">Tabela1[[#This Row],[Prazo
Entrega]]-TODAY()</f>
        <v>4</v>
      </c>
      <c r="M64" s="37" t="str">
        <f t="shared" ca="1" si="3"/>
        <v>ATENÇÃO</v>
      </c>
      <c r="N64" s="8" t="s">
        <v>32</v>
      </c>
      <c r="O64" s="38" t="s">
        <v>56</v>
      </c>
      <c r="P64" s="14" t="s">
        <v>56</v>
      </c>
      <c r="Q64" s="94" t="s">
        <v>392</v>
      </c>
      <c r="R64" s="93" t="s">
        <v>18</v>
      </c>
      <c r="S64" s="93" t="s">
        <v>67</v>
      </c>
      <c r="T64" s="93" t="s">
        <v>502</v>
      </c>
      <c r="U64" s="8" t="s">
        <v>473</v>
      </c>
      <c r="V64" s="8" t="s">
        <v>376</v>
      </c>
      <c r="X64" s="8" t="str">
        <f t="shared" si="2"/>
        <v>EM USINAGEM</v>
      </c>
      <c r="Z64" s="39">
        <v>30</v>
      </c>
      <c r="AA64" s="39" t="s">
        <v>19</v>
      </c>
      <c r="AB64" s="39" t="s">
        <v>19</v>
      </c>
      <c r="AC64" s="39" t="s">
        <v>19</v>
      </c>
      <c r="AD64" s="39">
        <v>31</v>
      </c>
    </row>
    <row r="65" spans="1:30" x14ac:dyDescent="0.25">
      <c r="A65" s="13">
        <v>2226</v>
      </c>
      <c r="B65" s="13">
        <v>6</v>
      </c>
      <c r="C65" s="12">
        <v>1495051</v>
      </c>
      <c r="D65" s="12">
        <v>3</v>
      </c>
      <c r="E65" s="13" t="s">
        <v>14</v>
      </c>
      <c r="F65" s="13" t="s">
        <v>15</v>
      </c>
      <c r="G65" s="13">
        <v>1</v>
      </c>
      <c r="H65" s="14">
        <v>46189</v>
      </c>
      <c r="I65" s="9">
        <v>46203</v>
      </c>
      <c r="J65" s="14">
        <v>46234</v>
      </c>
      <c r="K65" s="14"/>
      <c r="L65" s="37">
        <f ca="1">Tabela1[[#This Row],[Prazo
Entrega]]-TODAY()</f>
        <v>4</v>
      </c>
      <c r="M65" s="37" t="str">
        <f t="shared" ca="1" si="3"/>
        <v>ATENÇÃO</v>
      </c>
      <c r="N65" s="8" t="s">
        <v>32</v>
      </c>
      <c r="O65" s="38" t="s">
        <v>56</v>
      </c>
      <c r="P65" s="14" t="s">
        <v>56</v>
      </c>
      <c r="Q65" s="94" t="s">
        <v>392</v>
      </c>
      <c r="R65" s="93" t="s">
        <v>18</v>
      </c>
      <c r="S65" s="93" t="s">
        <v>67</v>
      </c>
      <c r="T65" s="93" t="s">
        <v>502</v>
      </c>
      <c r="U65" s="8" t="s">
        <v>473</v>
      </c>
      <c r="V65" s="8" t="s">
        <v>376</v>
      </c>
      <c r="X65" s="8" t="str">
        <f t="shared" si="2"/>
        <v>EM USINAGEM</v>
      </c>
      <c r="Z65" s="39">
        <v>30</v>
      </c>
      <c r="AA65" s="39" t="s">
        <v>19</v>
      </c>
      <c r="AB65" s="39" t="s">
        <v>19</v>
      </c>
      <c r="AC65" s="39" t="s">
        <v>19</v>
      </c>
      <c r="AD65" s="39">
        <v>31</v>
      </c>
    </row>
    <row r="66" spans="1:30" x14ac:dyDescent="0.25">
      <c r="A66" s="13">
        <v>2226</v>
      </c>
      <c r="B66" s="13">
        <v>16</v>
      </c>
      <c r="C66" s="12">
        <v>1495053</v>
      </c>
      <c r="D66" s="12">
        <v>1</v>
      </c>
      <c r="E66" s="13" t="s">
        <v>14</v>
      </c>
      <c r="F66" s="13" t="s">
        <v>16</v>
      </c>
      <c r="G66" s="13">
        <v>1</v>
      </c>
      <c r="H66" s="14">
        <v>46189</v>
      </c>
      <c r="I66" s="9">
        <v>46197</v>
      </c>
      <c r="J66" s="14">
        <v>46234</v>
      </c>
      <c r="K66" s="14"/>
      <c r="L66" s="37">
        <f ca="1">Tabela1[[#This Row],[Prazo
Entrega]]-TODAY()</f>
        <v>4</v>
      </c>
      <c r="M66" s="37" t="str">
        <f t="shared" ca="1" si="3"/>
        <v>ATENÇÃO</v>
      </c>
      <c r="N66" s="8" t="s">
        <v>32</v>
      </c>
      <c r="O66" s="38" t="s">
        <v>56</v>
      </c>
      <c r="P66" s="14" t="s">
        <v>56</v>
      </c>
      <c r="Q66" s="94" t="s">
        <v>392</v>
      </c>
      <c r="R66" s="93" t="s">
        <v>18</v>
      </c>
      <c r="S66" s="93" t="s">
        <v>67</v>
      </c>
      <c r="T66" s="93" t="s">
        <v>502</v>
      </c>
      <c r="U66" s="8" t="s">
        <v>473</v>
      </c>
      <c r="V66" s="8" t="s">
        <v>376</v>
      </c>
      <c r="X66" s="8" t="str">
        <f t="shared" si="2"/>
        <v>EM USINAGEM</v>
      </c>
      <c r="Z66" s="39">
        <v>30</v>
      </c>
      <c r="AA66" s="39" t="s">
        <v>19</v>
      </c>
      <c r="AB66" s="39" t="s">
        <v>19</v>
      </c>
      <c r="AC66" s="39" t="s">
        <v>19</v>
      </c>
      <c r="AD66" s="39">
        <v>31</v>
      </c>
    </row>
    <row r="67" spans="1:30" x14ac:dyDescent="0.25">
      <c r="A67" s="13">
        <v>2207</v>
      </c>
      <c r="B67" s="13">
        <v>3</v>
      </c>
      <c r="C67" s="13">
        <v>372056</v>
      </c>
      <c r="D67" s="13">
        <v>1</v>
      </c>
      <c r="E67" s="13" t="s">
        <v>273</v>
      </c>
      <c r="F67" s="13" t="s">
        <v>8</v>
      </c>
      <c r="G67" s="13">
        <v>1</v>
      </c>
      <c r="H67" s="14">
        <v>46199</v>
      </c>
      <c r="I67" s="9">
        <v>46219</v>
      </c>
      <c r="J67" s="14">
        <v>46248</v>
      </c>
      <c r="K67" s="14"/>
      <c r="L67" s="37">
        <f ca="1">Tabela1[[#This Row],[Prazo
Entrega]]-TODAY()</f>
        <v>18</v>
      </c>
      <c r="M67" s="37" t="str">
        <f t="shared" ca="1" si="3"/>
        <v>NO PRAZO</v>
      </c>
      <c r="N67" s="8" t="s">
        <v>32</v>
      </c>
      <c r="O67" s="38" t="s">
        <v>56</v>
      </c>
      <c r="P67" s="14" t="s">
        <v>56</v>
      </c>
      <c r="Q67" s="8" t="s">
        <v>392</v>
      </c>
      <c r="R67" s="8" t="s">
        <v>18</v>
      </c>
      <c r="S67" s="8" t="s">
        <v>67</v>
      </c>
      <c r="T67" s="8" t="s">
        <v>502</v>
      </c>
      <c r="U67" s="8" t="s">
        <v>473</v>
      </c>
      <c r="V67" s="8" t="s">
        <v>376</v>
      </c>
      <c r="X67" s="8" t="str">
        <f t="shared" si="2"/>
        <v>EM USINAGEM</v>
      </c>
      <c r="Z67" s="39">
        <v>30</v>
      </c>
      <c r="AA67" s="39">
        <f>Tabela1[[#This Row],[Plainar
Facear]]+1</f>
        <v>31</v>
      </c>
      <c r="AB67" s="39" t="s">
        <v>19</v>
      </c>
      <c r="AC67" s="39">
        <f>Tabela1[[#This Row],[Serrar2]]+1</f>
        <v>32</v>
      </c>
      <c r="AD67" s="39">
        <f>Tabela1[[#This Row],[Encaixe /
Furação]]+1</f>
        <v>33</v>
      </c>
    </row>
    <row r="68" spans="1:30" x14ac:dyDescent="0.25">
      <c r="A68" s="13">
        <v>2207</v>
      </c>
      <c r="B68" s="13">
        <v>4</v>
      </c>
      <c r="C68" s="13">
        <v>372057</v>
      </c>
      <c r="D68" s="13">
        <v>1</v>
      </c>
      <c r="E68" s="13" t="s">
        <v>273</v>
      </c>
      <c r="F68" s="13" t="s">
        <v>8</v>
      </c>
      <c r="G68" s="13">
        <v>1</v>
      </c>
      <c r="H68" s="14">
        <v>46199</v>
      </c>
      <c r="I68" s="9">
        <v>46189</v>
      </c>
      <c r="J68" s="14">
        <v>46248</v>
      </c>
      <c r="K68" s="14"/>
      <c r="L68" s="37">
        <f ca="1">Tabela1[[#This Row],[Prazo
Entrega]]-TODAY()</f>
        <v>18</v>
      </c>
      <c r="M68" s="37" t="str">
        <f t="shared" ca="1" si="3"/>
        <v>NO PRAZO</v>
      </c>
      <c r="N68" s="8" t="s">
        <v>32</v>
      </c>
      <c r="O68" s="38" t="s">
        <v>56</v>
      </c>
      <c r="P68" s="14" t="s">
        <v>56</v>
      </c>
      <c r="Q68" s="8" t="s">
        <v>392</v>
      </c>
      <c r="R68" s="8" t="s">
        <v>18</v>
      </c>
      <c r="S68" s="8" t="s">
        <v>67</v>
      </c>
      <c r="T68" s="8" t="s">
        <v>502</v>
      </c>
      <c r="U68" s="8" t="s">
        <v>473</v>
      </c>
      <c r="V68" s="8" t="s">
        <v>376</v>
      </c>
      <c r="X68" s="8" t="str">
        <f t="shared" si="2"/>
        <v>EM USINAGEM</v>
      </c>
      <c r="Z68" s="39">
        <v>30</v>
      </c>
      <c r="AA68" s="39">
        <f>Tabela1[[#This Row],[Plainar
Facear]]+1</f>
        <v>31</v>
      </c>
      <c r="AB68" s="39" t="s">
        <v>19</v>
      </c>
      <c r="AC68" s="39">
        <f>Tabela1[[#This Row],[Serrar2]]+1</f>
        <v>32</v>
      </c>
      <c r="AD68" s="39">
        <f>Tabela1[[#This Row],[Encaixe /
Furação]]+1</f>
        <v>33</v>
      </c>
    </row>
    <row r="69" spans="1:30" x14ac:dyDescent="0.25">
      <c r="A69" s="13">
        <v>2231</v>
      </c>
      <c r="B69" s="13">
        <v>1</v>
      </c>
      <c r="C69" s="12">
        <v>153022</v>
      </c>
      <c r="D69" s="12">
        <v>1</v>
      </c>
      <c r="E69" s="13" t="s">
        <v>28</v>
      </c>
      <c r="F69" s="12" t="s">
        <v>29</v>
      </c>
      <c r="G69" s="13">
        <v>1</v>
      </c>
      <c r="H69" s="14">
        <v>46208</v>
      </c>
      <c r="I69" s="9">
        <v>46211</v>
      </c>
      <c r="J69" s="14">
        <v>46255</v>
      </c>
      <c r="K69" s="14"/>
      <c r="L69" s="37">
        <f ca="1">Tabela1[[#This Row],[Prazo
Entrega]]-TODAY()</f>
        <v>25</v>
      </c>
      <c r="M69" s="37" t="str">
        <f t="shared" ca="1" si="3"/>
        <v>NO PRAZO</v>
      </c>
      <c r="N69" s="8" t="s">
        <v>32</v>
      </c>
      <c r="O69" s="38">
        <v>46208</v>
      </c>
      <c r="P69" s="14" t="s">
        <v>58</v>
      </c>
      <c r="Q69" s="8" t="s">
        <v>392</v>
      </c>
      <c r="R69" s="8" t="s">
        <v>18</v>
      </c>
      <c r="S69" s="8" t="s">
        <v>67</v>
      </c>
      <c r="T69" s="8" t="s">
        <v>502</v>
      </c>
      <c r="U69" s="8" t="s">
        <v>473</v>
      </c>
      <c r="V69" s="8" t="s">
        <v>376</v>
      </c>
      <c r="X69" s="8" t="str">
        <f t="shared" si="2"/>
        <v>EM USINAGEM</v>
      </c>
      <c r="Z69" s="39">
        <v>30</v>
      </c>
      <c r="AA69" s="39">
        <f>Tabela1[[#This Row],[Plainar
Facear]]+1</f>
        <v>31</v>
      </c>
      <c r="AB69" s="39" t="s">
        <v>19</v>
      </c>
      <c r="AC69" s="39">
        <f>Tabela1[[#This Row],[Serrar2]]+1</f>
        <v>32</v>
      </c>
      <c r="AD69" s="39">
        <f>Tabela1[[#This Row],[Encaixe /
Furação]]+1</f>
        <v>33</v>
      </c>
    </row>
    <row r="70" spans="1:30" x14ac:dyDescent="0.25">
      <c r="A70" s="13">
        <v>2231</v>
      </c>
      <c r="B70" s="13">
        <v>2</v>
      </c>
      <c r="C70" s="12">
        <v>153023</v>
      </c>
      <c r="D70" s="12">
        <v>1</v>
      </c>
      <c r="E70" s="13" t="s">
        <v>28</v>
      </c>
      <c r="F70" s="12" t="s">
        <v>29</v>
      </c>
      <c r="G70" s="13">
        <v>1</v>
      </c>
      <c r="H70" s="14">
        <v>46208</v>
      </c>
      <c r="I70" s="9">
        <v>46211</v>
      </c>
      <c r="J70" s="14">
        <v>46255</v>
      </c>
      <c r="K70" s="14"/>
      <c r="L70" s="37">
        <f ca="1">Tabela1[[#This Row],[Prazo
Entrega]]-TODAY()</f>
        <v>25</v>
      </c>
      <c r="M70" s="37" t="str">
        <f t="shared" ca="1" si="3"/>
        <v>NO PRAZO</v>
      </c>
      <c r="N70" s="8" t="s">
        <v>32</v>
      </c>
      <c r="O70" s="38">
        <v>46208</v>
      </c>
      <c r="P70" s="14" t="s">
        <v>58</v>
      </c>
      <c r="Q70" s="8" t="s">
        <v>392</v>
      </c>
      <c r="R70" s="8" t="s">
        <v>18</v>
      </c>
      <c r="S70" s="8" t="s">
        <v>67</v>
      </c>
      <c r="T70" s="8" t="s">
        <v>502</v>
      </c>
      <c r="U70" s="8" t="s">
        <v>473</v>
      </c>
      <c r="V70" s="8" t="s">
        <v>376</v>
      </c>
      <c r="X70" s="8" t="str">
        <f t="shared" si="2"/>
        <v>EM USINAGEM</v>
      </c>
      <c r="Z70" s="39">
        <v>31</v>
      </c>
      <c r="AA70" s="39">
        <f>Tabela1[[#This Row],[Plainar
Facear]]+1</f>
        <v>32</v>
      </c>
      <c r="AB70" s="39" t="s">
        <v>19</v>
      </c>
      <c r="AC70" s="39">
        <f>Tabela1[[#This Row],[Serrar2]]+1</f>
        <v>33</v>
      </c>
      <c r="AD70" s="39">
        <f>Tabela1[[#This Row],[Encaixe /
Furação]]+1</f>
        <v>34</v>
      </c>
    </row>
    <row r="71" spans="1:30" x14ac:dyDescent="0.25">
      <c r="A71" s="13">
        <v>2231</v>
      </c>
      <c r="B71" s="13">
        <v>3</v>
      </c>
      <c r="C71" s="12">
        <v>153024</v>
      </c>
      <c r="D71" s="12">
        <v>1</v>
      </c>
      <c r="E71" s="13" t="s">
        <v>28</v>
      </c>
      <c r="F71" s="12" t="s">
        <v>30</v>
      </c>
      <c r="G71" s="13">
        <v>1</v>
      </c>
      <c r="H71" s="14">
        <v>46208</v>
      </c>
      <c r="I71" s="9">
        <v>46211</v>
      </c>
      <c r="J71" s="14">
        <v>46255</v>
      </c>
      <c r="K71" s="14"/>
      <c r="L71" s="37">
        <f ca="1">Tabela1[[#This Row],[Prazo
Entrega]]-TODAY()</f>
        <v>25</v>
      </c>
      <c r="M71" s="37" t="str">
        <f t="shared" ca="1" si="3"/>
        <v>NO PRAZO</v>
      </c>
      <c r="N71" s="8" t="s">
        <v>32</v>
      </c>
      <c r="O71" s="38">
        <v>46208</v>
      </c>
      <c r="P71" s="14" t="s">
        <v>58</v>
      </c>
      <c r="Q71" s="8" t="s">
        <v>392</v>
      </c>
      <c r="R71" s="8" t="s">
        <v>18</v>
      </c>
      <c r="S71" s="8" t="s">
        <v>67</v>
      </c>
      <c r="T71" s="8" t="s">
        <v>502</v>
      </c>
      <c r="U71" s="8" t="s">
        <v>473</v>
      </c>
      <c r="V71" s="8" t="s">
        <v>376</v>
      </c>
      <c r="X71" s="8" t="str">
        <f t="shared" si="2"/>
        <v>EM USINAGEM</v>
      </c>
      <c r="Z71" s="39">
        <v>31</v>
      </c>
      <c r="AA71" s="39">
        <f>Tabela1[[#This Row],[Plainar
Facear]]+1</f>
        <v>32</v>
      </c>
      <c r="AB71" s="39" t="s">
        <v>19</v>
      </c>
      <c r="AC71" s="39">
        <f>Tabela1[[#This Row],[Serrar2]]+1</f>
        <v>33</v>
      </c>
      <c r="AD71" s="39">
        <f>Tabela1[[#This Row],[Encaixe /
Furação]]+1</f>
        <v>34</v>
      </c>
    </row>
    <row r="72" spans="1:30" x14ac:dyDescent="0.25">
      <c r="A72" s="13">
        <v>2231</v>
      </c>
      <c r="B72" s="13">
        <v>4</v>
      </c>
      <c r="C72" s="12">
        <v>153025</v>
      </c>
      <c r="D72" s="12">
        <v>1</v>
      </c>
      <c r="E72" s="13" t="s">
        <v>28</v>
      </c>
      <c r="F72" s="12" t="s">
        <v>30</v>
      </c>
      <c r="G72" s="13">
        <v>1</v>
      </c>
      <c r="H72" s="14">
        <v>46208</v>
      </c>
      <c r="I72" s="9">
        <v>46211</v>
      </c>
      <c r="J72" s="14">
        <v>46255</v>
      </c>
      <c r="K72" s="14"/>
      <c r="L72" s="37">
        <f ca="1">Tabela1[[#This Row],[Prazo
Entrega]]-TODAY()</f>
        <v>25</v>
      </c>
      <c r="M72" s="37" t="str">
        <f t="shared" ca="1" si="3"/>
        <v>NO PRAZO</v>
      </c>
      <c r="N72" s="8" t="s">
        <v>32</v>
      </c>
      <c r="O72" s="38">
        <v>46208</v>
      </c>
      <c r="P72" s="14" t="s">
        <v>58</v>
      </c>
      <c r="Q72" s="8" t="s">
        <v>392</v>
      </c>
      <c r="R72" s="8" t="s">
        <v>18</v>
      </c>
      <c r="S72" s="8" t="s">
        <v>67</v>
      </c>
      <c r="T72" s="8" t="s">
        <v>502</v>
      </c>
      <c r="U72" s="8" t="s">
        <v>473</v>
      </c>
      <c r="V72" s="8" t="s">
        <v>376</v>
      </c>
      <c r="X72" s="8" t="str">
        <f t="shared" ref="X72:X103" si="4">IF(I72="","AG. FUNDIDO",IF(Q72="AG","AG. USINAGEM","EM USINAGEM"))</f>
        <v>EM USINAGEM</v>
      </c>
      <c r="Z72" s="39">
        <v>31</v>
      </c>
      <c r="AA72" s="39">
        <f>Tabela1[[#This Row],[Plainar
Facear]]+1</f>
        <v>32</v>
      </c>
      <c r="AB72" s="39" t="s">
        <v>19</v>
      </c>
      <c r="AC72" s="39">
        <f>Tabela1[[#This Row],[Serrar2]]+1</f>
        <v>33</v>
      </c>
      <c r="AD72" s="39">
        <f>Tabela1[[#This Row],[Encaixe /
Furação]]+1</f>
        <v>34</v>
      </c>
    </row>
    <row r="73" spans="1:30" x14ac:dyDescent="0.25">
      <c r="A73" s="13">
        <v>2231</v>
      </c>
      <c r="B73" s="13">
        <v>5</v>
      </c>
      <c r="C73" s="12">
        <v>153026</v>
      </c>
      <c r="D73" s="12">
        <v>1</v>
      </c>
      <c r="E73" s="13" t="s">
        <v>28</v>
      </c>
      <c r="F73" s="12" t="s">
        <v>30</v>
      </c>
      <c r="G73" s="13">
        <v>1</v>
      </c>
      <c r="H73" s="14">
        <v>46208</v>
      </c>
      <c r="I73" s="9">
        <v>46211</v>
      </c>
      <c r="J73" s="14">
        <v>46255</v>
      </c>
      <c r="K73" s="14"/>
      <c r="L73" s="37">
        <f ca="1">Tabela1[[#This Row],[Prazo
Entrega]]-TODAY()</f>
        <v>25</v>
      </c>
      <c r="M73" s="37" t="str">
        <f t="shared" ca="1" si="3"/>
        <v>NO PRAZO</v>
      </c>
      <c r="N73" s="8" t="s">
        <v>32</v>
      </c>
      <c r="O73" s="38">
        <v>46208</v>
      </c>
      <c r="P73" s="14" t="s">
        <v>58</v>
      </c>
      <c r="Q73" s="8" t="s">
        <v>392</v>
      </c>
      <c r="R73" s="8" t="s">
        <v>18</v>
      </c>
      <c r="S73" s="8" t="s">
        <v>67</v>
      </c>
      <c r="T73" s="8" t="s">
        <v>502</v>
      </c>
      <c r="U73" s="8" t="s">
        <v>473</v>
      </c>
      <c r="V73" s="8" t="s">
        <v>376</v>
      </c>
      <c r="X73" s="8" t="str">
        <f t="shared" si="4"/>
        <v>EM USINAGEM</v>
      </c>
      <c r="Z73" s="39">
        <v>31</v>
      </c>
      <c r="AA73" s="39">
        <f>Tabela1[[#This Row],[Plainar
Facear]]+1</f>
        <v>32</v>
      </c>
      <c r="AB73" s="39" t="s">
        <v>19</v>
      </c>
      <c r="AC73" s="39">
        <f>Tabela1[[#This Row],[Serrar2]]+1</f>
        <v>33</v>
      </c>
      <c r="AD73" s="39">
        <f>Tabela1[[#This Row],[Encaixe /
Furação]]+1</f>
        <v>34</v>
      </c>
    </row>
    <row r="74" spans="1:30" x14ac:dyDescent="0.25">
      <c r="A74" s="13">
        <v>2231</v>
      </c>
      <c r="B74" s="13">
        <v>6</v>
      </c>
      <c r="C74" s="12">
        <v>153027</v>
      </c>
      <c r="D74" s="12">
        <v>1</v>
      </c>
      <c r="E74" s="13" t="s">
        <v>28</v>
      </c>
      <c r="F74" s="12" t="s">
        <v>30</v>
      </c>
      <c r="G74" s="13">
        <v>1</v>
      </c>
      <c r="H74" s="14">
        <v>46208</v>
      </c>
      <c r="I74" s="9">
        <v>46211</v>
      </c>
      <c r="J74" s="14">
        <v>46255</v>
      </c>
      <c r="K74" s="14"/>
      <c r="L74" s="37">
        <f ca="1">Tabela1[[#This Row],[Prazo
Entrega]]-TODAY()</f>
        <v>25</v>
      </c>
      <c r="M74" s="37" t="str">
        <f t="shared" ca="1" si="3"/>
        <v>NO PRAZO</v>
      </c>
      <c r="N74" s="8" t="s">
        <v>32</v>
      </c>
      <c r="O74" s="38">
        <v>46208</v>
      </c>
      <c r="P74" s="14" t="s">
        <v>58</v>
      </c>
      <c r="Q74" s="8" t="s">
        <v>392</v>
      </c>
      <c r="R74" s="8" t="s">
        <v>18</v>
      </c>
      <c r="S74" s="8" t="s">
        <v>67</v>
      </c>
      <c r="T74" s="8" t="s">
        <v>502</v>
      </c>
      <c r="U74" s="8" t="s">
        <v>473</v>
      </c>
      <c r="V74" s="8" t="s">
        <v>376</v>
      </c>
      <c r="X74" s="8" t="str">
        <f t="shared" si="4"/>
        <v>EM USINAGEM</v>
      </c>
      <c r="Z74" s="39">
        <v>31</v>
      </c>
      <c r="AA74" s="39">
        <f>Tabela1[[#This Row],[Plainar
Facear]]+1</f>
        <v>32</v>
      </c>
      <c r="AB74" s="39" t="s">
        <v>19</v>
      </c>
      <c r="AC74" s="39">
        <f>Tabela1[[#This Row],[Serrar2]]+1</f>
        <v>33</v>
      </c>
      <c r="AD74" s="39">
        <f>Tabela1[[#This Row],[Encaixe /
Furação]]+1</f>
        <v>34</v>
      </c>
    </row>
    <row r="75" spans="1:30" x14ac:dyDescent="0.25">
      <c r="A75" s="13">
        <v>2290</v>
      </c>
      <c r="B75" s="13">
        <v>1</v>
      </c>
      <c r="C75" s="13">
        <v>1454058</v>
      </c>
      <c r="D75" s="13">
        <v>1</v>
      </c>
      <c r="E75" s="13" t="s">
        <v>22</v>
      </c>
      <c r="F75" s="12" t="s">
        <v>30</v>
      </c>
      <c r="G75" s="13">
        <v>1</v>
      </c>
      <c r="H75" s="14">
        <v>46229</v>
      </c>
      <c r="I75" s="9">
        <v>46220</v>
      </c>
      <c r="J75" s="14">
        <v>46259</v>
      </c>
      <c r="K75" s="14"/>
      <c r="L75" s="37">
        <f ca="1">Tabela1[[#This Row],[Prazo
Entrega]]-TODAY()</f>
        <v>29</v>
      </c>
      <c r="M75" s="37" t="str">
        <f t="shared" ca="1" si="3"/>
        <v>NO PRAZO</v>
      </c>
      <c r="N75" s="8" t="s">
        <v>32</v>
      </c>
      <c r="O75" s="38">
        <v>46208</v>
      </c>
      <c r="P75" s="14" t="s">
        <v>56</v>
      </c>
      <c r="Q75" s="93" t="s">
        <v>392</v>
      </c>
      <c r="R75" s="94" t="s">
        <v>18</v>
      </c>
      <c r="S75" s="8" t="s">
        <v>67</v>
      </c>
      <c r="T75" s="8" t="s">
        <v>502</v>
      </c>
      <c r="U75" s="8" t="s">
        <v>473</v>
      </c>
      <c r="V75" s="8" t="s">
        <v>376</v>
      </c>
      <c r="X75" s="8" t="str">
        <f t="shared" si="4"/>
        <v>EM USINAGEM</v>
      </c>
      <c r="Z75" s="39">
        <v>31</v>
      </c>
      <c r="AA75" s="39">
        <f>Tabela1[[#This Row],[Plainar
Facear]]+1</f>
        <v>32</v>
      </c>
      <c r="AB75" s="39" t="s">
        <v>19</v>
      </c>
      <c r="AC75" s="39">
        <f>Tabela1[[#This Row],[Serrar2]]+1</f>
        <v>33</v>
      </c>
      <c r="AD75" s="39">
        <f>Tabela1[[#This Row],[Encaixe /
Furação]]+1</f>
        <v>34</v>
      </c>
    </row>
    <row r="76" spans="1:30" x14ac:dyDescent="0.25">
      <c r="A76" s="13">
        <v>2290</v>
      </c>
      <c r="B76" s="13">
        <v>2</v>
      </c>
      <c r="C76" s="13">
        <v>1454058</v>
      </c>
      <c r="D76" s="13">
        <v>2</v>
      </c>
      <c r="E76" s="13" t="s">
        <v>22</v>
      </c>
      <c r="F76" s="12" t="s">
        <v>30</v>
      </c>
      <c r="G76" s="13">
        <v>1</v>
      </c>
      <c r="H76" s="14">
        <v>46229</v>
      </c>
      <c r="I76" s="9">
        <v>46220</v>
      </c>
      <c r="J76" s="14">
        <v>46259</v>
      </c>
      <c r="K76" s="14"/>
      <c r="L76" s="37">
        <f ca="1">Tabela1[[#This Row],[Prazo
Entrega]]-TODAY()</f>
        <v>29</v>
      </c>
      <c r="M76" s="37" t="str">
        <f t="shared" ca="1" si="3"/>
        <v>NO PRAZO</v>
      </c>
      <c r="N76" s="8" t="s">
        <v>32</v>
      </c>
      <c r="O76" s="38">
        <v>46208</v>
      </c>
      <c r="P76" s="14" t="s">
        <v>56</v>
      </c>
      <c r="Q76" s="93" t="s">
        <v>392</v>
      </c>
      <c r="R76" s="94" t="s">
        <v>18</v>
      </c>
      <c r="S76" s="8" t="s">
        <v>67</v>
      </c>
      <c r="T76" s="8" t="s">
        <v>502</v>
      </c>
      <c r="U76" s="8" t="s">
        <v>473</v>
      </c>
      <c r="V76" s="8" t="s">
        <v>376</v>
      </c>
      <c r="X76" s="8" t="str">
        <f t="shared" si="4"/>
        <v>EM USINAGEM</v>
      </c>
      <c r="Z76" s="39">
        <v>31</v>
      </c>
      <c r="AA76" s="39">
        <f>Tabela1[[#This Row],[Plainar
Facear]]+1</f>
        <v>32</v>
      </c>
      <c r="AB76" s="39" t="s">
        <v>19</v>
      </c>
      <c r="AC76" s="39">
        <f>Tabela1[[#This Row],[Serrar2]]+1</f>
        <v>33</v>
      </c>
      <c r="AD76" s="39">
        <f>Tabela1[[#This Row],[Encaixe /
Furação]]+1</f>
        <v>34</v>
      </c>
    </row>
    <row r="77" spans="1:30" x14ac:dyDescent="0.25">
      <c r="A77" s="13">
        <v>2290</v>
      </c>
      <c r="B77" s="13">
        <v>3</v>
      </c>
      <c r="C77" s="13">
        <v>1454059</v>
      </c>
      <c r="D77" s="13">
        <v>3</v>
      </c>
      <c r="E77" s="13" t="s">
        <v>22</v>
      </c>
      <c r="F77" s="12" t="s">
        <v>11</v>
      </c>
      <c r="G77" s="13">
        <v>1</v>
      </c>
      <c r="H77" s="14">
        <v>46229</v>
      </c>
      <c r="I77" s="9">
        <v>46220</v>
      </c>
      <c r="J77" s="14">
        <v>46259</v>
      </c>
      <c r="K77" s="14"/>
      <c r="L77" s="37">
        <f ca="1">Tabela1[[#This Row],[Prazo
Entrega]]-TODAY()</f>
        <v>29</v>
      </c>
      <c r="M77" s="37" t="str">
        <f t="shared" ca="1" si="3"/>
        <v>NO PRAZO</v>
      </c>
      <c r="N77" s="8" t="s">
        <v>32</v>
      </c>
      <c r="O77" s="38">
        <v>46208</v>
      </c>
      <c r="P77" s="14" t="s">
        <v>56</v>
      </c>
      <c r="Q77" s="93" t="s">
        <v>392</v>
      </c>
      <c r="R77" s="94" t="s">
        <v>18</v>
      </c>
      <c r="S77" s="8" t="s">
        <v>67</v>
      </c>
      <c r="T77" s="8" t="s">
        <v>502</v>
      </c>
      <c r="U77" s="8" t="s">
        <v>473</v>
      </c>
      <c r="V77" s="8" t="s">
        <v>376</v>
      </c>
      <c r="X77" s="8" t="str">
        <f t="shared" si="4"/>
        <v>EM USINAGEM</v>
      </c>
      <c r="Z77" s="39">
        <v>31</v>
      </c>
      <c r="AA77" s="39">
        <f>Tabela1[[#This Row],[Plainar
Facear]]+1</f>
        <v>32</v>
      </c>
      <c r="AB77" s="39" t="s">
        <v>19</v>
      </c>
      <c r="AC77" s="39">
        <f>Tabela1[[#This Row],[Serrar2]]+1</f>
        <v>33</v>
      </c>
      <c r="AD77" s="39">
        <f>Tabela1[[#This Row],[Encaixe /
Furação]]+1</f>
        <v>34</v>
      </c>
    </row>
    <row r="78" spans="1:30" x14ac:dyDescent="0.25">
      <c r="A78" s="12">
        <v>2284</v>
      </c>
      <c r="B78" s="12">
        <v>14</v>
      </c>
      <c r="C78" s="13">
        <v>212081</v>
      </c>
      <c r="D78" s="13">
        <v>1</v>
      </c>
      <c r="E78" s="13" t="s">
        <v>33</v>
      </c>
      <c r="F78" s="13" t="s">
        <v>50</v>
      </c>
      <c r="G78" s="13">
        <v>1</v>
      </c>
      <c r="H78" s="14">
        <v>46235</v>
      </c>
      <c r="I78" s="9">
        <v>46227</v>
      </c>
      <c r="J78" s="14">
        <v>46235</v>
      </c>
      <c r="K78" s="14"/>
      <c r="L78" s="37">
        <f ca="1">Tabela1[[#This Row],[Prazo
Entrega]]-TODAY()</f>
        <v>5</v>
      </c>
      <c r="M78" s="37" t="str">
        <f t="shared" ca="1" si="3"/>
        <v>ATENÇÃO</v>
      </c>
      <c r="N78" s="8" t="s">
        <v>34</v>
      </c>
      <c r="O78" s="38" t="s">
        <v>63</v>
      </c>
      <c r="P78" s="8" t="s">
        <v>63</v>
      </c>
      <c r="Q78" s="8" t="s">
        <v>63</v>
      </c>
      <c r="R78" s="8" t="s">
        <v>63</v>
      </c>
      <c r="S78" s="8" t="s">
        <v>63</v>
      </c>
      <c r="T78" s="8" t="s">
        <v>63</v>
      </c>
      <c r="U78" s="8" t="s">
        <v>63</v>
      </c>
      <c r="V78" s="8" t="s">
        <v>63</v>
      </c>
      <c r="X78" s="8" t="s">
        <v>76</v>
      </c>
      <c r="Y78" s="8" t="s">
        <v>72</v>
      </c>
      <c r="Z78" s="40">
        <v>0</v>
      </c>
      <c r="AA78" s="41">
        <v>0</v>
      </c>
      <c r="AB78" s="41">
        <v>0</v>
      </c>
      <c r="AC78" s="41">
        <v>0</v>
      </c>
      <c r="AD78" s="42">
        <v>0</v>
      </c>
    </row>
    <row r="79" spans="1:30" x14ac:dyDescent="0.25">
      <c r="A79" s="12">
        <v>2284</v>
      </c>
      <c r="B79" s="12">
        <v>15</v>
      </c>
      <c r="C79" s="13">
        <v>212082</v>
      </c>
      <c r="D79" s="13">
        <v>1</v>
      </c>
      <c r="E79" s="13" t="s">
        <v>33</v>
      </c>
      <c r="F79" s="13" t="s">
        <v>49</v>
      </c>
      <c r="G79" s="13">
        <v>1</v>
      </c>
      <c r="H79" s="14">
        <v>46295</v>
      </c>
      <c r="I79" s="9">
        <v>46227</v>
      </c>
      <c r="J79" s="14">
        <v>46295</v>
      </c>
      <c r="K79" s="14"/>
      <c r="L79" s="37">
        <f ca="1">Tabela1[[#This Row],[Prazo
Entrega]]-TODAY()</f>
        <v>65</v>
      </c>
      <c r="M79" s="37" t="str">
        <f t="shared" ca="1" si="3"/>
        <v>NO PRAZO</v>
      </c>
      <c r="N79" s="8" t="s">
        <v>34</v>
      </c>
      <c r="O79" s="38" t="s">
        <v>63</v>
      </c>
      <c r="P79" s="8" t="s">
        <v>63</v>
      </c>
      <c r="Q79" s="8" t="s">
        <v>63</v>
      </c>
      <c r="R79" s="8" t="s">
        <v>63</v>
      </c>
      <c r="S79" s="8" t="s">
        <v>63</v>
      </c>
      <c r="T79" s="8" t="s">
        <v>63</v>
      </c>
      <c r="U79" s="8" t="s">
        <v>63</v>
      </c>
      <c r="V79" s="8" t="s">
        <v>63</v>
      </c>
      <c r="X79" s="8" t="s">
        <v>76</v>
      </c>
      <c r="Y79" s="8" t="s">
        <v>72</v>
      </c>
      <c r="Z79" s="40">
        <v>0</v>
      </c>
      <c r="AA79" s="41">
        <v>0</v>
      </c>
      <c r="AB79" s="41">
        <v>0</v>
      </c>
      <c r="AC79" s="41">
        <v>0</v>
      </c>
      <c r="AD79" s="42">
        <v>0</v>
      </c>
    </row>
    <row r="80" spans="1:30" x14ac:dyDescent="0.25">
      <c r="A80" s="12">
        <v>2284</v>
      </c>
      <c r="B80" s="12">
        <v>16</v>
      </c>
      <c r="C80" s="13">
        <v>212083</v>
      </c>
      <c r="D80" s="13">
        <v>1</v>
      </c>
      <c r="E80" s="13" t="s">
        <v>33</v>
      </c>
      <c r="F80" s="13" t="s">
        <v>49</v>
      </c>
      <c r="G80" s="13">
        <v>1</v>
      </c>
      <c r="H80" s="14">
        <v>46235</v>
      </c>
      <c r="I80" s="9">
        <v>46227</v>
      </c>
      <c r="J80" s="14">
        <v>46235</v>
      </c>
      <c r="K80" s="14"/>
      <c r="L80" s="37">
        <f ca="1">Tabela1[[#This Row],[Prazo
Entrega]]-TODAY()</f>
        <v>5</v>
      </c>
      <c r="M80" s="37" t="str">
        <f t="shared" ca="1" si="3"/>
        <v>ATENÇÃO</v>
      </c>
      <c r="N80" s="8" t="s">
        <v>34</v>
      </c>
      <c r="O80" s="38" t="s">
        <v>63</v>
      </c>
      <c r="P80" s="8" t="s">
        <v>63</v>
      </c>
      <c r="Q80" s="8" t="s">
        <v>63</v>
      </c>
      <c r="R80" s="8" t="s">
        <v>63</v>
      </c>
      <c r="S80" s="8" t="s">
        <v>63</v>
      </c>
      <c r="T80" s="8" t="s">
        <v>63</v>
      </c>
      <c r="U80" s="8" t="s">
        <v>63</v>
      </c>
      <c r="V80" s="8" t="s">
        <v>63</v>
      </c>
      <c r="X80" s="8" t="s">
        <v>76</v>
      </c>
      <c r="Y80" s="8" t="s">
        <v>72</v>
      </c>
      <c r="Z80" s="40">
        <v>0</v>
      </c>
      <c r="AA80" s="41">
        <v>0</v>
      </c>
      <c r="AB80" s="41">
        <v>0</v>
      </c>
      <c r="AC80" s="41">
        <v>0</v>
      </c>
      <c r="AD80" s="42">
        <v>0</v>
      </c>
    </row>
    <row r="81" spans="1:30" x14ac:dyDescent="0.25">
      <c r="A81" s="12">
        <v>2284</v>
      </c>
      <c r="B81" s="12">
        <v>17</v>
      </c>
      <c r="C81" s="13">
        <v>212084</v>
      </c>
      <c r="D81" s="13">
        <v>1</v>
      </c>
      <c r="E81" s="13" t="s">
        <v>33</v>
      </c>
      <c r="F81" s="13" t="s">
        <v>49</v>
      </c>
      <c r="G81" s="13">
        <v>1</v>
      </c>
      <c r="H81" s="14">
        <v>46266</v>
      </c>
      <c r="I81" s="9">
        <v>46227</v>
      </c>
      <c r="J81" s="14">
        <v>46266</v>
      </c>
      <c r="K81" s="14"/>
      <c r="L81" s="37">
        <f ca="1">Tabela1[[#This Row],[Prazo
Entrega]]-TODAY()</f>
        <v>36</v>
      </c>
      <c r="M81" s="37" t="str">
        <f t="shared" ca="1" si="3"/>
        <v>NO PRAZO</v>
      </c>
      <c r="N81" s="8" t="s">
        <v>34</v>
      </c>
      <c r="O81" s="38" t="s">
        <v>63</v>
      </c>
      <c r="P81" s="8" t="s">
        <v>63</v>
      </c>
      <c r="Q81" s="8" t="s">
        <v>63</v>
      </c>
      <c r="R81" s="8" t="s">
        <v>63</v>
      </c>
      <c r="S81" s="8" t="s">
        <v>63</v>
      </c>
      <c r="T81" s="8" t="s">
        <v>63</v>
      </c>
      <c r="U81" s="8" t="s">
        <v>63</v>
      </c>
      <c r="V81" s="8" t="s">
        <v>63</v>
      </c>
      <c r="X81" s="8" t="s">
        <v>76</v>
      </c>
      <c r="Y81" s="8" t="s">
        <v>72</v>
      </c>
      <c r="Z81" s="40">
        <v>0</v>
      </c>
      <c r="AA81" s="41">
        <v>0</v>
      </c>
      <c r="AB81" s="41">
        <v>0</v>
      </c>
      <c r="AC81" s="41">
        <v>0</v>
      </c>
      <c r="AD81" s="42">
        <v>0</v>
      </c>
    </row>
    <row r="82" spans="1:30" x14ac:dyDescent="0.25">
      <c r="A82" s="12">
        <v>2284</v>
      </c>
      <c r="B82" s="12">
        <v>18</v>
      </c>
      <c r="C82" s="13">
        <v>212085</v>
      </c>
      <c r="D82" s="13">
        <v>1</v>
      </c>
      <c r="E82" s="13" t="s">
        <v>33</v>
      </c>
      <c r="F82" s="13" t="s">
        <v>49</v>
      </c>
      <c r="G82" s="13">
        <v>1</v>
      </c>
      <c r="H82" s="14">
        <v>46266</v>
      </c>
      <c r="I82" s="9">
        <v>46227</v>
      </c>
      <c r="J82" s="14">
        <v>46266</v>
      </c>
      <c r="K82" s="14"/>
      <c r="L82" s="37">
        <f ca="1">Tabela1[[#This Row],[Prazo
Entrega]]-TODAY()</f>
        <v>36</v>
      </c>
      <c r="M82" s="37" t="str">
        <f t="shared" ca="1" si="3"/>
        <v>NO PRAZO</v>
      </c>
      <c r="N82" s="8" t="s">
        <v>34</v>
      </c>
      <c r="O82" s="38" t="s">
        <v>63</v>
      </c>
      <c r="P82" s="8" t="s">
        <v>63</v>
      </c>
      <c r="Q82" s="8" t="s">
        <v>63</v>
      </c>
      <c r="R82" s="8" t="s">
        <v>63</v>
      </c>
      <c r="S82" s="8" t="s">
        <v>63</v>
      </c>
      <c r="T82" s="8" t="s">
        <v>63</v>
      </c>
      <c r="U82" s="8" t="s">
        <v>63</v>
      </c>
      <c r="V82" s="8" t="s">
        <v>63</v>
      </c>
      <c r="X82" s="8" t="s">
        <v>76</v>
      </c>
      <c r="Y82" s="8" t="s">
        <v>72</v>
      </c>
      <c r="Z82" s="40">
        <v>0</v>
      </c>
      <c r="AA82" s="41">
        <v>0</v>
      </c>
      <c r="AB82" s="41">
        <v>0</v>
      </c>
      <c r="AC82" s="41">
        <v>0</v>
      </c>
      <c r="AD82" s="42">
        <v>0</v>
      </c>
    </row>
    <row r="83" spans="1:30" x14ac:dyDescent="0.25">
      <c r="A83" s="12">
        <v>2284</v>
      </c>
      <c r="B83" s="12">
        <v>19</v>
      </c>
      <c r="C83" s="13">
        <v>212086</v>
      </c>
      <c r="D83" s="13">
        <v>1</v>
      </c>
      <c r="E83" s="13" t="s">
        <v>33</v>
      </c>
      <c r="F83" s="13" t="s">
        <v>50</v>
      </c>
      <c r="G83" s="13">
        <v>1</v>
      </c>
      <c r="H83" s="14">
        <v>46295</v>
      </c>
      <c r="I83" s="9">
        <v>46227</v>
      </c>
      <c r="J83" s="14">
        <v>46295</v>
      </c>
      <c r="K83" s="14"/>
      <c r="L83" s="37">
        <f ca="1">Tabela1[[#This Row],[Prazo
Entrega]]-TODAY()</f>
        <v>65</v>
      </c>
      <c r="M83" s="37" t="str">
        <f t="shared" ca="1" si="3"/>
        <v>NO PRAZO</v>
      </c>
      <c r="N83" s="8" t="s">
        <v>34</v>
      </c>
      <c r="O83" s="38" t="s">
        <v>63</v>
      </c>
      <c r="P83" s="8" t="s">
        <v>63</v>
      </c>
      <c r="Q83" s="8" t="s">
        <v>63</v>
      </c>
      <c r="R83" s="8" t="s">
        <v>63</v>
      </c>
      <c r="S83" s="8" t="s">
        <v>63</v>
      </c>
      <c r="T83" s="8" t="s">
        <v>63</v>
      </c>
      <c r="U83" s="8" t="s">
        <v>63</v>
      </c>
      <c r="V83" s="8" t="s">
        <v>63</v>
      </c>
      <c r="X83" s="8" t="s">
        <v>76</v>
      </c>
      <c r="Y83" s="8" t="s">
        <v>72</v>
      </c>
      <c r="Z83" s="40">
        <v>0</v>
      </c>
      <c r="AA83" s="41">
        <v>0</v>
      </c>
      <c r="AB83" s="41">
        <v>0</v>
      </c>
      <c r="AC83" s="41">
        <v>0</v>
      </c>
      <c r="AD83" s="42">
        <v>0</v>
      </c>
    </row>
    <row r="84" spans="1:30" x14ac:dyDescent="0.25">
      <c r="A84" s="13">
        <v>2263</v>
      </c>
      <c r="B84" s="13">
        <v>4</v>
      </c>
      <c r="C84" s="13">
        <v>1163065</v>
      </c>
      <c r="D84" s="13">
        <v>1</v>
      </c>
      <c r="E84" s="13" t="s">
        <v>35</v>
      </c>
      <c r="F84" s="13" t="s">
        <v>36</v>
      </c>
      <c r="G84" s="13">
        <v>1</v>
      </c>
      <c r="H84" s="14">
        <v>46226</v>
      </c>
      <c r="I84" s="9">
        <v>46223</v>
      </c>
      <c r="J84" s="14">
        <v>46310</v>
      </c>
      <c r="K84" s="14"/>
      <c r="L84" s="37">
        <f ca="1">Tabela1[[#This Row],[Prazo
Entrega]]-TODAY()</f>
        <v>80</v>
      </c>
      <c r="M84" s="37" t="str">
        <f t="shared" ca="1" si="3"/>
        <v>NO PRAZO</v>
      </c>
      <c r="N84" s="8" t="s">
        <v>32</v>
      </c>
      <c r="O84" s="38">
        <v>46213</v>
      </c>
      <c r="P84" s="14" t="s">
        <v>58</v>
      </c>
      <c r="Q84" s="8" t="s">
        <v>392</v>
      </c>
      <c r="R84" s="8" t="s">
        <v>18</v>
      </c>
      <c r="S84" s="8" t="s">
        <v>393</v>
      </c>
      <c r="T84" s="8" t="s">
        <v>67</v>
      </c>
      <c r="U84" s="8" t="s">
        <v>502</v>
      </c>
      <c r="V84" s="8" t="s">
        <v>473</v>
      </c>
      <c r="W84" s="8" t="s">
        <v>376</v>
      </c>
      <c r="X84" s="8" t="str">
        <f t="shared" si="4"/>
        <v>EM USINAGEM</v>
      </c>
      <c r="Z84" s="39">
        <v>32</v>
      </c>
      <c r="AA84" s="39">
        <f>Tabela1[[#This Row],[Plainar
Facear]]+1</f>
        <v>33</v>
      </c>
      <c r="AB84" s="39">
        <f>Tabela1[[#This Row],[Serrar2]]+1</f>
        <v>34</v>
      </c>
      <c r="AC84" s="39">
        <f>Tabela1[[#This Row],[Solda
Dura2]]+1</f>
        <v>35</v>
      </c>
      <c r="AD84" s="39">
        <f>Tabela1[[#This Row],[Encaixe /
Furação]]+1</f>
        <v>36</v>
      </c>
    </row>
    <row r="85" spans="1:30" x14ac:dyDescent="0.25">
      <c r="A85" s="13">
        <v>2263</v>
      </c>
      <c r="B85" s="13">
        <v>5</v>
      </c>
      <c r="C85" s="13">
        <v>1163066</v>
      </c>
      <c r="D85" s="13">
        <v>1</v>
      </c>
      <c r="E85" s="13" t="s">
        <v>35</v>
      </c>
      <c r="F85" s="13" t="s">
        <v>37</v>
      </c>
      <c r="G85" s="13">
        <v>1</v>
      </c>
      <c r="H85" s="14">
        <v>46226</v>
      </c>
      <c r="I85" s="9">
        <v>46223</v>
      </c>
      <c r="J85" s="14">
        <v>46310</v>
      </c>
      <c r="K85" s="14"/>
      <c r="L85" s="37">
        <f ca="1">Tabela1[[#This Row],[Prazo
Entrega]]-TODAY()</f>
        <v>80</v>
      </c>
      <c r="M85" s="37" t="str">
        <f t="shared" ca="1" si="3"/>
        <v>NO PRAZO</v>
      </c>
      <c r="N85" s="8" t="s">
        <v>32</v>
      </c>
      <c r="O85" s="38">
        <v>46213</v>
      </c>
      <c r="P85" s="14" t="s">
        <v>58</v>
      </c>
      <c r="Q85" s="8" t="s">
        <v>392</v>
      </c>
      <c r="R85" s="8" t="s">
        <v>18</v>
      </c>
      <c r="S85" s="8" t="s">
        <v>393</v>
      </c>
      <c r="T85" s="8" t="s">
        <v>67</v>
      </c>
      <c r="U85" s="8" t="s">
        <v>502</v>
      </c>
      <c r="V85" s="8" t="s">
        <v>473</v>
      </c>
      <c r="W85" s="8" t="s">
        <v>376</v>
      </c>
      <c r="X85" s="8" t="str">
        <f t="shared" si="4"/>
        <v>EM USINAGEM</v>
      </c>
      <c r="Z85" s="39">
        <v>32</v>
      </c>
      <c r="AA85" s="39">
        <f>Tabela1[[#This Row],[Plainar
Facear]]+1</f>
        <v>33</v>
      </c>
      <c r="AB85" s="39">
        <f>Tabela1[[#This Row],[Serrar2]]+1</f>
        <v>34</v>
      </c>
      <c r="AC85" s="39">
        <f>Tabela1[[#This Row],[Solda
Dura2]]+1</f>
        <v>35</v>
      </c>
      <c r="AD85" s="39">
        <f>Tabela1[[#This Row],[Encaixe /
Furação]]+1</f>
        <v>36</v>
      </c>
    </row>
    <row r="86" spans="1:30" x14ac:dyDescent="0.25">
      <c r="A86" s="13">
        <v>2263</v>
      </c>
      <c r="B86" s="13">
        <v>6</v>
      </c>
      <c r="C86" s="13">
        <v>1163067</v>
      </c>
      <c r="D86" s="13">
        <v>1</v>
      </c>
      <c r="E86" s="13" t="s">
        <v>35</v>
      </c>
      <c r="F86" s="13" t="s">
        <v>37</v>
      </c>
      <c r="G86" s="13">
        <v>1</v>
      </c>
      <c r="H86" s="14">
        <v>46226</v>
      </c>
      <c r="I86" s="9">
        <v>46223</v>
      </c>
      <c r="J86" s="14">
        <v>46310</v>
      </c>
      <c r="K86" s="14"/>
      <c r="L86" s="37">
        <f ca="1">Tabela1[[#This Row],[Prazo
Entrega]]-TODAY()</f>
        <v>80</v>
      </c>
      <c r="M86" s="37" t="str">
        <f t="shared" ca="1" si="3"/>
        <v>NO PRAZO</v>
      </c>
      <c r="N86" s="8" t="s">
        <v>32</v>
      </c>
      <c r="O86" s="38">
        <v>46213</v>
      </c>
      <c r="P86" s="14" t="s">
        <v>58</v>
      </c>
      <c r="Q86" s="8" t="s">
        <v>392</v>
      </c>
      <c r="R86" s="8" t="s">
        <v>18</v>
      </c>
      <c r="S86" s="8" t="s">
        <v>393</v>
      </c>
      <c r="T86" s="8" t="s">
        <v>67</v>
      </c>
      <c r="U86" s="8" t="s">
        <v>502</v>
      </c>
      <c r="V86" s="8" t="s">
        <v>473</v>
      </c>
      <c r="W86" s="8" t="s">
        <v>376</v>
      </c>
      <c r="X86" s="8" t="str">
        <f t="shared" si="4"/>
        <v>EM USINAGEM</v>
      </c>
      <c r="Z86" s="39">
        <v>32</v>
      </c>
      <c r="AA86" s="39">
        <f>Tabela1[[#This Row],[Plainar
Facear]]+1</f>
        <v>33</v>
      </c>
      <c r="AB86" s="39">
        <f>Tabela1[[#This Row],[Serrar2]]+1</f>
        <v>34</v>
      </c>
      <c r="AC86" s="39">
        <f>Tabela1[[#This Row],[Solda
Dura2]]+1</f>
        <v>35</v>
      </c>
      <c r="AD86" s="39">
        <f>Tabela1[[#This Row],[Encaixe /
Furação]]+1</f>
        <v>36</v>
      </c>
    </row>
    <row r="87" spans="1:30" x14ac:dyDescent="0.25">
      <c r="A87" s="13">
        <v>2263</v>
      </c>
      <c r="B87" s="13">
        <v>7</v>
      </c>
      <c r="C87" s="13">
        <v>1163068</v>
      </c>
      <c r="D87" s="13">
        <v>1</v>
      </c>
      <c r="E87" s="13" t="s">
        <v>35</v>
      </c>
      <c r="F87" s="13" t="s">
        <v>37</v>
      </c>
      <c r="G87" s="13">
        <v>1</v>
      </c>
      <c r="H87" s="14">
        <v>46226</v>
      </c>
      <c r="I87" s="9">
        <v>46223</v>
      </c>
      <c r="J87" s="14">
        <v>46310</v>
      </c>
      <c r="K87" s="14"/>
      <c r="L87" s="37">
        <f ca="1">Tabela1[[#This Row],[Prazo
Entrega]]-TODAY()</f>
        <v>80</v>
      </c>
      <c r="M87" s="37" t="str">
        <f t="shared" ca="1" si="3"/>
        <v>NO PRAZO</v>
      </c>
      <c r="N87" s="8" t="s">
        <v>32</v>
      </c>
      <c r="O87" s="38">
        <v>46213</v>
      </c>
      <c r="P87" s="14" t="s">
        <v>58</v>
      </c>
      <c r="Q87" s="8" t="s">
        <v>392</v>
      </c>
      <c r="R87" s="8" t="s">
        <v>18</v>
      </c>
      <c r="S87" s="8" t="s">
        <v>393</v>
      </c>
      <c r="T87" s="8" t="s">
        <v>67</v>
      </c>
      <c r="U87" s="8" t="s">
        <v>502</v>
      </c>
      <c r="V87" s="8" t="s">
        <v>473</v>
      </c>
      <c r="W87" s="8" t="s">
        <v>376</v>
      </c>
      <c r="X87" s="8" t="str">
        <f t="shared" si="4"/>
        <v>EM USINAGEM</v>
      </c>
      <c r="Z87" s="39">
        <v>32</v>
      </c>
      <c r="AA87" s="39">
        <f>Tabela1[[#This Row],[Plainar
Facear]]+1</f>
        <v>33</v>
      </c>
      <c r="AB87" s="39">
        <f>Tabela1[[#This Row],[Serrar2]]+1</f>
        <v>34</v>
      </c>
      <c r="AC87" s="39">
        <f>Tabela1[[#This Row],[Solda
Dura2]]+1</f>
        <v>35</v>
      </c>
      <c r="AD87" s="39">
        <f>Tabela1[[#This Row],[Encaixe /
Furação]]+1</f>
        <v>36</v>
      </c>
    </row>
    <row r="88" spans="1:30" x14ac:dyDescent="0.25">
      <c r="A88" s="13">
        <v>2263</v>
      </c>
      <c r="B88" s="13">
        <v>8</v>
      </c>
      <c r="C88" s="13">
        <v>1163069</v>
      </c>
      <c r="D88" s="13">
        <v>1</v>
      </c>
      <c r="E88" s="13" t="s">
        <v>35</v>
      </c>
      <c r="F88" s="13" t="s">
        <v>37</v>
      </c>
      <c r="G88" s="13">
        <v>1</v>
      </c>
      <c r="H88" s="14">
        <v>46226</v>
      </c>
      <c r="I88" s="9">
        <v>46223</v>
      </c>
      <c r="J88" s="14">
        <v>46310</v>
      </c>
      <c r="K88" s="14"/>
      <c r="L88" s="37">
        <f ca="1">Tabela1[[#This Row],[Prazo
Entrega]]-TODAY()</f>
        <v>80</v>
      </c>
      <c r="M88" s="37" t="str">
        <f t="shared" ca="1" si="3"/>
        <v>NO PRAZO</v>
      </c>
      <c r="N88" s="8" t="s">
        <v>32</v>
      </c>
      <c r="O88" s="38">
        <v>46213</v>
      </c>
      <c r="P88" s="14" t="s">
        <v>58</v>
      </c>
      <c r="Q88" s="8" t="s">
        <v>392</v>
      </c>
      <c r="R88" s="8" t="s">
        <v>18</v>
      </c>
      <c r="S88" s="8" t="s">
        <v>393</v>
      </c>
      <c r="T88" s="8" t="s">
        <v>67</v>
      </c>
      <c r="U88" s="8" t="s">
        <v>502</v>
      </c>
      <c r="V88" s="8" t="s">
        <v>473</v>
      </c>
      <c r="W88" s="8" t="s">
        <v>376</v>
      </c>
      <c r="X88" s="8" t="str">
        <f t="shared" si="4"/>
        <v>EM USINAGEM</v>
      </c>
      <c r="Z88" s="39">
        <v>32</v>
      </c>
      <c r="AA88" s="39">
        <f>Tabela1[[#This Row],[Plainar
Facear]]+1</f>
        <v>33</v>
      </c>
      <c r="AB88" s="39">
        <f>Tabela1[[#This Row],[Serrar2]]+1</f>
        <v>34</v>
      </c>
      <c r="AC88" s="39">
        <f>Tabela1[[#This Row],[Solda
Dura2]]+1</f>
        <v>35</v>
      </c>
      <c r="AD88" s="39">
        <f>Tabela1[[#This Row],[Encaixe /
Furação]]+1</f>
        <v>36</v>
      </c>
    </row>
    <row r="89" spans="1:30" x14ac:dyDescent="0.25">
      <c r="A89" s="13">
        <v>2263</v>
      </c>
      <c r="B89" s="13">
        <v>9</v>
      </c>
      <c r="C89" s="13">
        <v>1163070</v>
      </c>
      <c r="D89" s="13">
        <v>1</v>
      </c>
      <c r="E89" s="13" t="s">
        <v>35</v>
      </c>
      <c r="F89" s="13" t="s">
        <v>36</v>
      </c>
      <c r="G89" s="13">
        <v>1</v>
      </c>
      <c r="H89" s="14">
        <v>46226</v>
      </c>
      <c r="I89" s="9">
        <v>46223</v>
      </c>
      <c r="J89" s="14">
        <v>46310</v>
      </c>
      <c r="K89" s="14"/>
      <c r="L89" s="37">
        <f ca="1">Tabela1[[#This Row],[Prazo
Entrega]]-TODAY()</f>
        <v>80</v>
      </c>
      <c r="M89" s="37" t="str">
        <f t="shared" ca="1" si="3"/>
        <v>NO PRAZO</v>
      </c>
      <c r="N89" s="8" t="s">
        <v>32</v>
      </c>
      <c r="O89" s="38">
        <v>46213</v>
      </c>
      <c r="P89" s="14" t="s">
        <v>58</v>
      </c>
      <c r="Q89" s="8" t="s">
        <v>392</v>
      </c>
      <c r="R89" s="8" t="s">
        <v>18</v>
      </c>
      <c r="S89" s="8" t="s">
        <v>393</v>
      </c>
      <c r="T89" s="8" t="s">
        <v>67</v>
      </c>
      <c r="U89" s="8" t="s">
        <v>502</v>
      </c>
      <c r="V89" s="8" t="s">
        <v>473</v>
      </c>
      <c r="W89" s="8" t="s">
        <v>376</v>
      </c>
      <c r="X89" s="8" t="str">
        <f t="shared" si="4"/>
        <v>EM USINAGEM</v>
      </c>
      <c r="Z89" s="39">
        <v>32</v>
      </c>
      <c r="AA89" s="39">
        <f>Tabela1[[#This Row],[Plainar
Facear]]+1</f>
        <v>33</v>
      </c>
      <c r="AB89" s="39">
        <f>Tabela1[[#This Row],[Serrar2]]+1</f>
        <v>34</v>
      </c>
      <c r="AC89" s="39">
        <f>Tabela1[[#This Row],[Solda
Dura2]]+1</f>
        <v>35</v>
      </c>
      <c r="AD89" s="39">
        <f>Tabela1[[#This Row],[Encaixe /
Furação]]+1</f>
        <v>36</v>
      </c>
    </row>
    <row r="90" spans="1:30" x14ac:dyDescent="0.25">
      <c r="A90" s="13">
        <v>2322</v>
      </c>
      <c r="B90" s="13">
        <v>1</v>
      </c>
      <c r="C90" s="13">
        <v>1271009</v>
      </c>
      <c r="D90" s="13">
        <v>1</v>
      </c>
      <c r="E90" s="13" t="s">
        <v>86</v>
      </c>
      <c r="F90" s="13" t="s">
        <v>87</v>
      </c>
      <c r="G90" s="13">
        <v>1</v>
      </c>
      <c r="H90" s="14">
        <v>46250</v>
      </c>
      <c r="J90" s="14">
        <v>46281</v>
      </c>
      <c r="K90" s="14"/>
      <c r="L90" s="37">
        <f ca="1">Tabela1[[#This Row],[Prazo
Entrega]]-TODAY()</f>
        <v>51</v>
      </c>
      <c r="M90" s="37" t="str">
        <f t="shared" ca="1" si="3"/>
        <v>NO PRAZO</v>
      </c>
      <c r="N90" s="8" t="s">
        <v>32</v>
      </c>
      <c r="O90" s="38">
        <v>46218</v>
      </c>
      <c r="P90" s="14" t="s">
        <v>58</v>
      </c>
      <c r="Q90" s="8" t="s">
        <v>392</v>
      </c>
      <c r="R90" s="8" t="s">
        <v>18</v>
      </c>
      <c r="S90" s="8" t="s">
        <v>67</v>
      </c>
      <c r="T90" s="8" t="s">
        <v>502</v>
      </c>
      <c r="U90" s="8" t="s">
        <v>473</v>
      </c>
      <c r="V90" s="8" t="s">
        <v>376</v>
      </c>
      <c r="X90" s="8" t="str">
        <f t="shared" si="4"/>
        <v>AG. FUNDIDO</v>
      </c>
      <c r="Z90" s="40">
        <v>33</v>
      </c>
      <c r="AA90" s="41">
        <v>34</v>
      </c>
      <c r="AB90" s="41">
        <v>35</v>
      </c>
      <c r="AC90" s="41">
        <v>36</v>
      </c>
      <c r="AD90" s="42">
        <v>37</v>
      </c>
    </row>
    <row r="91" spans="1:30" x14ac:dyDescent="0.25">
      <c r="A91" s="13">
        <v>2322</v>
      </c>
      <c r="B91" s="13">
        <v>2</v>
      </c>
      <c r="C91" s="13">
        <v>1271010</v>
      </c>
      <c r="D91" s="13">
        <v>1</v>
      </c>
      <c r="E91" s="13" t="s">
        <v>86</v>
      </c>
      <c r="F91" s="13" t="s">
        <v>87</v>
      </c>
      <c r="G91" s="13">
        <v>1</v>
      </c>
      <c r="H91" s="14">
        <v>46250</v>
      </c>
      <c r="J91" s="14">
        <v>46281</v>
      </c>
      <c r="K91" s="14"/>
      <c r="L91" s="37">
        <f ca="1">Tabela1[[#This Row],[Prazo
Entrega]]-TODAY()</f>
        <v>51</v>
      </c>
      <c r="M91" s="37" t="str">
        <f t="shared" ca="1" si="3"/>
        <v>NO PRAZO</v>
      </c>
      <c r="N91" s="8" t="s">
        <v>32</v>
      </c>
      <c r="O91" s="38">
        <v>46218</v>
      </c>
      <c r="P91" s="14" t="s">
        <v>58</v>
      </c>
      <c r="Q91" s="8" t="s">
        <v>392</v>
      </c>
      <c r="R91" s="8" t="s">
        <v>18</v>
      </c>
      <c r="S91" s="8" t="s">
        <v>67</v>
      </c>
      <c r="T91" s="8" t="s">
        <v>502</v>
      </c>
      <c r="U91" s="8" t="s">
        <v>473</v>
      </c>
      <c r="V91" s="8" t="s">
        <v>376</v>
      </c>
      <c r="X91" s="8" t="str">
        <f t="shared" si="4"/>
        <v>AG. FUNDIDO</v>
      </c>
      <c r="Z91" s="40">
        <v>33</v>
      </c>
      <c r="AA91" s="41">
        <v>34</v>
      </c>
      <c r="AB91" s="41">
        <v>35</v>
      </c>
      <c r="AC91" s="41">
        <v>36</v>
      </c>
      <c r="AD91" s="42">
        <v>37</v>
      </c>
    </row>
    <row r="92" spans="1:30" x14ac:dyDescent="0.25">
      <c r="A92" s="13">
        <v>2322</v>
      </c>
      <c r="B92" s="13">
        <v>3</v>
      </c>
      <c r="C92" s="13">
        <v>1271011</v>
      </c>
      <c r="D92" s="13">
        <v>1</v>
      </c>
      <c r="E92" s="13" t="s">
        <v>86</v>
      </c>
      <c r="F92" s="13" t="s">
        <v>87</v>
      </c>
      <c r="G92" s="13">
        <v>1</v>
      </c>
      <c r="H92" s="14">
        <v>46250</v>
      </c>
      <c r="J92" s="14">
        <v>46281</v>
      </c>
      <c r="K92" s="14"/>
      <c r="L92" s="37">
        <f ca="1">Tabela1[[#This Row],[Prazo
Entrega]]-TODAY()</f>
        <v>51</v>
      </c>
      <c r="M92" s="37" t="str">
        <f t="shared" ca="1" si="3"/>
        <v>NO PRAZO</v>
      </c>
      <c r="N92" s="8" t="s">
        <v>32</v>
      </c>
      <c r="O92" s="38">
        <v>46218</v>
      </c>
      <c r="P92" s="14" t="s">
        <v>58</v>
      </c>
      <c r="Q92" s="8" t="s">
        <v>392</v>
      </c>
      <c r="R92" s="8" t="s">
        <v>18</v>
      </c>
      <c r="S92" s="8" t="s">
        <v>67</v>
      </c>
      <c r="T92" s="8" t="s">
        <v>502</v>
      </c>
      <c r="U92" s="8" t="s">
        <v>473</v>
      </c>
      <c r="V92" s="8" t="s">
        <v>376</v>
      </c>
      <c r="X92" s="8" t="str">
        <f t="shared" si="4"/>
        <v>AG. FUNDIDO</v>
      </c>
      <c r="Z92" s="40">
        <v>33</v>
      </c>
      <c r="AA92" s="41">
        <v>34</v>
      </c>
      <c r="AB92" s="41">
        <v>35</v>
      </c>
      <c r="AC92" s="41">
        <v>36</v>
      </c>
      <c r="AD92" s="42">
        <v>37</v>
      </c>
    </row>
    <row r="93" spans="1:30" x14ac:dyDescent="0.25">
      <c r="A93" s="13">
        <v>2322</v>
      </c>
      <c r="B93" s="13">
        <v>4</v>
      </c>
      <c r="C93" s="13">
        <v>1271012</v>
      </c>
      <c r="D93" s="13">
        <v>1</v>
      </c>
      <c r="E93" s="13" t="s">
        <v>86</v>
      </c>
      <c r="F93" s="13" t="s">
        <v>87</v>
      </c>
      <c r="G93" s="13">
        <v>1</v>
      </c>
      <c r="H93" s="14">
        <v>46250</v>
      </c>
      <c r="J93" s="14">
        <v>46281</v>
      </c>
      <c r="K93" s="14"/>
      <c r="L93" s="37">
        <f ca="1">Tabela1[[#This Row],[Prazo
Entrega]]-TODAY()</f>
        <v>51</v>
      </c>
      <c r="M93" s="37" t="str">
        <f t="shared" ca="1" si="3"/>
        <v>NO PRAZO</v>
      </c>
      <c r="N93" s="8" t="s">
        <v>32</v>
      </c>
      <c r="O93" s="38">
        <v>46218</v>
      </c>
      <c r="P93" s="14" t="s">
        <v>58</v>
      </c>
      <c r="Q93" s="8" t="s">
        <v>392</v>
      </c>
      <c r="R93" s="8" t="s">
        <v>18</v>
      </c>
      <c r="S93" s="8" t="s">
        <v>67</v>
      </c>
      <c r="T93" s="8" t="s">
        <v>502</v>
      </c>
      <c r="U93" s="8" t="s">
        <v>473</v>
      </c>
      <c r="V93" s="8" t="s">
        <v>376</v>
      </c>
      <c r="X93" s="8" t="str">
        <f t="shared" si="4"/>
        <v>AG. FUNDIDO</v>
      </c>
      <c r="Z93" s="40">
        <v>33</v>
      </c>
      <c r="AA93" s="41">
        <v>34</v>
      </c>
      <c r="AB93" s="41">
        <v>35</v>
      </c>
      <c r="AC93" s="41">
        <v>36</v>
      </c>
      <c r="AD93" s="42">
        <v>37</v>
      </c>
    </row>
    <row r="94" spans="1:30" x14ac:dyDescent="0.25">
      <c r="A94" s="13">
        <v>2322</v>
      </c>
      <c r="B94" s="13">
        <v>5</v>
      </c>
      <c r="C94" s="13">
        <v>1271013</v>
      </c>
      <c r="D94" s="13">
        <v>1</v>
      </c>
      <c r="E94" s="13" t="s">
        <v>86</v>
      </c>
      <c r="F94" s="13" t="s">
        <v>88</v>
      </c>
      <c r="G94" s="13">
        <v>1</v>
      </c>
      <c r="H94" s="14">
        <v>46250</v>
      </c>
      <c r="J94" s="14">
        <v>46281</v>
      </c>
      <c r="K94" s="14"/>
      <c r="L94" s="37">
        <f ca="1">Tabela1[[#This Row],[Prazo
Entrega]]-TODAY()</f>
        <v>51</v>
      </c>
      <c r="M94" s="37" t="str">
        <f t="shared" ref="M94:M114" ca="1" si="5">IF(L94&lt;0,"ATRASADO",IF(L94&lt;=15,"ATENÇÃO","NO PRAZO"))</f>
        <v>NO PRAZO</v>
      </c>
      <c r="N94" s="8" t="s">
        <v>32</v>
      </c>
      <c r="O94" s="38">
        <v>46218</v>
      </c>
      <c r="P94" s="14" t="s">
        <v>58</v>
      </c>
      <c r="Q94" s="8" t="s">
        <v>392</v>
      </c>
      <c r="R94" s="8" t="s">
        <v>18</v>
      </c>
      <c r="S94" s="8" t="s">
        <v>67</v>
      </c>
      <c r="T94" s="8" t="s">
        <v>502</v>
      </c>
      <c r="U94" s="8" t="s">
        <v>473</v>
      </c>
      <c r="V94" s="8" t="s">
        <v>376</v>
      </c>
      <c r="X94" s="8" t="str">
        <f t="shared" si="4"/>
        <v>AG. FUNDIDO</v>
      </c>
      <c r="Z94" s="40">
        <v>33</v>
      </c>
      <c r="AA94" s="41">
        <v>34</v>
      </c>
      <c r="AB94" s="41">
        <v>35</v>
      </c>
      <c r="AC94" s="41">
        <v>36</v>
      </c>
      <c r="AD94" s="42">
        <v>37</v>
      </c>
    </row>
    <row r="95" spans="1:30" x14ac:dyDescent="0.25">
      <c r="A95" s="13">
        <v>1027</v>
      </c>
      <c r="B95" s="13">
        <v>17</v>
      </c>
      <c r="C95" s="13">
        <v>464101</v>
      </c>
      <c r="D95" s="13">
        <v>1</v>
      </c>
      <c r="E95" s="13" t="s">
        <v>89</v>
      </c>
      <c r="F95" s="13" t="s">
        <v>90</v>
      </c>
      <c r="G95" s="13">
        <v>1</v>
      </c>
      <c r="H95" s="14">
        <v>46295</v>
      </c>
      <c r="J95" s="14">
        <v>46356</v>
      </c>
      <c r="K95" s="14"/>
      <c r="L95" s="37">
        <f ca="1">Tabela1[[#This Row],[Prazo
Entrega]]-TODAY()</f>
        <v>126</v>
      </c>
      <c r="M95" s="37" t="str">
        <f t="shared" ca="1" si="5"/>
        <v>NO PRAZO</v>
      </c>
      <c r="N95" s="8" t="s">
        <v>32</v>
      </c>
      <c r="O95" s="38" t="s">
        <v>56</v>
      </c>
      <c r="P95" s="14" t="s">
        <v>56</v>
      </c>
      <c r="Q95" s="8" t="s">
        <v>392</v>
      </c>
      <c r="R95" s="8" t="s">
        <v>18</v>
      </c>
      <c r="S95" s="8" t="s">
        <v>393</v>
      </c>
      <c r="T95" s="8" t="s">
        <v>67</v>
      </c>
      <c r="U95" s="8" t="s">
        <v>502</v>
      </c>
      <c r="V95" s="8" t="s">
        <v>473</v>
      </c>
      <c r="W95" s="8" t="s">
        <v>376</v>
      </c>
      <c r="X95" s="8" t="str">
        <f t="shared" si="4"/>
        <v>AG. FUNDIDO</v>
      </c>
      <c r="Z95" s="40"/>
      <c r="AA95" s="41"/>
      <c r="AB95" s="41"/>
      <c r="AC95" s="41"/>
      <c r="AD95" s="42"/>
    </row>
    <row r="96" spans="1:30" x14ac:dyDescent="0.25">
      <c r="A96" s="13">
        <v>1027</v>
      </c>
      <c r="B96" s="13">
        <v>18</v>
      </c>
      <c r="C96" s="13">
        <v>464102</v>
      </c>
      <c r="D96" s="13">
        <v>1</v>
      </c>
      <c r="E96" s="13" t="s">
        <v>89</v>
      </c>
      <c r="F96" s="13" t="s">
        <v>91</v>
      </c>
      <c r="G96" s="13">
        <v>1</v>
      </c>
      <c r="H96" s="14">
        <v>46295</v>
      </c>
      <c r="J96" s="14">
        <v>46356</v>
      </c>
      <c r="K96" s="14"/>
      <c r="L96" s="37">
        <f ca="1">Tabela1[[#This Row],[Prazo
Entrega]]-TODAY()</f>
        <v>126</v>
      </c>
      <c r="M96" s="37" t="str">
        <f t="shared" ca="1" si="5"/>
        <v>NO PRAZO</v>
      </c>
      <c r="N96" s="8" t="s">
        <v>32</v>
      </c>
      <c r="O96" s="38" t="s">
        <v>56</v>
      </c>
      <c r="P96" s="14" t="s">
        <v>56</v>
      </c>
      <c r="Q96" s="8" t="s">
        <v>392</v>
      </c>
      <c r="R96" s="8" t="s">
        <v>18</v>
      </c>
      <c r="S96" s="8" t="s">
        <v>393</v>
      </c>
      <c r="T96" s="8" t="s">
        <v>67</v>
      </c>
      <c r="U96" s="8" t="s">
        <v>502</v>
      </c>
      <c r="V96" s="8" t="s">
        <v>473</v>
      </c>
      <c r="W96" s="8" t="s">
        <v>376</v>
      </c>
      <c r="X96" s="8" t="str">
        <f t="shared" si="4"/>
        <v>AG. FUNDIDO</v>
      </c>
      <c r="Z96" s="40"/>
      <c r="AA96" s="41"/>
      <c r="AB96" s="41"/>
      <c r="AC96" s="41"/>
      <c r="AD96" s="42"/>
    </row>
    <row r="97" spans="1:30" x14ac:dyDescent="0.25">
      <c r="A97" s="13">
        <v>1027</v>
      </c>
      <c r="B97" s="13">
        <v>19</v>
      </c>
      <c r="C97" s="13">
        <v>464103</v>
      </c>
      <c r="D97" s="13">
        <v>1</v>
      </c>
      <c r="E97" s="13" t="s">
        <v>89</v>
      </c>
      <c r="F97" s="13" t="s">
        <v>91</v>
      </c>
      <c r="G97" s="13">
        <v>1</v>
      </c>
      <c r="H97" s="14">
        <v>46295</v>
      </c>
      <c r="J97" s="14">
        <v>46356</v>
      </c>
      <c r="K97" s="14"/>
      <c r="L97" s="37">
        <f ca="1">Tabela1[[#This Row],[Prazo
Entrega]]-TODAY()</f>
        <v>126</v>
      </c>
      <c r="M97" s="37" t="str">
        <f t="shared" ca="1" si="5"/>
        <v>NO PRAZO</v>
      </c>
      <c r="N97" s="8" t="s">
        <v>32</v>
      </c>
      <c r="O97" s="38" t="s">
        <v>56</v>
      </c>
      <c r="P97" s="14" t="s">
        <v>56</v>
      </c>
      <c r="Q97" s="8" t="s">
        <v>392</v>
      </c>
      <c r="R97" s="8" t="s">
        <v>18</v>
      </c>
      <c r="S97" s="8" t="s">
        <v>393</v>
      </c>
      <c r="T97" s="8" t="s">
        <v>67</v>
      </c>
      <c r="U97" s="8" t="s">
        <v>502</v>
      </c>
      <c r="V97" s="8" t="s">
        <v>473</v>
      </c>
      <c r="W97" s="8" t="s">
        <v>376</v>
      </c>
      <c r="X97" s="8" t="str">
        <f t="shared" si="4"/>
        <v>AG. FUNDIDO</v>
      </c>
      <c r="Z97" s="40"/>
      <c r="AA97" s="41"/>
      <c r="AB97" s="41"/>
      <c r="AC97" s="41"/>
      <c r="AD97" s="42"/>
    </row>
    <row r="98" spans="1:30" x14ac:dyDescent="0.25">
      <c r="A98" s="13">
        <v>1027</v>
      </c>
      <c r="B98" s="13">
        <v>20</v>
      </c>
      <c r="C98" s="13">
        <v>464104</v>
      </c>
      <c r="D98" s="13">
        <v>1</v>
      </c>
      <c r="E98" s="13" t="s">
        <v>89</v>
      </c>
      <c r="F98" s="13" t="s">
        <v>91</v>
      </c>
      <c r="G98" s="13">
        <v>1</v>
      </c>
      <c r="H98" s="14">
        <v>46295</v>
      </c>
      <c r="J98" s="14">
        <v>46356</v>
      </c>
      <c r="K98" s="14"/>
      <c r="L98" s="37">
        <f ca="1">Tabela1[[#This Row],[Prazo
Entrega]]-TODAY()</f>
        <v>126</v>
      </c>
      <c r="M98" s="37" t="str">
        <f t="shared" ca="1" si="5"/>
        <v>NO PRAZO</v>
      </c>
      <c r="N98" s="8" t="s">
        <v>32</v>
      </c>
      <c r="O98" s="38" t="s">
        <v>56</v>
      </c>
      <c r="P98" s="14" t="s">
        <v>56</v>
      </c>
      <c r="Q98" s="8" t="s">
        <v>392</v>
      </c>
      <c r="R98" s="8" t="s">
        <v>18</v>
      </c>
      <c r="S98" s="8" t="s">
        <v>393</v>
      </c>
      <c r="T98" s="8" t="s">
        <v>67</v>
      </c>
      <c r="U98" s="8" t="s">
        <v>502</v>
      </c>
      <c r="V98" s="8" t="s">
        <v>473</v>
      </c>
      <c r="W98" s="8" t="s">
        <v>376</v>
      </c>
      <c r="X98" s="8" t="str">
        <f t="shared" si="4"/>
        <v>AG. FUNDIDO</v>
      </c>
      <c r="Z98" s="40"/>
      <c r="AA98" s="41"/>
      <c r="AB98" s="41"/>
      <c r="AC98" s="41"/>
      <c r="AD98" s="42"/>
    </row>
    <row r="99" spans="1:30" x14ac:dyDescent="0.25">
      <c r="A99" s="13">
        <v>1027</v>
      </c>
      <c r="B99" s="13">
        <v>21</v>
      </c>
      <c r="C99" s="13">
        <v>464105</v>
      </c>
      <c r="D99" s="13">
        <v>1</v>
      </c>
      <c r="E99" s="13" t="s">
        <v>89</v>
      </c>
      <c r="F99" s="13" t="s">
        <v>91</v>
      </c>
      <c r="G99" s="13">
        <v>1</v>
      </c>
      <c r="H99" s="14">
        <v>46295</v>
      </c>
      <c r="J99" s="14">
        <v>46356</v>
      </c>
      <c r="K99" s="14"/>
      <c r="L99" s="37">
        <f ca="1">Tabela1[[#This Row],[Prazo
Entrega]]-TODAY()</f>
        <v>126</v>
      </c>
      <c r="M99" s="37" t="str">
        <f t="shared" ca="1" si="5"/>
        <v>NO PRAZO</v>
      </c>
      <c r="N99" s="8" t="s">
        <v>32</v>
      </c>
      <c r="O99" s="38" t="s">
        <v>56</v>
      </c>
      <c r="P99" s="14" t="s">
        <v>56</v>
      </c>
      <c r="Q99" s="8" t="s">
        <v>392</v>
      </c>
      <c r="R99" s="8" t="s">
        <v>18</v>
      </c>
      <c r="S99" s="8" t="s">
        <v>393</v>
      </c>
      <c r="T99" s="8" t="s">
        <v>67</v>
      </c>
      <c r="U99" s="8" t="s">
        <v>502</v>
      </c>
      <c r="V99" s="8" t="s">
        <v>473</v>
      </c>
      <c r="W99" s="8" t="s">
        <v>376</v>
      </c>
      <c r="X99" s="8" t="str">
        <f t="shared" si="4"/>
        <v>AG. FUNDIDO</v>
      </c>
      <c r="Z99" s="40"/>
      <c r="AA99" s="41"/>
      <c r="AB99" s="41"/>
      <c r="AC99" s="41"/>
      <c r="AD99" s="42"/>
    </row>
    <row r="100" spans="1:30" x14ac:dyDescent="0.25">
      <c r="A100" s="13">
        <v>2331</v>
      </c>
      <c r="B100" s="13">
        <v>12</v>
      </c>
      <c r="C100" s="13">
        <v>27611</v>
      </c>
      <c r="D100" s="13">
        <v>12</v>
      </c>
      <c r="E100" s="13" t="s">
        <v>115</v>
      </c>
      <c r="F100" s="13" t="s">
        <v>122</v>
      </c>
      <c r="G100" s="13">
        <v>1</v>
      </c>
      <c r="H100" s="14">
        <v>46295</v>
      </c>
      <c r="J100" s="14">
        <v>46356</v>
      </c>
      <c r="K100" s="14"/>
      <c r="L100" s="37">
        <f ca="1">Tabela1[[#This Row],[Prazo
Entrega]]-TODAY()</f>
        <v>126</v>
      </c>
      <c r="M100" s="37" t="str">
        <f t="shared" ca="1" si="5"/>
        <v>NO PRAZO</v>
      </c>
      <c r="N100" s="8" t="s">
        <v>32</v>
      </c>
      <c r="O100" s="38">
        <v>46233</v>
      </c>
      <c r="P100" s="14" t="s">
        <v>58</v>
      </c>
      <c r="Q100" s="8" t="s">
        <v>392</v>
      </c>
      <c r="R100" s="8" t="s">
        <v>18</v>
      </c>
      <c r="S100" s="8" t="s">
        <v>393</v>
      </c>
      <c r="T100" s="8" t="s">
        <v>67</v>
      </c>
      <c r="U100" s="8" t="s">
        <v>502</v>
      </c>
      <c r="V100" s="8" t="s">
        <v>473</v>
      </c>
      <c r="W100" s="8" t="s">
        <v>376</v>
      </c>
      <c r="X100" s="8" t="str">
        <f t="shared" si="4"/>
        <v>AG. FUNDIDO</v>
      </c>
      <c r="Z100" s="40"/>
      <c r="AA100" s="41"/>
      <c r="AB100" s="41"/>
      <c r="AC100" s="41"/>
      <c r="AD100" s="42"/>
    </row>
    <row r="101" spans="1:30" x14ac:dyDescent="0.25">
      <c r="A101" s="13">
        <v>2331</v>
      </c>
      <c r="B101" s="13">
        <v>13</v>
      </c>
      <c r="C101" s="13">
        <v>27611</v>
      </c>
      <c r="D101" s="13">
        <v>13</v>
      </c>
      <c r="E101" s="13" t="s">
        <v>115</v>
      </c>
      <c r="F101" s="13" t="s">
        <v>123</v>
      </c>
      <c r="G101" s="13">
        <v>1</v>
      </c>
      <c r="H101" s="14">
        <v>46295</v>
      </c>
      <c r="J101" s="14">
        <v>46356</v>
      </c>
      <c r="K101" s="14"/>
      <c r="L101" s="37">
        <f ca="1">Tabela1[[#This Row],[Prazo
Entrega]]-TODAY()</f>
        <v>126</v>
      </c>
      <c r="M101" s="37" t="str">
        <f t="shared" ca="1" si="5"/>
        <v>NO PRAZO</v>
      </c>
      <c r="N101" s="8" t="s">
        <v>32</v>
      </c>
      <c r="O101" s="38">
        <v>46233</v>
      </c>
      <c r="P101" s="14" t="s">
        <v>58</v>
      </c>
      <c r="Q101" s="8" t="s">
        <v>392</v>
      </c>
      <c r="R101" s="8" t="s">
        <v>18</v>
      </c>
      <c r="S101" s="8" t="s">
        <v>393</v>
      </c>
      <c r="T101" s="8" t="s">
        <v>67</v>
      </c>
      <c r="U101" s="8" t="s">
        <v>502</v>
      </c>
      <c r="V101" s="8" t="s">
        <v>473</v>
      </c>
      <c r="W101" s="8" t="s">
        <v>376</v>
      </c>
      <c r="X101" s="8" t="str">
        <f t="shared" si="4"/>
        <v>AG. FUNDIDO</v>
      </c>
      <c r="Z101" s="40"/>
      <c r="AA101" s="41"/>
      <c r="AB101" s="41"/>
      <c r="AC101" s="41"/>
      <c r="AD101" s="42"/>
    </row>
    <row r="102" spans="1:30" x14ac:dyDescent="0.25">
      <c r="A102" s="13">
        <v>2331</v>
      </c>
      <c r="B102" s="13">
        <v>14</v>
      </c>
      <c r="C102" s="13">
        <v>27611</v>
      </c>
      <c r="D102" s="13">
        <v>14</v>
      </c>
      <c r="E102" s="13" t="s">
        <v>115</v>
      </c>
      <c r="F102" s="13" t="s">
        <v>123</v>
      </c>
      <c r="G102" s="13">
        <v>1</v>
      </c>
      <c r="H102" s="14">
        <v>46295</v>
      </c>
      <c r="J102" s="14">
        <v>46356</v>
      </c>
      <c r="K102" s="14"/>
      <c r="L102" s="37">
        <f ca="1">Tabela1[[#This Row],[Prazo
Entrega]]-TODAY()</f>
        <v>126</v>
      </c>
      <c r="M102" s="37" t="str">
        <f t="shared" ca="1" si="5"/>
        <v>NO PRAZO</v>
      </c>
      <c r="N102" s="8" t="s">
        <v>32</v>
      </c>
      <c r="O102" s="38">
        <v>46233</v>
      </c>
      <c r="P102" s="14" t="s">
        <v>58</v>
      </c>
      <c r="Q102" s="8" t="s">
        <v>392</v>
      </c>
      <c r="R102" s="8" t="s">
        <v>18</v>
      </c>
      <c r="S102" s="8" t="s">
        <v>393</v>
      </c>
      <c r="T102" s="8" t="s">
        <v>67</v>
      </c>
      <c r="U102" s="8" t="s">
        <v>502</v>
      </c>
      <c r="V102" s="8" t="s">
        <v>473</v>
      </c>
      <c r="W102" s="8" t="s">
        <v>376</v>
      </c>
      <c r="X102" s="8" t="str">
        <f t="shared" si="4"/>
        <v>AG. FUNDIDO</v>
      </c>
      <c r="Z102" s="40"/>
      <c r="AA102" s="41"/>
      <c r="AB102" s="41"/>
      <c r="AC102" s="41"/>
      <c r="AD102" s="42"/>
    </row>
    <row r="103" spans="1:30" x14ac:dyDescent="0.25">
      <c r="A103" s="13">
        <v>2331</v>
      </c>
      <c r="B103" s="13">
        <v>15</v>
      </c>
      <c r="C103" s="13">
        <v>27611</v>
      </c>
      <c r="D103" s="13">
        <v>15</v>
      </c>
      <c r="E103" s="13" t="s">
        <v>115</v>
      </c>
      <c r="F103" s="13" t="s">
        <v>123</v>
      </c>
      <c r="G103" s="13">
        <v>1</v>
      </c>
      <c r="H103" s="14">
        <v>46295</v>
      </c>
      <c r="J103" s="14">
        <v>46356</v>
      </c>
      <c r="K103" s="14"/>
      <c r="L103" s="37">
        <f ca="1">Tabela1[[#This Row],[Prazo
Entrega]]-TODAY()</f>
        <v>126</v>
      </c>
      <c r="M103" s="37" t="str">
        <f t="shared" ca="1" si="5"/>
        <v>NO PRAZO</v>
      </c>
      <c r="N103" s="8" t="s">
        <v>32</v>
      </c>
      <c r="O103" s="38">
        <v>46233</v>
      </c>
      <c r="P103" s="14" t="s">
        <v>58</v>
      </c>
      <c r="Q103" s="8" t="s">
        <v>392</v>
      </c>
      <c r="R103" s="8" t="s">
        <v>18</v>
      </c>
      <c r="S103" s="8" t="s">
        <v>393</v>
      </c>
      <c r="T103" s="8" t="s">
        <v>67</v>
      </c>
      <c r="U103" s="8" t="s">
        <v>502</v>
      </c>
      <c r="V103" s="8" t="s">
        <v>473</v>
      </c>
      <c r="W103" s="8" t="s">
        <v>376</v>
      </c>
      <c r="X103" s="8" t="str">
        <f t="shared" si="4"/>
        <v>AG. FUNDIDO</v>
      </c>
      <c r="Z103" s="40"/>
      <c r="AA103" s="41"/>
      <c r="AB103" s="41"/>
      <c r="AC103" s="41"/>
      <c r="AD103" s="42"/>
    </row>
    <row r="104" spans="1:30" x14ac:dyDescent="0.25">
      <c r="A104" s="13">
        <v>2331</v>
      </c>
      <c r="B104" s="13">
        <v>16</v>
      </c>
      <c r="C104" s="13">
        <v>27611</v>
      </c>
      <c r="D104" s="13">
        <v>16</v>
      </c>
      <c r="E104" s="13" t="s">
        <v>115</v>
      </c>
      <c r="F104" s="13" t="s">
        <v>123</v>
      </c>
      <c r="G104" s="13">
        <v>1</v>
      </c>
      <c r="H104" s="14">
        <v>46295</v>
      </c>
      <c r="J104" s="14">
        <v>46356</v>
      </c>
      <c r="K104" s="14"/>
      <c r="L104" s="37">
        <f ca="1">Tabela1[[#This Row],[Prazo
Entrega]]-TODAY()</f>
        <v>126</v>
      </c>
      <c r="M104" s="37" t="str">
        <f t="shared" ca="1" si="5"/>
        <v>NO PRAZO</v>
      </c>
      <c r="N104" s="8" t="s">
        <v>32</v>
      </c>
      <c r="O104" s="38">
        <v>46233</v>
      </c>
      <c r="P104" s="14" t="s">
        <v>58</v>
      </c>
      <c r="Q104" s="8" t="s">
        <v>392</v>
      </c>
      <c r="R104" s="8" t="s">
        <v>18</v>
      </c>
      <c r="S104" s="8" t="s">
        <v>393</v>
      </c>
      <c r="T104" s="8" t="s">
        <v>67</v>
      </c>
      <c r="U104" s="8" t="s">
        <v>502</v>
      </c>
      <c r="V104" s="8" t="s">
        <v>473</v>
      </c>
      <c r="W104" s="8" t="s">
        <v>376</v>
      </c>
      <c r="X104" s="8" t="str">
        <f t="shared" ref="X104:X114" si="6">IF(I104="","AG. FUNDIDO",IF(Q104="AG","AG. USINAGEM","EM USINAGEM"))</f>
        <v>AG. FUNDIDO</v>
      </c>
      <c r="Z104" s="40"/>
      <c r="AA104" s="41"/>
      <c r="AB104" s="41"/>
      <c r="AC104" s="41"/>
      <c r="AD104" s="42"/>
    </row>
    <row r="105" spans="1:30" x14ac:dyDescent="0.25">
      <c r="A105" s="13">
        <v>2331</v>
      </c>
      <c r="B105" s="13">
        <v>17</v>
      </c>
      <c r="C105" s="13">
        <v>27611</v>
      </c>
      <c r="D105" s="13">
        <v>17</v>
      </c>
      <c r="E105" s="13" t="s">
        <v>115</v>
      </c>
      <c r="F105" s="13" t="s">
        <v>122</v>
      </c>
      <c r="G105" s="13">
        <v>1</v>
      </c>
      <c r="H105" s="14">
        <v>46295</v>
      </c>
      <c r="J105" s="14">
        <v>46356</v>
      </c>
      <c r="K105" s="14"/>
      <c r="L105" s="37">
        <f ca="1">Tabela1[[#This Row],[Prazo
Entrega]]-TODAY()</f>
        <v>126</v>
      </c>
      <c r="M105" s="37" t="str">
        <f t="shared" ca="1" si="5"/>
        <v>NO PRAZO</v>
      </c>
      <c r="N105" s="8" t="s">
        <v>32</v>
      </c>
      <c r="O105" s="38">
        <v>46233</v>
      </c>
      <c r="P105" s="14" t="s">
        <v>58</v>
      </c>
      <c r="Q105" s="8" t="s">
        <v>392</v>
      </c>
      <c r="R105" s="8" t="s">
        <v>18</v>
      </c>
      <c r="S105" s="8" t="s">
        <v>393</v>
      </c>
      <c r="T105" s="8" t="s">
        <v>67</v>
      </c>
      <c r="U105" s="8" t="s">
        <v>502</v>
      </c>
      <c r="V105" s="8" t="s">
        <v>473</v>
      </c>
      <c r="W105" s="8" t="s">
        <v>376</v>
      </c>
      <c r="X105" s="8" t="str">
        <f t="shared" si="6"/>
        <v>AG. FUNDIDO</v>
      </c>
      <c r="Z105" s="40"/>
      <c r="AA105" s="41"/>
      <c r="AB105" s="41"/>
      <c r="AC105" s="41"/>
      <c r="AD105" s="42"/>
    </row>
    <row r="106" spans="1:30" x14ac:dyDescent="0.25">
      <c r="A106" s="13">
        <v>2331</v>
      </c>
      <c r="B106" s="13">
        <v>18</v>
      </c>
      <c r="C106" s="13">
        <v>27611</v>
      </c>
      <c r="D106" s="13">
        <v>18</v>
      </c>
      <c r="E106" s="13" t="s">
        <v>115</v>
      </c>
      <c r="F106" s="13" t="s">
        <v>123</v>
      </c>
      <c r="G106" s="13">
        <v>1</v>
      </c>
      <c r="H106" s="14">
        <v>46295</v>
      </c>
      <c r="J106" s="14">
        <v>46356</v>
      </c>
      <c r="K106" s="14"/>
      <c r="L106" s="37">
        <f ca="1">Tabela1[[#This Row],[Prazo
Entrega]]-TODAY()</f>
        <v>126</v>
      </c>
      <c r="M106" s="37" t="str">
        <f t="shared" ca="1" si="5"/>
        <v>NO PRAZO</v>
      </c>
      <c r="N106" s="8" t="s">
        <v>32</v>
      </c>
      <c r="O106" s="38">
        <v>46233</v>
      </c>
      <c r="P106" s="14" t="s">
        <v>58</v>
      </c>
      <c r="Q106" s="8" t="s">
        <v>392</v>
      </c>
      <c r="R106" s="8" t="s">
        <v>18</v>
      </c>
      <c r="S106" s="8" t="s">
        <v>393</v>
      </c>
      <c r="T106" s="8" t="s">
        <v>67</v>
      </c>
      <c r="U106" s="8" t="s">
        <v>502</v>
      </c>
      <c r="V106" s="8" t="s">
        <v>473</v>
      </c>
      <c r="W106" s="8" t="s">
        <v>376</v>
      </c>
      <c r="X106" s="8" t="str">
        <f t="shared" si="6"/>
        <v>AG. FUNDIDO</v>
      </c>
      <c r="Z106" s="40"/>
      <c r="AA106" s="41"/>
      <c r="AB106" s="41"/>
      <c r="AC106" s="41"/>
      <c r="AD106" s="42"/>
    </row>
    <row r="107" spans="1:30" x14ac:dyDescent="0.25">
      <c r="A107" s="13">
        <v>2331</v>
      </c>
      <c r="B107" s="13">
        <v>19</v>
      </c>
      <c r="C107" s="13">
        <v>27611</v>
      </c>
      <c r="D107" s="13">
        <v>19</v>
      </c>
      <c r="E107" s="13" t="s">
        <v>115</v>
      </c>
      <c r="F107" s="13" t="s">
        <v>123</v>
      </c>
      <c r="G107" s="13">
        <v>1</v>
      </c>
      <c r="H107" s="14">
        <v>46295</v>
      </c>
      <c r="J107" s="14">
        <v>46356</v>
      </c>
      <c r="K107" s="14"/>
      <c r="L107" s="37">
        <f ca="1">Tabela1[[#This Row],[Prazo
Entrega]]-TODAY()</f>
        <v>126</v>
      </c>
      <c r="M107" s="37" t="str">
        <f t="shared" ca="1" si="5"/>
        <v>NO PRAZO</v>
      </c>
      <c r="N107" s="8" t="s">
        <v>32</v>
      </c>
      <c r="O107" s="38">
        <v>46233</v>
      </c>
      <c r="P107" s="14" t="s">
        <v>58</v>
      </c>
      <c r="Q107" s="8" t="s">
        <v>392</v>
      </c>
      <c r="R107" s="8" t="s">
        <v>18</v>
      </c>
      <c r="S107" s="8" t="s">
        <v>393</v>
      </c>
      <c r="T107" s="8" t="s">
        <v>67</v>
      </c>
      <c r="U107" s="8" t="s">
        <v>502</v>
      </c>
      <c r="V107" s="8" t="s">
        <v>473</v>
      </c>
      <c r="W107" s="8" t="s">
        <v>376</v>
      </c>
      <c r="X107" s="8" t="str">
        <f t="shared" si="6"/>
        <v>AG. FUNDIDO</v>
      </c>
      <c r="Z107" s="40"/>
      <c r="AA107" s="41"/>
      <c r="AB107" s="41"/>
      <c r="AC107" s="41"/>
      <c r="AD107" s="42"/>
    </row>
    <row r="108" spans="1:30" x14ac:dyDescent="0.25">
      <c r="A108" s="13">
        <v>2331</v>
      </c>
      <c r="B108" s="13">
        <v>20</v>
      </c>
      <c r="C108" s="13">
        <v>27611</v>
      </c>
      <c r="D108" s="13">
        <v>20</v>
      </c>
      <c r="E108" s="13" t="s">
        <v>115</v>
      </c>
      <c r="F108" s="13" t="s">
        <v>123</v>
      </c>
      <c r="G108" s="13">
        <v>1</v>
      </c>
      <c r="H108" s="14">
        <v>46295</v>
      </c>
      <c r="J108" s="14">
        <v>46356</v>
      </c>
      <c r="K108" s="14"/>
      <c r="L108" s="37">
        <f ca="1">Tabela1[[#This Row],[Prazo
Entrega]]-TODAY()</f>
        <v>126</v>
      </c>
      <c r="M108" s="37" t="str">
        <f t="shared" ca="1" si="5"/>
        <v>NO PRAZO</v>
      </c>
      <c r="N108" s="8" t="s">
        <v>32</v>
      </c>
      <c r="O108" s="38">
        <v>46233</v>
      </c>
      <c r="P108" s="14" t="s">
        <v>58</v>
      </c>
      <c r="Q108" s="8" t="s">
        <v>392</v>
      </c>
      <c r="R108" s="8" t="s">
        <v>18</v>
      </c>
      <c r="S108" s="8" t="s">
        <v>393</v>
      </c>
      <c r="T108" s="8" t="s">
        <v>67</v>
      </c>
      <c r="U108" s="8" t="s">
        <v>502</v>
      </c>
      <c r="V108" s="8" t="s">
        <v>473</v>
      </c>
      <c r="W108" s="8" t="s">
        <v>376</v>
      </c>
      <c r="X108" s="8" t="str">
        <f t="shared" si="6"/>
        <v>AG. FUNDIDO</v>
      </c>
      <c r="Z108" s="40"/>
      <c r="AA108" s="41"/>
      <c r="AB108" s="41"/>
      <c r="AC108" s="41"/>
      <c r="AD108" s="42"/>
    </row>
    <row r="109" spans="1:30" x14ac:dyDescent="0.25">
      <c r="A109" s="13">
        <v>2331</v>
      </c>
      <c r="B109" s="13">
        <v>21</v>
      </c>
      <c r="C109" s="13">
        <v>27611</v>
      </c>
      <c r="D109" s="13">
        <v>21</v>
      </c>
      <c r="E109" s="13" t="s">
        <v>115</v>
      </c>
      <c r="F109" s="13" t="s">
        <v>123</v>
      </c>
      <c r="G109" s="13">
        <v>1</v>
      </c>
      <c r="H109" s="14">
        <v>46295</v>
      </c>
      <c r="J109" s="14">
        <v>46356</v>
      </c>
      <c r="K109" s="14"/>
      <c r="L109" s="37">
        <f ca="1">Tabela1[[#This Row],[Prazo
Entrega]]-TODAY()</f>
        <v>126</v>
      </c>
      <c r="M109" s="37" t="str">
        <f t="shared" ca="1" si="5"/>
        <v>NO PRAZO</v>
      </c>
      <c r="N109" s="8" t="s">
        <v>32</v>
      </c>
      <c r="O109" s="38">
        <v>46233</v>
      </c>
      <c r="P109" s="14" t="s">
        <v>58</v>
      </c>
      <c r="Q109" s="8" t="s">
        <v>392</v>
      </c>
      <c r="R109" s="8" t="s">
        <v>18</v>
      </c>
      <c r="S109" s="8" t="s">
        <v>393</v>
      </c>
      <c r="T109" s="8" t="s">
        <v>67</v>
      </c>
      <c r="U109" s="8" t="s">
        <v>502</v>
      </c>
      <c r="V109" s="8" t="s">
        <v>473</v>
      </c>
      <c r="W109" s="8" t="s">
        <v>376</v>
      </c>
      <c r="X109" s="8" t="str">
        <f t="shared" si="6"/>
        <v>AG. FUNDIDO</v>
      </c>
      <c r="Z109" s="40"/>
      <c r="AA109" s="41"/>
      <c r="AB109" s="41"/>
      <c r="AC109" s="41"/>
      <c r="AD109" s="42"/>
    </row>
    <row r="110" spans="1:30" x14ac:dyDescent="0.25">
      <c r="A110" s="13">
        <v>2333</v>
      </c>
      <c r="B110" s="13">
        <v>58</v>
      </c>
      <c r="C110" s="13">
        <v>27616</v>
      </c>
      <c r="D110" s="13">
        <v>52</v>
      </c>
      <c r="E110" s="13" t="s">
        <v>127</v>
      </c>
      <c r="F110" s="13" t="s">
        <v>128</v>
      </c>
      <c r="G110" s="13">
        <v>1</v>
      </c>
      <c r="H110" s="14">
        <v>46269</v>
      </c>
      <c r="J110" s="14">
        <v>46325</v>
      </c>
      <c r="K110" s="14"/>
      <c r="L110" s="37">
        <f ca="1">Tabela1[[#This Row],[Prazo
Entrega]]-TODAY()</f>
        <v>95</v>
      </c>
      <c r="M110" s="37" t="str">
        <f t="shared" ca="1" si="5"/>
        <v>NO PRAZO</v>
      </c>
      <c r="N110" s="8" t="s">
        <v>32</v>
      </c>
      <c r="O110" s="38">
        <v>46233</v>
      </c>
      <c r="P110" s="14" t="s">
        <v>58</v>
      </c>
      <c r="Q110" s="8" t="s">
        <v>392</v>
      </c>
      <c r="R110" s="8" t="s">
        <v>18</v>
      </c>
      <c r="S110" s="8" t="s">
        <v>393</v>
      </c>
      <c r="T110" s="8" t="s">
        <v>67</v>
      </c>
      <c r="U110" s="8" t="s">
        <v>502</v>
      </c>
      <c r="V110" s="8" t="s">
        <v>473</v>
      </c>
      <c r="W110" s="8" t="s">
        <v>376</v>
      </c>
      <c r="X110" s="8" t="str">
        <f t="shared" si="6"/>
        <v>AG. FUNDIDO</v>
      </c>
      <c r="Z110" s="40"/>
      <c r="AA110" s="41"/>
      <c r="AB110" s="41"/>
      <c r="AC110" s="41"/>
      <c r="AD110" s="42"/>
    </row>
    <row r="111" spans="1:30" x14ac:dyDescent="0.25">
      <c r="A111" s="13">
        <v>2333</v>
      </c>
      <c r="B111" s="13">
        <v>59</v>
      </c>
      <c r="C111" s="13">
        <v>27616</v>
      </c>
      <c r="D111" s="13">
        <v>53</v>
      </c>
      <c r="E111" s="13" t="s">
        <v>127</v>
      </c>
      <c r="F111" s="13" t="s">
        <v>128</v>
      </c>
      <c r="G111" s="13">
        <v>1</v>
      </c>
      <c r="H111" s="14">
        <v>46269</v>
      </c>
      <c r="J111" s="14">
        <v>46325</v>
      </c>
      <c r="K111" s="14"/>
      <c r="L111" s="37">
        <f ca="1">Tabela1[[#This Row],[Prazo
Entrega]]-TODAY()</f>
        <v>95</v>
      </c>
      <c r="M111" s="37" t="str">
        <f t="shared" ca="1" si="5"/>
        <v>NO PRAZO</v>
      </c>
      <c r="N111" s="8" t="s">
        <v>32</v>
      </c>
      <c r="O111" s="38">
        <v>46233</v>
      </c>
      <c r="P111" s="14" t="s">
        <v>58</v>
      </c>
      <c r="Q111" s="8" t="s">
        <v>392</v>
      </c>
      <c r="R111" s="8" t="s">
        <v>18</v>
      </c>
      <c r="S111" s="8" t="s">
        <v>393</v>
      </c>
      <c r="T111" s="8" t="s">
        <v>67</v>
      </c>
      <c r="U111" s="8" t="s">
        <v>502</v>
      </c>
      <c r="V111" s="8" t="s">
        <v>473</v>
      </c>
      <c r="W111" s="8" t="s">
        <v>376</v>
      </c>
      <c r="X111" s="8" t="str">
        <f t="shared" si="6"/>
        <v>AG. FUNDIDO</v>
      </c>
      <c r="Z111" s="40"/>
      <c r="AA111" s="41"/>
      <c r="AB111" s="41"/>
      <c r="AC111" s="41"/>
      <c r="AD111" s="42"/>
    </row>
    <row r="112" spans="1:30" x14ac:dyDescent="0.25">
      <c r="A112" s="13">
        <v>2333</v>
      </c>
      <c r="B112" s="13">
        <v>60</v>
      </c>
      <c r="C112" s="13">
        <v>27616</v>
      </c>
      <c r="D112" s="13">
        <v>54</v>
      </c>
      <c r="E112" s="13" t="s">
        <v>127</v>
      </c>
      <c r="F112" s="13" t="s">
        <v>128</v>
      </c>
      <c r="G112" s="13">
        <v>1</v>
      </c>
      <c r="H112" s="14">
        <v>46269</v>
      </c>
      <c r="J112" s="14">
        <v>46325</v>
      </c>
      <c r="K112" s="14"/>
      <c r="L112" s="37">
        <f ca="1">Tabela1[[#This Row],[Prazo
Entrega]]-TODAY()</f>
        <v>95</v>
      </c>
      <c r="M112" s="37" t="str">
        <f t="shared" ca="1" si="5"/>
        <v>NO PRAZO</v>
      </c>
      <c r="N112" s="8" t="s">
        <v>32</v>
      </c>
      <c r="O112" s="38">
        <v>46233</v>
      </c>
      <c r="P112" s="14" t="s">
        <v>58</v>
      </c>
      <c r="Q112" s="8" t="s">
        <v>392</v>
      </c>
      <c r="R112" s="8" t="s">
        <v>18</v>
      </c>
      <c r="S112" s="8" t="s">
        <v>393</v>
      </c>
      <c r="T112" s="8" t="s">
        <v>67</v>
      </c>
      <c r="U112" s="8" t="s">
        <v>502</v>
      </c>
      <c r="V112" s="8" t="s">
        <v>473</v>
      </c>
      <c r="W112" s="8" t="s">
        <v>376</v>
      </c>
      <c r="X112" s="8" t="str">
        <f t="shared" si="6"/>
        <v>AG. FUNDIDO</v>
      </c>
      <c r="Z112" s="40"/>
      <c r="AA112" s="41"/>
      <c r="AB112" s="41"/>
      <c r="AC112" s="41"/>
      <c r="AD112" s="42"/>
    </row>
    <row r="113" spans="1:30" x14ac:dyDescent="0.25">
      <c r="A113" s="13">
        <v>2333</v>
      </c>
      <c r="B113" s="13">
        <v>61</v>
      </c>
      <c r="C113" s="13">
        <v>27616</v>
      </c>
      <c r="D113" s="13">
        <v>55</v>
      </c>
      <c r="E113" s="13" t="s">
        <v>127</v>
      </c>
      <c r="F113" s="13" t="s">
        <v>128</v>
      </c>
      <c r="G113" s="13">
        <v>1</v>
      </c>
      <c r="H113" s="14">
        <v>46269</v>
      </c>
      <c r="J113" s="14">
        <v>46325</v>
      </c>
      <c r="K113" s="14"/>
      <c r="L113" s="37">
        <f ca="1">Tabela1[[#This Row],[Prazo
Entrega]]-TODAY()</f>
        <v>95</v>
      </c>
      <c r="M113" s="37" t="str">
        <f t="shared" ca="1" si="5"/>
        <v>NO PRAZO</v>
      </c>
      <c r="N113" s="8" t="s">
        <v>32</v>
      </c>
      <c r="O113" s="38">
        <v>46233</v>
      </c>
      <c r="P113" s="14" t="s">
        <v>58</v>
      </c>
      <c r="Q113" s="8" t="s">
        <v>392</v>
      </c>
      <c r="R113" s="8" t="s">
        <v>18</v>
      </c>
      <c r="S113" s="8" t="s">
        <v>393</v>
      </c>
      <c r="T113" s="8" t="s">
        <v>67</v>
      </c>
      <c r="U113" s="8" t="s">
        <v>502</v>
      </c>
      <c r="V113" s="8" t="s">
        <v>473</v>
      </c>
      <c r="W113" s="8" t="s">
        <v>376</v>
      </c>
      <c r="X113" s="8" t="str">
        <f t="shared" si="6"/>
        <v>AG. FUNDIDO</v>
      </c>
      <c r="Z113" s="40"/>
      <c r="AA113" s="41"/>
      <c r="AB113" s="41"/>
      <c r="AC113" s="41"/>
      <c r="AD113" s="42"/>
    </row>
    <row r="114" spans="1:30" x14ac:dyDescent="0.25">
      <c r="A114" s="13">
        <v>2333</v>
      </c>
      <c r="B114" s="13">
        <v>62</v>
      </c>
      <c r="C114" s="13">
        <v>27616</v>
      </c>
      <c r="D114" s="13">
        <v>56</v>
      </c>
      <c r="E114" s="13" t="s">
        <v>127</v>
      </c>
      <c r="F114" s="13" t="s">
        <v>128</v>
      </c>
      <c r="G114" s="13">
        <v>1</v>
      </c>
      <c r="H114" s="14">
        <v>46269</v>
      </c>
      <c r="J114" s="14">
        <v>46325</v>
      </c>
      <c r="K114" s="14"/>
      <c r="L114" s="37">
        <f ca="1">Tabela1[[#This Row],[Prazo
Entrega]]-TODAY()</f>
        <v>95</v>
      </c>
      <c r="M114" s="37" t="str">
        <f t="shared" ca="1" si="5"/>
        <v>NO PRAZO</v>
      </c>
      <c r="N114" s="8" t="s">
        <v>32</v>
      </c>
      <c r="O114" s="38">
        <v>46233</v>
      </c>
      <c r="P114" s="14" t="s">
        <v>58</v>
      </c>
      <c r="Q114" s="8" t="s">
        <v>392</v>
      </c>
      <c r="R114" s="8" t="s">
        <v>18</v>
      </c>
      <c r="S114" s="8" t="s">
        <v>393</v>
      </c>
      <c r="T114" s="8" t="s">
        <v>67</v>
      </c>
      <c r="U114" s="8" t="s">
        <v>502</v>
      </c>
      <c r="V114" s="8" t="s">
        <v>473</v>
      </c>
      <c r="W114" s="8" t="s">
        <v>376</v>
      </c>
      <c r="X114" s="8" t="str">
        <f t="shared" si="6"/>
        <v>AG. FUNDIDO</v>
      </c>
      <c r="Z114" s="40"/>
      <c r="AA114" s="41"/>
      <c r="AB114" s="41"/>
      <c r="AC114" s="41"/>
      <c r="AD114" s="42"/>
    </row>
    <row r="115" spans="1:30" x14ac:dyDescent="0.25">
      <c r="A115" s="13">
        <v>2358</v>
      </c>
      <c r="B115" s="13">
        <v>19</v>
      </c>
      <c r="C115" s="13">
        <v>27654</v>
      </c>
      <c r="D115" s="13">
        <v>19</v>
      </c>
      <c r="E115" s="13" t="s">
        <v>106</v>
      </c>
      <c r="F115" s="13" t="s">
        <v>123</v>
      </c>
      <c r="G115" s="13">
        <v>1</v>
      </c>
      <c r="H115" s="14">
        <v>46295</v>
      </c>
      <c r="J115" s="14">
        <v>46386</v>
      </c>
      <c r="K115" s="14"/>
      <c r="L115" s="37">
        <f ca="1">Tabela1[[#This Row],[Prazo
Entrega]]-TODAY()</f>
        <v>156</v>
      </c>
      <c r="M115" s="37" t="str">
        <f ca="1">IF(L115&lt;0,"ATRASADO",IF(L115&lt;=15,"ATENÇÃO","NO PRAZO"))</f>
        <v>NO PRAZO</v>
      </c>
      <c r="N115" s="8" t="s">
        <v>32</v>
      </c>
      <c r="O115" s="38">
        <v>46233</v>
      </c>
      <c r="P115" s="14" t="s">
        <v>58</v>
      </c>
      <c r="Q115" s="8" t="s">
        <v>392</v>
      </c>
      <c r="R115" s="8" t="s">
        <v>18</v>
      </c>
      <c r="S115" s="8" t="s">
        <v>393</v>
      </c>
      <c r="T115" s="8" t="s">
        <v>67</v>
      </c>
      <c r="U115" s="8" t="s">
        <v>502</v>
      </c>
      <c r="V115" s="8" t="s">
        <v>473</v>
      </c>
      <c r="W115" s="8" t="s">
        <v>376</v>
      </c>
      <c r="X115" s="8" t="str">
        <f>IF(I115="","AG. FUNDIDO",IF(Q115="AG","AG. USINAGEM","EM USINAGEM"))</f>
        <v>AG. FUNDIDO</v>
      </c>
      <c r="Z115" s="40"/>
      <c r="AA115" s="41"/>
      <c r="AB115" s="41"/>
      <c r="AC115" s="41"/>
      <c r="AD115" s="42"/>
    </row>
    <row r="116" spans="1:30" x14ac:dyDescent="0.25">
      <c r="A116" s="13">
        <v>2358</v>
      </c>
      <c r="B116" s="13">
        <v>20</v>
      </c>
      <c r="C116" s="13">
        <v>27654</v>
      </c>
      <c r="D116" s="13">
        <v>20</v>
      </c>
      <c r="E116" s="13" t="s">
        <v>106</v>
      </c>
      <c r="F116" s="13" t="s">
        <v>123</v>
      </c>
      <c r="G116" s="13">
        <v>1</v>
      </c>
      <c r="H116" s="14">
        <v>46295</v>
      </c>
      <c r="J116" s="14">
        <v>46386</v>
      </c>
      <c r="K116" s="14"/>
      <c r="L116" s="37">
        <f ca="1">Tabela1[[#This Row],[Prazo
Entrega]]-TODAY()</f>
        <v>156</v>
      </c>
      <c r="M116" s="37" t="str">
        <f t="shared" ref="M116:M120" ca="1" si="7">IF(L116&lt;0,"ATRASADO",IF(L116&lt;=15,"ATENÇÃO","NO PRAZO"))</f>
        <v>NO PRAZO</v>
      </c>
      <c r="N116" s="8" t="s">
        <v>32</v>
      </c>
      <c r="O116" s="38">
        <v>46233</v>
      </c>
      <c r="P116" s="14" t="s">
        <v>58</v>
      </c>
      <c r="Q116" s="8" t="s">
        <v>392</v>
      </c>
      <c r="R116" s="8" t="s">
        <v>18</v>
      </c>
      <c r="S116" s="8" t="s">
        <v>393</v>
      </c>
      <c r="T116" s="8" t="s">
        <v>67</v>
      </c>
      <c r="U116" s="8" t="s">
        <v>502</v>
      </c>
      <c r="V116" s="8" t="s">
        <v>473</v>
      </c>
      <c r="W116" s="8" t="s">
        <v>376</v>
      </c>
      <c r="X116" s="8" t="str">
        <f t="shared" ref="X116:X120" si="8">IF(I116="","AG. FUNDIDO",IF(Q116="AG","AG. USINAGEM","EM USINAGEM"))</f>
        <v>AG. FUNDIDO</v>
      </c>
      <c r="Z116" s="40"/>
      <c r="AA116" s="41"/>
      <c r="AB116" s="41"/>
      <c r="AC116" s="41"/>
      <c r="AD116" s="42"/>
    </row>
    <row r="117" spans="1:30" x14ac:dyDescent="0.25">
      <c r="A117" s="13">
        <v>2358</v>
      </c>
      <c r="B117" s="13">
        <v>21</v>
      </c>
      <c r="C117" s="13">
        <v>27654</v>
      </c>
      <c r="D117" s="13">
        <v>21</v>
      </c>
      <c r="E117" s="13" t="s">
        <v>106</v>
      </c>
      <c r="F117" s="13" t="s">
        <v>513</v>
      </c>
      <c r="G117" s="13">
        <v>1</v>
      </c>
      <c r="H117" s="14">
        <v>46295</v>
      </c>
      <c r="J117" s="14">
        <v>46386</v>
      </c>
      <c r="K117" s="14"/>
      <c r="L117" s="37">
        <f ca="1">Tabela1[[#This Row],[Prazo
Entrega]]-TODAY()</f>
        <v>156</v>
      </c>
      <c r="M117" s="37" t="str">
        <f t="shared" ca="1" si="7"/>
        <v>NO PRAZO</v>
      </c>
      <c r="N117" s="8" t="s">
        <v>32</v>
      </c>
      <c r="O117" s="38">
        <v>46233</v>
      </c>
      <c r="P117" s="14" t="s">
        <v>58</v>
      </c>
      <c r="Q117" s="8" t="s">
        <v>392</v>
      </c>
      <c r="R117" s="8" t="s">
        <v>18</v>
      </c>
      <c r="S117" s="8" t="s">
        <v>393</v>
      </c>
      <c r="T117" s="8" t="s">
        <v>67</v>
      </c>
      <c r="U117" s="8" t="s">
        <v>502</v>
      </c>
      <c r="V117" s="8" t="s">
        <v>473</v>
      </c>
      <c r="W117" s="8" t="s">
        <v>376</v>
      </c>
      <c r="X117" s="8" t="str">
        <f t="shared" si="8"/>
        <v>AG. FUNDIDO</v>
      </c>
      <c r="Z117" s="40"/>
      <c r="AA117" s="41"/>
      <c r="AB117" s="41"/>
      <c r="AC117" s="41"/>
      <c r="AD117" s="42"/>
    </row>
    <row r="118" spans="1:30" x14ac:dyDescent="0.25">
      <c r="A118" s="13">
        <v>2358</v>
      </c>
      <c r="B118" s="13">
        <v>22</v>
      </c>
      <c r="C118" s="13">
        <v>27654</v>
      </c>
      <c r="D118" s="13">
        <v>22</v>
      </c>
      <c r="E118" s="13" t="s">
        <v>106</v>
      </c>
      <c r="F118" s="13" t="s">
        <v>122</v>
      </c>
      <c r="G118" s="13">
        <v>1</v>
      </c>
      <c r="H118" s="14">
        <v>46295</v>
      </c>
      <c r="J118" s="14">
        <v>46386</v>
      </c>
      <c r="K118" s="14"/>
      <c r="L118" s="37">
        <f ca="1">Tabela1[[#This Row],[Prazo
Entrega]]-TODAY()</f>
        <v>156</v>
      </c>
      <c r="M118" s="37" t="str">
        <f t="shared" ca="1" si="7"/>
        <v>NO PRAZO</v>
      </c>
      <c r="N118" s="8" t="s">
        <v>32</v>
      </c>
      <c r="O118" s="38">
        <v>46233</v>
      </c>
      <c r="P118" s="14" t="s">
        <v>58</v>
      </c>
      <c r="Q118" s="8" t="s">
        <v>392</v>
      </c>
      <c r="R118" s="8" t="s">
        <v>18</v>
      </c>
      <c r="S118" s="8" t="s">
        <v>393</v>
      </c>
      <c r="T118" s="8" t="s">
        <v>67</v>
      </c>
      <c r="U118" s="8" t="s">
        <v>502</v>
      </c>
      <c r="V118" s="8" t="s">
        <v>473</v>
      </c>
      <c r="W118" s="8" t="s">
        <v>376</v>
      </c>
      <c r="X118" s="8" t="str">
        <f t="shared" si="8"/>
        <v>AG. FUNDIDO</v>
      </c>
      <c r="Z118" s="40"/>
      <c r="AA118" s="41"/>
      <c r="AB118" s="41"/>
      <c r="AC118" s="41"/>
      <c r="AD118" s="42"/>
    </row>
    <row r="119" spans="1:30" x14ac:dyDescent="0.25">
      <c r="A119" s="13">
        <v>2358</v>
      </c>
      <c r="B119" s="13">
        <v>23</v>
      </c>
      <c r="C119" s="13">
        <v>27654</v>
      </c>
      <c r="D119" s="13">
        <v>23</v>
      </c>
      <c r="E119" s="13" t="s">
        <v>106</v>
      </c>
      <c r="F119" s="13" t="s">
        <v>514</v>
      </c>
      <c r="G119" s="13">
        <v>1</v>
      </c>
      <c r="H119" s="14">
        <v>46295</v>
      </c>
      <c r="J119" s="14">
        <v>46386</v>
      </c>
      <c r="K119" s="14"/>
      <c r="L119" s="37">
        <f ca="1">Tabela1[[#This Row],[Prazo
Entrega]]-TODAY()</f>
        <v>156</v>
      </c>
      <c r="M119" s="37" t="str">
        <f t="shared" ca="1" si="7"/>
        <v>NO PRAZO</v>
      </c>
      <c r="N119" s="8" t="s">
        <v>32</v>
      </c>
      <c r="O119" s="38">
        <v>46233</v>
      </c>
      <c r="P119" s="14" t="s">
        <v>58</v>
      </c>
      <c r="Q119" s="8" t="s">
        <v>392</v>
      </c>
      <c r="R119" s="8" t="s">
        <v>18</v>
      </c>
      <c r="S119" s="8" t="s">
        <v>393</v>
      </c>
      <c r="T119" s="8" t="s">
        <v>67</v>
      </c>
      <c r="U119" s="8" t="s">
        <v>502</v>
      </c>
      <c r="V119" s="8" t="s">
        <v>473</v>
      </c>
      <c r="W119" s="8" t="s">
        <v>376</v>
      </c>
      <c r="X119" s="8" t="str">
        <f t="shared" si="8"/>
        <v>AG. FUNDIDO</v>
      </c>
      <c r="Z119" s="40"/>
      <c r="AA119" s="41"/>
      <c r="AB119" s="41"/>
      <c r="AC119" s="41"/>
      <c r="AD119" s="42"/>
    </row>
    <row r="120" spans="1:30" x14ac:dyDescent="0.25">
      <c r="A120" s="13">
        <v>2358</v>
      </c>
      <c r="B120" s="13">
        <v>24</v>
      </c>
      <c r="C120" s="13">
        <v>27654</v>
      </c>
      <c r="D120" s="13">
        <v>24</v>
      </c>
      <c r="E120" s="13" t="s">
        <v>106</v>
      </c>
      <c r="F120" s="13" t="s">
        <v>122</v>
      </c>
      <c r="G120" s="13">
        <v>1</v>
      </c>
      <c r="H120" s="14">
        <v>46295</v>
      </c>
      <c r="J120" s="14">
        <v>46386</v>
      </c>
      <c r="K120" s="14"/>
      <c r="L120" s="37">
        <f ca="1">Tabela1[[#This Row],[Prazo
Entrega]]-TODAY()</f>
        <v>156</v>
      </c>
      <c r="M120" s="37" t="str">
        <f t="shared" ca="1" si="7"/>
        <v>NO PRAZO</v>
      </c>
      <c r="N120" s="8" t="s">
        <v>32</v>
      </c>
      <c r="O120" s="38">
        <v>46233</v>
      </c>
      <c r="P120" s="14" t="s">
        <v>58</v>
      </c>
      <c r="Q120" s="8" t="s">
        <v>392</v>
      </c>
      <c r="R120" s="8" t="s">
        <v>18</v>
      </c>
      <c r="S120" s="8" t="s">
        <v>393</v>
      </c>
      <c r="T120" s="8" t="s">
        <v>67</v>
      </c>
      <c r="U120" s="8" t="s">
        <v>502</v>
      </c>
      <c r="V120" s="8" t="s">
        <v>473</v>
      </c>
      <c r="W120" s="8" t="s">
        <v>376</v>
      </c>
      <c r="X120" s="8" t="str">
        <f t="shared" si="8"/>
        <v>AG. FUNDIDO</v>
      </c>
      <c r="Z120" s="40"/>
      <c r="AA120" s="41"/>
      <c r="AB120" s="41"/>
      <c r="AC120" s="41"/>
      <c r="AD120" s="42"/>
    </row>
  </sheetData>
  <pageMargins left="0.23622047244094491" right="0.23622047244094491" top="0.74803149606299213" bottom="0.74803149606299213" header="0.31496062992125984" footer="0.31496062992125984"/>
  <pageSetup paperSize="9" scale="55" orientation="landscape" r:id="rId1"/>
  <colBreaks count="1" manualBreakCount="1">
    <brk id="25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53A7-2FDA-4BCA-8A08-44A595E3BEFC}">
  <dimension ref="A1:W214"/>
  <sheetViews>
    <sheetView workbookViewId="0">
      <selection activeCell="M213" sqref="M213"/>
    </sheetView>
  </sheetViews>
  <sheetFormatPr defaultRowHeight="15" x14ac:dyDescent="0.25"/>
  <cols>
    <col min="1" max="4" width="9.140625" style="1"/>
    <col min="5" max="5" width="31" style="1" customWidth="1"/>
    <col min="6" max="6" width="43.28515625" style="1" bestFit="1" customWidth="1"/>
    <col min="7" max="7" width="9.140625" style="1"/>
    <col min="8" max="10" width="10.42578125" style="1" bestFit="1" customWidth="1"/>
    <col min="11" max="11" width="12.28515625" style="1" bestFit="1" customWidth="1"/>
    <col min="12" max="12" width="12" style="1" customWidth="1"/>
    <col min="13" max="13" width="10.42578125" style="11" bestFit="1" customWidth="1"/>
    <col min="14" max="14" width="11.7109375" style="1" customWidth="1"/>
    <col min="15" max="15" width="9.140625" style="1"/>
    <col min="16" max="16" width="15.42578125" style="1" bestFit="1" customWidth="1"/>
    <col min="17" max="21" width="15.42578125" style="1" customWidth="1"/>
    <col min="22" max="22" width="18.28515625" style="1" customWidth="1"/>
    <col min="23" max="23" width="32" style="1" customWidth="1"/>
    <col min="24" max="16384" width="9.140625" style="1"/>
  </cols>
  <sheetData>
    <row r="1" spans="1:23" ht="30" x14ac:dyDescent="0.25">
      <c r="A1" s="97" t="s">
        <v>7</v>
      </c>
      <c r="B1" s="97" t="s">
        <v>1</v>
      </c>
      <c r="C1" s="98" t="s">
        <v>494</v>
      </c>
      <c r="D1" s="97" t="s">
        <v>5</v>
      </c>
      <c r="E1" s="97" t="s">
        <v>3</v>
      </c>
      <c r="F1" s="97" t="s">
        <v>6</v>
      </c>
      <c r="G1" s="97" t="s">
        <v>2</v>
      </c>
      <c r="H1" s="98" t="s">
        <v>54</v>
      </c>
      <c r="I1" s="98" t="s">
        <v>12</v>
      </c>
      <c r="J1" s="98" t="s">
        <v>53</v>
      </c>
      <c r="K1" s="98" t="s">
        <v>13</v>
      </c>
      <c r="L1" s="95" t="s">
        <v>84</v>
      </c>
      <c r="M1" s="98" t="s">
        <v>68</v>
      </c>
      <c r="N1" s="98" t="s">
        <v>55</v>
      </c>
      <c r="O1" s="98" t="s">
        <v>52</v>
      </c>
      <c r="P1" s="98" t="s">
        <v>31</v>
      </c>
      <c r="Q1" s="98" t="s">
        <v>234</v>
      </c>
      <c r="R1" s="98" t="s">
        <v>235</v>
      </c>
      <c r="S1" s="98" t="s">
        <v>236</v>
      </c>
      <c r="T1" s="98" t="s">
        <v>237</v>
      </c>
      <c r="U1" s="98" t="s">
        <v>238</v>
      </c>
      <c r="V1" s="98" t="s">
        <v>47</v>
      </c>
      <c r="W1" s="98" t="s">
        <v>59</v>
      </c>
    </row>
    <row r="2" spans="1:23" hidden="1" x14ac:dyDescent="0.25">
      <c r="A2" s="8">
        <v>2226</v>
      </c>
      <c r="B2" s="8">
        <v>7</v>
      </c>
      <c r="C2" s="8">
        <v>1495052</v>
      </c>
      <c r="D2" s="8">
        <v>1</v>
      </c>
      <c r="E2" s="8" t="s">
        <v>14</v>
      </c>
      <c r="F2" s="8" t="s">
        <v>57</v>
      </c>
      <c r="G2" s="8">
        <v>1</v>
      </c>
      <c r="H2" s="9">
        <v>46185</v>
      </c>
      <c r="I2" s="9">
        <v>46188</v>
      </c>
      <c r="J2" s="9">
        <v>46211</v>
      </c>
      <c r="K2" s="9"/>
      <c r="L2" s="8" t="s">
        <v>56</v>
      </c>
      <c r="M2" s="8" t="s">
        <v>56</v>
      </c>
      <c r="N2" s="10" t="s">
        <v>56</v>
      </c>
      <c r="O2" s="8" t="str">
        <f t="shared" ref="O2:O33" si="0">IF(N2&lt;0,"ATRASADO",IF(N2&lt;=15,"ATENÇÃO","NO PRAZO"))</f>
        <v>NO PRAZO</v>
      </c>
      <c r="P2" s="8" t="s">
        <v>32</v>
      </c>
      <c r="Q2" s="93" t="s">
        <v>495</v>
      </c>
      <c r="R2" s="93" t="s">
        <v>496</v>
      </c>
      <c r="S2" s="93" t="s">
        <v>231</v>
      </c>
      <c r="T2" s="93" t="s">
        <v>374</v>
      </c>
      <c r="U2" s="96"/>
      <c r="V2" s="8" t="s">
        <v>305</v>
      </c>
      <c r="W2" s="8"/>
    </row>
    <row r="3" spans="1:23" hidden="1" x14ac:dyDescent="0.25">
      <c r="A3" s="8">
        <v>2226</v>
      </c>
      <c r="B3" s="8">
        <v>8</v>
      </c>
      <c r="C3" s="8">
        <v>1495052</v>
      </c>
      <c r="D3" s="8">
        <v>2</v>
      </c>
      <c r="E3" s="8" t="s">
        <v>14</v>
      </c>
      <c r="F3" s="8" t="s">
        <v>57</v>
      </c>
      <c r="G3" s="8">
        <v>1</v>
      </c>
      <c r="H3" s="9">
        <v>46185</v>
      </c>
      <c r="I3" s="9">
        <v>46188</v>
      </c>
      <c r="J3" s="9">
        <v>46211</v>
      </c>
      <c r="K3" s="9"/>
      <c r="L3" s="8" t="s">
        <v>56</v>
      </c>
      <c r="M3" s="8" t="s">
        <v>56</v>
      </c>
      <c r="N3" s="10" t="s">
        <v>56</v>
      </c>
      <c r="O3" s="8" t="str">
        <f t="shared" si="0"/>
        <v>NO PRAZO</v>
      </c>
      <c r="P3" s="8" t="s">
        <v>32</v>
      </c>
      <c r="Q3" s="93" t="s">
        <v>495</v>
      </c>
      <c r="R3" s="93" t="s">
        <v>496</v>
      </c>
      <c r="S3" s="93" t="s">
        <v>231</v>
      </c>
      <c r="T3" s="93" t="s">
        <v>374</v>
      </c>
      <c r="U3" s="96"/>
      <c r="V3" s="8" t="s">
        <v>305</v>
      </c>
      <c r="W3" s="8"/>
    </row>
    <row r="4" spans="1:23" hidden="1" x14ac:dyDescent="0.25">
      <c r="A4" s="8">
        <v>2226</v>
      </c>
      <c r="B4" s="8">
        <v>9</v>
      </c>
      <c r="C4" s="8">
        <v>1495052</v>
      </c>
      <c r="D4" s="8">
        <v>3</v>
      </c>
      <c r="E4" s="8" t="s">
        <v>14</v>
      </c>
      <c r="F4" s="8" t="s">
        <v>57</v>
      </c>
      <c r="G4" s="8">
        <v>1</v>
      </c>
      <c r="H4" s="9">
        <v>46185</v>
      </c>
      <c r="I4" s="9">
        <v>46188</v>
      </c>
      <c r="J4" s="9">
        <v>46211</v>
      </c>
      <c r="K4" s="9"/>
      <c r="L4" s="8" t="s">
        <v>56</v>
      </c>
      <c r="M4" s="8" t="s">
        <v>56</v>
      </c>
      <c r="N4" s="10" t="s">
        <v>56</v>
      </c>
      <c r="O4" s="8" t="str">
        <f t="shared" si="0"/>
        <v>NO PRAZO</v>
      </c>
      <c r="P4" s="8" t="s">
        <v>32</v>
      </c>
      <c r="Q4" s="93" t="s">
        <v>495</v>
      </c>
      <c r="R4" s="93" t="s">
        <v>496</v>
      </c>
      <c r="S4" s="93" t="s">
        <v>231</v>
      </c>
      <c r="T4" s="93" t="s">
        <v>374</v>
      </c>
      <c r="U4" s="96"/>
      <c r="V4" s="8" t="s">
        <v>305</v>
      </c>
      <c r="W4" s="8"/>
    </row>
    <row r="5" spans="1:23" hidden="1" x14ac:dyDescent="0.25">
      <c r="A5" s="8">
        <v>2226</v>
      </c>
      <c r="B5" s="8">
        <v>10</v>
      </c>
      <c r="C5" s="8">
        <v>1495052</v>
      </c>
      <c r="D5" s="8">
        <v>4</v>
      </c>
      <c r="E5" s="8" t="s">
        <v>14</v>
      </c>
      <c r="F5" s="8" t="s">
        <v>57</v>
      </c>
      <c r="G5" s="8">
        <v>1</v>
      </c>
      <c r="H5" s="9">
        <v>46185</v>
      </c>
      <c r="I5" s="9">
        <v>46188</v>
      </c>
      <c r="J5" s="9">
        <v>46211</v>
      </c>
      <c r="K5" s="9"/>
      <c r="L5" s="8" t="s">
        <v>56</v>
      </c>
      <c r="M5" s="8" t="s">
        <v>56</v>
      </c>
      <c r="N5" s="10" t="s">
        <v>56</v>
      </c>
      <c r="O5" s="8" t="str">
        <f t="shared" si="0"/>
        <v>NO PRAZO</v>
      </c>
      <c r="P5" s="8" t="s">
        <v>32</v>
      </c>
      <c r="Q5" s="93" t="s">
        <v>495</v>
      </c>
      <c r="R5" s="93" t="s">
        <v>496</v>
      </c>
      <c r="S5" s="93" t="s">
        <v>231</v>
      </c>
      <c r="T5" s="93" t="s">
        <v>374</v>
      </c>
      <c r="U5" s="96"/>
      <c r="V5" s="8" t="s">
        <v>305</v>
      </c>
      <c r="W5" s="8"/>
    </row>
    <row r="6" spans="1:23" hidden="1" x14ac:dyDescent="0.25">
      <c r="A6" s="8">
        <v>2226</v>
      </c>
      <c r="B6" s="8">
        <v>11</v>
      </c>
      <c r="C6" s="8">
        <v>1495052</v>
      </c>
      <c r="D6" s="8">
        <v>5</v>
      </c>
      <c r="E6" s="8" t="s">
        <v>14</v>
      </c>
      <c r="F6" s="8" t="s">
        <v>57</v>
      </c>
      <c r="G6" s="8">
        <v>1</v>
      </c>
      <c r="H6" s="9">
        <v>46185</v>
      </c>
      <c r="I6" s="9">
        <v>46188</v>
      </c>
      <c r="J6" s="9">
        <v>46211</v>
      </c>
      <c r="K6" s="9"/>
      <c r="L6" s="8" t="s">
        <v>56</v>
      </c>
      <c r="M6" s="8" t="s">
        <v>56</v>
      </c>
      <c r="N6" s="10" t="s">
        <v>56</v>
      </c>
      <c r="O6" s="8" t="str">
        <f t="shared" si="0"/>
        <v>NO PRAZO</v>
      </c>
      <c r="P6" s="8" t="s">
        <v>32</v>
      </c>
      <c r="Q6" s="93" t="s">
        <v>495</v>
      </c>
      <c r="R6" s="93" t="s">
        <v>496</v>
      </c>
      <c r="S6" s="93" t="s">
        <v>231</v>
      </c>
      <c r="T6" s="93" t="s">
        <v>374</v>
      </c>
      <c r="U6" s="96"/>
      <c r="V6" s="8" t="s">
        <v>305</v>
      </c>
      <c r="W6" s="8"/>
    </row>
    <row r="7" spans="1:23" hidden="1" x14ac:dyDescent="0.25">
      <c r="A7" s="8">
        <v>2226</v>
      </c>
      <c r="B7" s="8">
        <v>12</v>
      </c>
      <c r="C7" s="8">
        <v>1495052</v>
      </c>
      <c r="D7" s="8">
        <v>6</v>
      </c>
      <c r="E7" s="8" t="s">
        <v>14</v>
      </c>
      <c r="F7" s="8" t="s">
        <v>57</v>
      </c>
      <c r="G7" s="8">
        <v>1</v>
      </c>
      <c r="H7" s="9">
        <v>46185</v>
      </c>
      <c r="I7" s="9">
        <v>46188</v>
      </c>
      <c r="J7" s="9">
        <v>46211</v>
      </c>
      <c r="K7" s="9"/>
      <c r="L7" s="8" t="s">
        <v>56</v>
      </c>
      <c r="M7" s="8" t="s">
        <v>56</v>
      </c>
      <c r="N7" s="10" t="s">
        <v>56</v>
      </c>
      <c r="O7" s="8" t="str">
        <f t="shared" si="0"/>
        <v>NO PRAZO</v>
      </c>
      <c r="P7" s="8" t="s">
        <v>32</v>
      </c>
      <c r="Q7" s="93" t="s">
        <v>495</v>
      </c>
      <c r="R7" s="93" t="s">
        <v>496</v>
      </c>
      <c r="S7" s="93" t="s">
        <v>231</v>
      </c>
      <c r="T7" s="93" t="s">
        <v>374</v>
      </c>
      <c r="U7" s="96"/>
      <c r="V7" s="8" t="s">
        <v>305</v>
      </c>
      <c r="W7" s="8"/>
    </row>
    <row r="8" spans="1:23" hidden="1" x14ac:dyDescent="0.25">
      <c r="A8" s="8">
        <v>2226</v>
      </c>
      <c r="B8" s="8">
        <v>13</v>
      </c>
      <c r="C8" s="8">
        <v>1495052</v>
      </c>
      <c r="D8" s="8">
        <v>7</v>
      </c>
      <c r="E8" s="8" t="s">
        <v>14</v>
      </c>
      <c r="F8" s="8" t="s">
        <v>57</v>
      </c>
      <c r="G8" s="8">
        <v>1</v>
      </c>
      <c r="H8" s="9">
        <v>46185</v>
      </c>
      <c r="I8" s="9">
        <v>46188</v>
      </c>
      <c r="J8" s="9">
        <v>46211</v>
      </c>
      <c r="K8" s="9"/>
      <c r="L8" s="8" t="s">
        <v>56</v>
      </c>
      <c r="M8" s="8" t="s">
        <v>56</v>
      </c>
      <c r="N8" s="10" t="s">
        <v>56</v>
      </c>
      <c r="O8" s="8" t="str">
        <f t="shared" si="0"/>
        <v>NO PRAZO</v>
      </c>
      <c r="P8" s="8" t="s">
        <v>32</v>
      </c>
      <c r="Q8" s="93" t="s">
        <v>495</v>
      </c>
      <c r="R8" s="93" t="s">
        <v>496</v>
      </c>
      <c r="S8" s="93" t="s">
        <v>231</v>
      </c>
      <c r="T8" s="93" t="s">
        <v>374</v>
      </c>
      <c r="U8" s="96"/>
      <c r="V8" s="8" t="s">
        <v>305</v>
      </c>
      <c r="W8" s="8"/>
    </row>
    <row r="9" spans="1:23" hidden="1" x14ac:dyDescent="0.25">
      <c r="A9" s="8">
        <v>2226</v>
      </c>
      <c r="B9" s="8">
        <v>14</v>
      </c>
      <c r="C9" s="8">
        <v>1495052</v>
      </c>
      <c r="D9" s="8">
        <v>8</v>
      </c>
      <c r="E9" s="8" t="s">
        <v>14</v>
      </c>
      <c r="F9" s="8" t="s">
        <v>57</v>
      </c>
      <c r="G9" s="8">
        <v>1</v>
      </c>
      <c r="H9" s="9">
        <v>46185</v>
      </c>
      <c r="I9" s="9">
        <v>46188</v>
      </c>
      <c r="J9" s="9">
        <v>46211</v>
      </c>
      <c r="K9" s="9"/>
      <c r="L9" s="8" t="s">
        <v>56</v>
      </c>
      <c r="M9" s="8" t="s">
        <v>56</v>
      </c>
      <c r="N9" s="10" t="s">
        <v>56</v>
      </c>
      <c r="O9" s="8" t="str">
        <f t="shared" si="0"/>
        <v>NO PRAZO</v>
      </c>
      <c r="P9" s="8" t="s">
        <v>32</v>
      </c>
      <c r="Q9" s="93" t="s">
        <v>495</v>
      </c>
      <c r="R9" s="93" t="s">
        <v>496</v>
      </c>
      <c r="S9" s="93" t="s">
        <v>231</v>
      </c>
      <c r="T9" s="93" t="s">
        <v>374</v>
      </c>
      <c r="U9" s="96"/>
      <c r="V9" s="8" t="s">
        <v>305</v>
      </c>
      <c r="W9" s="8"/>
    </row>
    <row r="10" spans="1:23" hidden="1" x14ac:dyDescent="0.25">
      <c r="A10" s="8">
        <v>2226</v>
      </c>
      <c r="B10" s="8">
        <v>15</v>
      </c>
      <c r="C10" s="8">
        <v>1495052</v>
      </c>
      <c r="D10" s="8">
        <v>9</v>
      </c>
      <c r="E10" s="8" t="s">
        <v>14</v>
      </c>
      <c r="F10" s="8" t="s">
        <v>57</v>
      </c>
      <c r="G10" s="8">
        <v>1</v>
      </c>
      <c r="H10" s="9">
        <v>46185</v>
      </c>
      <c r="I10" s="9">
        <v>46188</v>
      </c>
      <c r="J10" s="9">
        <v>46211</v>
      </c>
      <c r="K10" s="9"/>
      <c r="L10" s="8" t="s">
        <v>56</v>
      </c>
      <c r="M10" s="8" t="s">
        <v>56</v>
      </c>
      <c r="N10" s="10" t="s">
        <v>56</v>
      </c>
      <c r="O10" s="8" t="str">
        <f t="shared" si="0"/>
        <v>NO PRAZO</v>
      </c>
      <c r="P10" s="8" t="s">
        <v>32</v>
      </c>
      <c r="Q10" s="93" t="s">
        <v>495</v>
      </c>
      <c r="R10" s="93" t="s">
        <v>496</v>
      </c>
      <c r="S10" s="93" t="s">
        <v>231</v>
      </c>
      <c r="T10" s="93" t="s">
        <v>374</v>
      </c>
      <c r="U10" s="96"/>
      <c r="V10" s="8" t="s">
        <v>305</v>
      </c>
      <c r="W10" s="8"/>
    </row>
    <row r="11" spans="1:23" hidden="1" x14ac:dyDescent="0.25">
      <c r="A11" s="8">
        <v>2226</v>
      </c>
      <c r="B11" s="8">
        <v>17</v>
      </c>
      <c r="C11" s="8">
        <v>1495054</v>
      </c>
      <c r="D11" s="8">
        <v>1</v>
      </c>
      <c r="E11" s="8" t="s">
        <v>14</v>
      </c>
      <c r="F11" s="8" t="s">
        <v>57</v>
      </c>
      <c r="G11" s="8">
        <v>1</v>
      </c>
      <c r="H11" s="9">
        <v>46185</v>
      </c>
      <c r="I11" s="9">
        <v>46188</v>
      </c>
      <c r="J11" s="9">
        <v>46211</v>
      </c>
      <c r="K11" s="9"/>
      <c r="L11" s="8" t="s">
        <v>56</v>
      </c>
      <c r="M11" s="8" t="s">
        <v>56</v>
      </c>
      <c r="N11" s="10" t="s">
        <v>56</v>
      </c>
      <c r="O11" s="8" t="str">
        <f t="shared" si="0"/>
        <v>NO PRAZO</v>
      </c>
      <c r="P11" s="8" t="s">
        <v>32</v>
      </c>
      <c r="Q11" s="93" t="s">
        <v>495</v>
      </c>
      <c r="R11" s="93" t="s">
        <v>496</v>
      </c>
      <c r="S11" s="93" t="s">
        <v>231</v>
      </c>
      <c r="T11" s="93" t="s">
        <v>374</v>
      </c>
      <c r="U11" s="96"/>
      <c r="V11" s="8" t="s">
        <v>305</v>
      </c>
      <c r="W11" s="8" t="s">
        <v>243</v>
      </c>
    </row>
    <row r="12" spans="1:23" hidden="1" x14ac:dyDescent="0.25">
      <c r="A12" s="8">
        <v>2226</v>
      </c>
      <c r="B12" s="8">
        <v>18</v>
      </c>
      <c r="C12" s="8">
        <v>1495054</v>
      </c>
      <c r="D12" s="8">
        <v>2</v>
      </c>
      <c r="E12" s="8" t="s">
        <v>14</v>
      </c>
      <c r="F12" s="8" t="s">
        <v>57</v>
      </c>
      <c r="G12" s="8">
        <v>1</v>
      </c>
      <c r="H12" s="9">
        <v>46185</v>
      </c>
      <c r="I12" s="9">
        <v>46188</v>
      </c>
      <c r="J12" s="9">
        <v>46211</v>
      </c>
      <c r="K12" s="9"/>
      <c r="L12" s="8" t="s">
        <v>56</v>
      </c>
      <c r="M12" s="8" t="s">
        <v>56</v>
      </c>
      <c r="N12" s="10" t="s">
        <v>56</v>
      </c>
      <c r="O12" s="8" t="str">
        <f t="shared" si="0"/>
        <v>NO PRAZO</v>
      </c>
      <c r="P12" s="8" t="s">
        <v>32</v>
      </c>
      <c r="Q12" s="93" t="s">
        <v>495</v>
      </c>
      <c r="R12" s="93" t="s">
        <v>496</v>
      </c>
      <c r="S12" s="93" t="s">
        <v>231</v>
      </c>
      <c r="T12" s="93" t="s">
        <v>374</v>
      </c>
      <c r="U12" s="96"/>
      <c r="V12" s="8" t="s">
        <v>305</v>
      </c>
      <c r="W12" s="8" t="s">
        <v>244</v>
      </c>
    </row>
    <row r="13" spans="1:23" hidden="1" x14ac:dyDescent="0.25">
      <c r="A13" s="8">
        <v>2226</v>
      </c>
      <c r="B13" s="8">
        <v>19</v>
      </c>
      <c r="C13" s="8">
        <v>1495054</v>
      </c>
      <c r="D13" s="8">
        <v>3</v>
      </c>
      <c r="E13" s="8" t="s">
        <v>14</v>
      </c>
      <c r="F13" s="8" t="s">
        <v>57</v>
      </c>
      <c r="G13" s="8">
        <v>1</v>
      </c>
      <c r="H13" s="9">
        <v>46185</v>
      </c>
      <c r="I13" s="9">
        <v>46188</v>
      </c>
      <c r="J13" s="9">
        <v>46211</v>
      </c>
      <c r="K13" s="9"/>
      <c r="L13" s="8" t="s">
        <v>56</v>
      </c>
      <c r="M13" s="8" t="s">
        <v>56</v>
      </c>
      <c r="N13" s="10" t="s">
        <v>56</v>
      </c>
      <c r="O13" s="8" t="str">
        <f t="shared" si="0"/>
        <v>NO PRAZO</v>
      </c>
      <c r="P13" s="8" t="s">
        <v>32</v>
      </c>
      <c r="Q13" s="93" t="s">
        <v>495</v>
      </c>
      <c r="R13" s="93" t="s">
        <v>496</v>
      </c>
      <c r="S13" s="93" t="s">
        <v>231</v>
      </c>
      <c r="T13" s="93" t="s">
        <v>374</v>
      </c>
      <c r="U13" s="96"/>
      <c r="V13" s="8" t="s">
        <v>305</v>
      </c>
      <c r="W13" s="8" t="s">
        <v>245</v>
      </c>
    </row>
    <row r="14" spans="1:23" hidden="1" x14ac:dyDescent="0.25">
      <c r="A14" s="8">
        <v>2227</v>
      </c>
      <c r="B14" s="8">
        <v>1</v>
      </c>
      <c r="C14" s="8">
        <v>1454053</v>
      </c>
      <c r="D14" s="8">
        <v>1</v>
      </c>
      <c r="E14" s="8" t="s">
        <v>22</v>
      </c>
      <c r="F14" s="8" t="s">
        <v>60</v>
      </c>
      <c r="G14" s="8">
        <v>1</v>
      </c>
      <c r="H14" s="9">
        <v>46185</v>
      </c>
      <c r="I14" s="9">
        <v>46190</v>
      </c>
      <c r="J14" s="9">
        <v>46211</v>
      </c>
      <c r="K14" s="9">
        <v>46211</v>
      </c>
      <c r="L14" s="8" t="s">
        <v>56</v>
      </c>
      <c r="M14" s="8" t="s">
        <v>56</v>
      </c>
      <c r="N14" s="10" t="s">
        <v>56</v>
      </c>
      <c r="O14" s="8" t="str">
        <f t="shared" si="0"/>
        <v>NO PRAZO</v>
      </c>
      <c r="P14" s="8" t="s">
        <v>32</v>
      </c>
      <c r="Q14" s="93" t="s">
        <v>495</v>
      </c>
      <c r="R14" s="93" t="s">
        <v>496</v>
      </c>
      <c r="S14" s="93" t="s">
        <v>231</v>
      </c>
      <c r="T14" s="93" t="s">
        <v>374</v>
      </c>
      <c r="U14" s="96"/>
      <c r="V14" s="8" t="s">
        <v>326</v>
      </c>
      <c r="W14" s="8"/>
    </row>
    <row r="15" spans="1:23" hidden="1" x14ac:dyDescent="0.25">
      <c r="A15" s="8">
        <v>2227</v>
      </c>
      <c r="B15" s="8">
        <v>2</v>
      </c>
      <c r="C15" s="8">
        <v>1454053</v>
      </c>
      <c r="D15" s="8">
        <v>2</v>
      </c>
      <c r="E15" s="8" t="s">
        <v>22</v>
      </c>
      <c r="F15" s="8" t="s">
        <v>60</v>
      </c>
      <c r="G15" s="8">
        <v>1</v>
      </c>
      <c r="H15" s="9">
        <v>46185</v>
      </c>
      <c r="I15" s="9">
        <v>46190</v>
      </c>
      <c r="J15" s="9">
        <v>46211</v>
      </c>
      <c r="K15" s="9">
        <v>46211</v>
      </c>
      <c r="L15" s="8" t="s">
        <v>56</v>
      </c>
      <c r="M15" s="8" t="s">
        <v>56</v>
      </c>
      <c r="N15" s="10" t="s">
        <v>56</v>
      </c>
      <c r="O15" s="8" t="str">
        <f t="shared" si="0"/>
        <v>NO PRAZO</v>
      </c>
      <c r="P15" s="8" t="s">
        <v>32</v>
      </c>
      <c r="Q15" s="93" t="s">
        <v>495</v>
      </c>
      <c r="R15" s="93" t="s">
        <v>496</v>
      </c>
      <c r="S15" s="93" t="s">
        <v>231</v>
      </c>
      <c r="T15" s="93" t="s">
        <v>374</v>
      </c>
      <c r="U15" s="96"/>
      <c r="V15" s="8" t="s">
        <v>326</v>
      </c>
      <c r="W15" s="8"/>
    </row>
    <row r="16" spans="1:23" hidden="1" x14ac:dyDescent="0.25">
      <c r="A16" s="8">
        <v>2227</v>
      </c>
      <c r="B16" s="8">
        <v>3</v>
      </c>
      <c r="C16" s="8">
        <v>1454053</v>
      </c>
      <c r="D16" s="8">
        <v>3</v>
      </c>
      <c r="E16" s="8" t="s">
        <v>22</v>
      </c>
      <c r="F16" s="8" t="s">
        <v>60</v>
      </c>
      <c r="G16" s="8">
        <v>1</v>
      </c>
      <c r="H16" s="9">
        <v>46185</v>
      </c>
      <c r="I16" s="9">
        <v>46190</v>
      </c>
      <c r="J16" s="9">
        <v>46211</v>
      </c>
      <c r="K16" s="9">
        <v>46211</v>
      </c>
      <c r="L16" s="8" t="s">
        <v>56</v>
      </c>
      <c r="M16" s="8" t="s">
        <v>56</v>
      </c>
      <c r="N16" s="10" t="s">
        <v>56</v>
      </c>
      <c r="O16" s="8" t="str">
        <f t="shared" si="0"/>
        <v>NO PRAZO</v>
      </c>
      <c r="P16" s="8" t="s">
        <v>32</v>
      </c>
      <c r="Q16" s="93" t="s">
        <v>495</v>
      </c>
      <c r="R16" s="93" t="s">
        <v>496</v>
      </c>
      <c r="S16" s="93" t="s">
        <v>231</v>
      </c>
      <c r="T16" s="93" t="s">
        <v>374</v>
      </c>
      <c r="U16" s="96"/>
      <c r="V16" s="8" t="s">
        <v>326</v>
      </c>
      <c r="W16" s="8"/>
    </row>
    <row r="17" spans="1:23" hidden="1" x14ac:dyDescent="0.25">
      <c r="A17" s="8">
        <v>2227</v>
      </c>
      <c r="B17" s="8">
        <v>4</v>
      </c>
      <c r="C17" s="8">
        <v>1454053</v>
      </c>
      <c r="D17" s="8">
        <v>4</v>
      </c>
      <c r="E17" s="8" t="s">
        <v>22</v>
      </c>
      <c r="F17" s="8" t="s">
        <v>60</v>
      </c>
      <c r="G17" s="8">
        <v>1</v>
      </c>
      <c r="H17" s="9">
        <v>46185</v>
      </c>
      <c r="I17" s="9">
        <v>46190</v>
      </c>
      <c r="J17" s="9">
        <v>46211</v>
      </c>
      <c r="K17" s="9">
        <v>46211</v>
      </c>
      <c r="L17" s="8" t="s">
        <v>56</v>
      </c>
      <c r="M17" s="8" t="s">
        <v>56</v>
      </c>
      <c r="N17" s="10" t="s">
        <v>56</v>
      </c>
      <c r="O17" s="8" t="str">
        <f t="shared" si="0"/>
        <v>NO PRAZO</v>
      </c>
      <c r="P17" s="8" t="s">
        <v>32</v>
      </c>
      <c r="Q17" s="93" t="s">
        <v>495</v>
      </c>
      <c r="R17" s="93" t="s">
        <v>496</v>
      </c>
      <c r="S17" s="93" t="s">
        <v>231</v>
      </c>
      <c r="T17" s="93" t="s">
        <v>374</v>
      </c>
      <c r="U17" s="96"/>
      <c r="V17" s="8" t="s">
        <v>326</v>
      </c>
      <c r="W17" s="8"/>
    </row>
    <row r="18" spans="1:23" hidden="1" x14ac:dyDescent="0.25">
      <c r="A18" s="8">
        <v>2227</v>
      </c>
      <c r="B18" s="8">
        <v>5</v>
      </c>
      <c r="C18" s="8">
        <v>1454054</v>
      </c>
      <c r="D18" s="8">
        <v>1</v>
      </c>
      <c r="E18" s="8" t="s">
        <v>22</v>
      </c>
      <c r="F18" s="8" t="s">
        <v>61</v>
      </c>
      <c r="G18" s="8">
        <v>1</v>
      </c>
      <c r="H18" s="9">
        <v>46185</v>
      </c>
      <c r="I18" s="9">
        <v>46188</v>
      </c>
      <c r="J18" s="9">
        <v>46211</v>
      </c>
      <c r="K18" s="9">
        <v>46211</v>
      </c>
      <c r="L18" s="8" t="s">
        <v>56</v>
      </c>
      <c r="M18" s="8" t="s">
        <v>56</v>
      </c>
      <c r="N18" s="10" t="s">
        <v>56</v>
      </c>
      <c r="O18" s="8" t="str">
        <f t="shared" si="0"/>
        <v>NO PRAZO</v>
      </c>
      <c r="P18" s="8" t="s">
        <v>32</v>
      </c>
      <c r="Q18" s="93" t="s">
        <v>495</v>
      </c>
      <c r="R18" s="93" t="s">
        <v>496</v>
      </c>
      <c r="S18" s="93" t="s">
        <v>231</v>
      </c>
      <c r="T18" s="93" t="s">
        <v>374</v>
      </c>
      <c r="U18" s="96"/>
      <c r="V18" s="8" t="s">
        <v>326</v>
      </c>
      <c r="W18" s="8"/>
    </row>
    <row r="19" spans="1:23" hidden="1" x14ac:dyDescent="0.25">
      <c r="A19" s="8">
        <v>2227</v>
      </c>
      <c r="B19" s="8">
        <v>6</v>
      </c>
      <c r="C19" s="8">
        <v>1454054</v>
      </c>
      <c r="D19" s="8">
        <v>2</v>
      </c>
      <c r="E19" s="8" t="s">
        <v>22</v>
      </c>
      <c r="F19" s="8" t="s">
        <v>61</v>
      </c>
      <c r="G19" s="8">
        <v>1</v>
      </c>
      <c r="H19" s="9">
        <v>46185</v>
      </c>
      <c r="I19" s="9">
        <v>46188</v>
      </c>
      <c r="J19" s="9">
        <v>46211</v>
      </c>
      <c r="K19" s="9">
        <v>46211</v>
      </c>
      <c r="L19" s="8" t="s">
        <v>56</v>
      </c>
      <c r="M19" s="8" t="s">
        <v>56</v>
      </c>
      <c r="N19" s="10" t="s">
        <v>56</v>
      </c>
      <c r="O19" s="8" t="str">
        <f t="shared" si="0"/>
        <v>NO PRAZO</v>
      </c>
      <c r="P19" s="8" t="s">
        <v>32</v>
      </c>
      <c r="Q19" s="93" t="s">
        <v>495</v>
      </c>
      <c r="R19" s="93" t="s">
        <v>496</v>
      </c>
      <c r="S19" s="93" t="s">
        <v>231</v>
      </c>
      <c r="T19" s="93" t="s">
        <v>374</v>
      </c>
      <c r="U19" s="96"/>
      <c r="V19" s="8" t="s">
        <v>326</v>
      </c>
      <c r="W19" s="8"/>
    </row>
    <row r="20" spans="1:23" hidden="1" x14ac:dyDescent="0.25">
      <c r="A20" s="8">
        <v>2227</v>
      </c>
      <c r="B20" s="8">
        <v>7</v>
      </c>
      <c r="C20" s="8">
        <v>1454054</v>
      </c>
      <c r="D20" s="8">
        <v>3</v>
      </c>
      <c r="E20" s="8" t="s">
        <v>22</v>
      </c>
      <c r="F20" s="8" t="s">
        <v>61</v>
      </c>
      <c r="G20" s="8">
        <v>1</v>
      </c>
      <c r="H20" s="9">
        <v>46185</v>
      </c>
      <c r="I20" s="9">
        <v>46188</v>
      </c>
      <c r="J20" s="9">
        <v>46211</v>
      </c>
      <c r="K20" s="9">
        <v>46211</v>
      </c>
      <c r="L20" s="8" t="s">
        <v>56</v>
      </c>
      <c r="M20" s="8" t="s">
        <v>56</v>
      </c>
      <c r="N20" s="10" t="s">
        <v>56</v>
      </c>
      <c r="O20" s="8" t="str">
        <f t="shared" si="0"/>
        <v>NO PRAZO</v>
      </c>
      <c r="P20" s="8" t="s">
        <v>32</v>
      </c>
      <c r="Q20" s="93" t="s">
        <v>495</v>
      </c>
      <c r="R20" s="93" t="s">
        <v>496</v>
      </c>
      <c r="S20" s="93" t="s">
        <v>231</v>
      </c>
      <c r="T20" s="93" t="s">
        <v>374</v>
      </c>
      <c r="U20" s="96"/>
      <c r="V20" s="8" t="s">
        <v>326</v>
      </c>
      <c r="W20" s="8"/>
    </row>
    <row r="21" spans="1:23" hidden="1" x14ac:dyDescent="0.25">
      <c r="A21" s="8">
        <v>2227</v>
      </c>
      <c r="B21" s="8">
        <v>8</v>
      </c>
      <c r="C21" s="8">
        <v>1454053</v>
      </c>
      <c r="D21" s="8">
        <v>5</v>
      </c>
      <c r="E21" s="8" t="s">
        <v>22</v>
      </c>
      <c r="F21" s="8" t="s">
        <v>60</v>
      </c>
      <c r="G21" s="8">
        <v>1</v>
      </c>
      <c r="H21" s="9">
        <v>46185</v>
      </c>
      <c r="I21" s="9">
        <v>46190</v>
      </c>
      <c r="J21" s="9">
        <v>46211</v>
      </c>
      <c r="K21" s="9">
        <v>46211</v>
      </c>
      <c r="L21" s="8" t="s">
        <v>56</v>
      </c>
      <c r="M21" s="8" t="s">
        <v>56</v>
      </c>
      <c r="N21" s="10" t="s">
        <v>56</v>
      </c>
      <c r="O21" s="8" t="str">
        <f t="shared" si="0"/>
        <v>NO PRAZO</v>
      </c>
      <c r="P21" s="8" t="s">
        <v>32</v>
      </c>
      <c r="Q21" s="93" t="s">
        <v>495</v>
      </c>
      <c r="R21" s="93" t="s">
        <v>496</v>
      </c>
      <c r="S21" s="93" t="s">
        <v>231</v>
      </c>
      <c r="T21" s="93" t="s">
        <v>374</v>
      </c>
      <c r="U21" s="96"/>
      <c r="V21" s="8" t="s">
        <v>326</v>
      </c>
      <c r="W21" s="8"/>
    </row>
    <row r="22" spans="1:23" hidden="1" x14ac:dyDescent="0.25">
      <c r="A22" s="8">
        <v>2227</v>
      </c>
      <c r="B22" s="8">
        <v>9</v>
      </c>
      <c r="C22" s="8">
        <v>1454053</v>
      </c>
      <c r="D22" s="8">
        <v>6</v>
      </c>
      <c r="E22" s="8" t="s">
        <v>22</v>
      </c>
      <c r="F22" s="8" t="s">
        <v>60</v>
      </c>
      <c r="G22" s="8">
        <v>1</v>
      </c>
      <c r="H22" s="9">
        <v>46185</v>
      </c>
      <c r="I22" s="9">
        <v>46190</v>
      </c>
      <c r="J22" s="9">
        <v>46211</v>
      </c>
      <c r="K22" s="9">
        <v>46211</v>
      </c>
      <c r="L22" s="8" t="s">
        <v>56</v>
      </c>
      <c r="M22" s="8" t="s">
        <v>56</v>
      </c>
      <c r="N22" s="10" t="s">
        <v>56</v>
      </c>
      <c r="O22" s="8" t="str">
        <f t="shared" si="0"/>
        <v>NO PRAZO</v>
      </c>
      <c r="P22" s="8" t="s">
        <v>32</v>
      </c>
      <c r="Q22" s="93" t="s">
        <v>495</v>
      </c>
      <c r="R22" s="93" t="s">
        <v>496</v>
      </c>
      <c r="S22" s="93" t="s">
        <v>231</v>
      </c>
      <c r="T22" s="93" t="s">
        <v>374</v>
      </c>
      <c r="U22" s="96"/>
      <c r="V22" s="8" t="s">
        <v>326</v>
      </c>
      <c r="W22" s="8"/>
    </row>
    <row r="23" spans="1:23" hidden="1" x14ac:dyDescent="0.25">
      <c r="A23" s="8">
        <v>2227</v>
      </c>
      <c r="B23" s="8">
        <v>10</v>
      </c>
      <c r="C23" s="8">
        <v>1454053</v>
      </c>
      <c r="D23" s="8">
        <v>7</v>
      </c>
      <c r="E23" s="8" t="s">
        <v>22</v>
      </c>
      <c r="F23" s="8" t="s">
        <v>60</v>
      </c>
      <c r="G23" s="8">
        <v>1</v>
      </c>
      <c r="H23" s="9">
        <v>46185</v>
      </c>
      <c r="I23" s="9">
        <v>46190</v>
      </c>
      <c r="J23" s="9">
        <v>46211</v>
      </c>
      <c r="K23" s="9">
        <v>46211</v>
      </c>
      <c r="L23" s="8" t="s">
        <v>56</v>
      </c>
      <c r="M23" s="8" t="s">
        <v>56</v>
      </c>
      <c r="N23" s="10" t="s">
        <v>56</v>
      </c>
      <c r="O23" s="8" t="str">
        <f t="shared" si="0"/>
        <v>NO PRAZO</v>
      </c>
      <c r="P23" s="8" t="s">
        <v>32</v>
      </c>
      <c r="Q23" s="93" t="s">
        <v>495</v>
      </c>
      <c r="R23" s="93" t="s">
        <v>496</v>
      </c>
      <c r="S23" s="93" t="s">
        <v>231</v>
      </c>
      <c r="T23" s="93" t="s">
        <v>374</v>
      </c>
      <c r="U23" s="96"/>
      <c r="V23" s="8" t="s">
        <v>326</v>
      </c>
      <c r="W23" s="8"/>
    </row>
    <row r="24" spans="1:23" hidden="1" x14ac:dyDescent="0.25">
      <c r="A24" s="8">
        <v>2227</v>
      </c>
      <c r="B24" s="8">
        <v>11</v>
      </c>
      <c r="C24" s="8">
        <v>1454053</v>
      </c>
      <c r="D24" s="8">
        <v>8</v>
      </c>
      <c r="E24" s="8" t="s">
        <v>22</v>
      </c>
      <c r="F24" s="8" t="s">
        <v>60</v>
      </c>
      <c r="G24" s="8">
        <v>1</v>
      </c>
      <c r="H24" s="9">
        <v>46185</v>
      </c>
      <c r="I24" s="9">
        <v>46190</v>
      </c>
      <c r="J24" s="9">
        <v>46211</v>
      </c>
      <c r="K24" s="9">
        <v>46211</v>
      </c>
      <c r="L24" s="8" t="s">
        <v>56</v>
      </c>
      <c r="M24" s="8" t="s">
        <v>56</v>
      </c>
      <c r="N24" s="10" t="s">
        <v>56</v>
      </c>
      <c r="O24" s="8" t="str">
        <f t="shared" si="0"/>
        <v>NO PRAZO</v>
      </c>
      <c r="P24" s="8" t="s">
        <v>32</v>
      </c>
      <c r="Q24" s="93" t="s">
        <v>495</v>
      </c>
      <c r="R24" s="93" t="s">
        <v>496</v>
      </c>
      <c r="S24" s="93" t="s">
        <v>231</v>
      </c>
      <c r="T24" s="93" t="s">
        <v>374</v>
      </c>
      <c r="U24" s="96"/>
      <c r="V24" s="8" t="s">
        <v>326</v>
      </c>
      <c r="W24" s="8"/>
    </row>
    <row r="25" spans="1:23" hidden="1" x14ac:dyDescent="0.25">
      <c r="A25" s="8">
        <v>2227</v>
      </c>
      <c r="B25" s="8">
        <v>12</v>
      </c>
      <c r="C25" s="8">
        <v>1454054</v>
      </c>
      <c r="D25" s="8">
        <v>4</v>
      </c>
      <c r="E25" s="8" t="s">
        <v>22</v>
      </c>
      <c r="F25" s="8" t="s">
        <v>61</v>
      </c>
      <c r="G25" s="8">
        <v>1</v>
      </c>
      <c r="H25" s="9">
        <v>46185</v>
      </c>
      <c r="I25" s="9">
        <v>46188</v>
      </c>
      <c r="J25" s="9">
        <v>46211</v>
      </c>
      <c r="K25" s="9">
        <v>46211</v>
      </c>
      <c r="L25" s="8" t="s">
        <v>56</v>
      </c>
      <c r="M25" s="8" t="s">
        <v>56</v>
      </c>
      <c r="N25" s="10" t="s">
        <v>56</v>
      </c>
      <c r="O25" s="8" t="str">
        <f t="shared" si="0"/>
        <v>NO PRAZO</v>
      </c>
      <c r="P25" s="8" t="s">
        <v>32</v>
      </c>
      <c r="Q25" s="93" t="s">
        <v>495</v>
      </c>
      <c r="R25" s="93" t="s">
        <v>496</v>
      </c>
      <c r="S25" s="93" t="s">
        <v>231</v>
      </c>
      <c r="T25" s="93" t="s">
        <v>374</v>
      </c>
      <c r="U25" s="96"/>
      <c r="V25" s="8" t="s">
        <v>326</v>
      </c>
      <c r="W25" s="8"/>
    </row>
    <row r="26" spans="1:23" hidden="1" x14ac:dyDescent="0.25">
      <c r="A26" s="8">
        <v>2227</v>
      </c>
      <c r="B26" s="8">
        <v>13</v>
      </c>
      <c r="C26" s="8">
        <v>1454054</v>
      </c>
      <c r="D26" s="8">
        <v>5</v>
      </c>
      <c r="E26" s="8" t="s">
        <v>22</v>
      </c>
      <c r="F26" s="8" t="s">
        <v>61</v>
      </c>
      <c r="G26" s="8">
        <v>1</v>
      </c>
      <c r="H26" s="9">
        <v>46185</v>
      </c>
      <c r="I26" s="9">
        <v>46188</v>
      </c>
      <c r="J26" s="9">
        <v>46211</v>
      </c>
      <c r="K26" s="9">
        <v>46211</v>
      </c>
      <c r="L26" s="8" t="s">
        <v>56</v>
      </c>
      <c r="M26" s="8" t="s">
        <v>56</v>
      </c>
      <c r="N26" s="10" t="s">
        <v>56</v>
      </c>
      <c r="O26" s="8" t="str">
        <f t="shared" si="0"/>
        <v>NO PRAZO</v>
      </c>
      <c r="P26" s="8" t="s">
        <v>32</v>
      </c>
      <c r="Q26" s="93" t="s">
        <v>495</v>
      </c>
      <c r="R26" s="93" t="s">
        <v>496</v>
      </c>
      <c r="S26" s="93" t="s">
        <v>231</v>
      </c>
      <c r="T26" s="93" t="s">
        <v>374</v>
      </c>
      <c r="U26" s="96"/>
      <c r="V26" s="8" t="s">
        <v>326</v>
      </c>
      <c r="W26" s="8"/>
    </row>
    <row r="27" spans="1:23" hidden="1" x14ac:dyDescent="0.25">
      <c r="A27" s="8">
        <v>2227</v>
      </c>
      <c r="B27" s="8">
        <v>21</v>
      </c>
      <c r="C27" s="8" t="s">
        <v>62</v>
      </c>
      <c r="D27" s="8" t="s">
        <v>63</v>
      </c>
      <c r="E27" s="8" t="s">
        <v>22</v>
      </c>
      <c r="F27" s="8" t="s">
        <v>64</v>
      </c>
      <c r="G27" s="8">
        <v>1</v>
      </c>
      <c r="H27" s="9">
        <v>46183</v>
      </c>
      <c r="I27" s="9">
        <v>46183</v>
      </c>
      <c r="J27" s="9">
        <v>46211</v>
      </c>
      <c r="K27" s="9">
        <v>46211</v>
      </c>
      <c r="L27" s="8" t="s">
        <v>56</v>
      </c>
      <c r="M27" s="8" t="s">
        <v>56</v>
      </c>
      <c r="N27" s="10" t="s">
        <v>56</v>
      </c>
      <c r="O27" s="8" t="str">
        <f t="shared" si="0"/>
        <v>NO PRAZO</v>
      </c>
      <c r="P27" s="8" t="s">
        <v>32</v>
      </c>
      <c r="Q27" s="93" t="s">
        <v>495</v>
      </c>
      <c r="R27" s="93" t="s">
        <v>496</v>
      </c>
      <c r="S27" s="93" t="s">
        <v>231</v>
      </c>
      <c r="T27" s="93" t="s">
        <v>374</v>
      </c>
      <c r="U27" s="96"/>
      <c r="V27" s="8" t="s">
        <v>326</v>
      </c>
      <c r="W27" s="8"/>
    </row>
    <row r="28" spans="1:23" hidden="1" x14ac:dyDescent="0.25">
      <c r="A28" s="8">
        <v>2227</v>
      </c>
      <c r="B28" s="8">
        <v>22</v>
      </c>
      <c r="C28" s="8" t="s">
        <v>62</v>
      </c>
      <c r="D28" s="8" t="s">
        <v>63</v>
      </c>
      <c r="E28" s="8" t="s">
        <v>22</v>
      </c>
      <c r="F28" s="8" t="s">
        <v>64</v>
      </c>
      <c r="G28" s="8">
        <v>1</v>
      </c>
      <c r="H28" s="9">
        <v>46183</v>
      </c>
      <c r="I28" s="9">
        <v>46183</v>
      </c>
      <c r="J28" s="9">
        <v>46211</v>
      </c>
      <c r="K28" s="9">
        <v>46211</v>
      </c>
      <c r="L28" s="8" t="s">
        <v>56</v>
      </c>
      <c r="M28" s="8" t="s">
        <v>56</v>
      </c>
      <c r="N28" s="10" t="s">
        <v>56</v>
      </c>
      <c r="O28" s="8" t="str">
        <f t="shared" si="0"/>
        <v>NO PRAZO</v>
      </c>
      <c r="P28" s="8" t="s">
        <v>32</v>
      </c>
      <c r="Q28" s="93" t="s">
        <v>495</v>
      </c>
      <c r="R28" s="93" t="s">
        <v>496</v>
      </c>
      <c r="S28" s="93" t="s">
        <v>231</v>
      </c>
      <c r="T28" s="93" t="s">
        <v>374</v>
      </c>
      <c r="U28" s="96"/>
      <c r="V28" s="8" t="s">
        <v>326</v>
      </c>
      <c r="W28" s="8"/>
    </row>
    <row r="29" spans="1:23" hidden="1" x14ac:dyDescent="0.25">
      <c r="A29" s="8">
        <v>2227</v>
      </c>
      <c r="B29" s="8">
        <v>23</v>
      </c>
      <c r="C29" s="8" t="s">
        <v>62</v>
      </c>
      <c r="D29" s="8" t="s">
        <v>63</v>
      </c>
      <c r="E29" s="8" t="s">
        <v>22</v>
      </c>
      <c r="F29" s="8" t="s">
        <v>64</v>
      </c>
      <c r="G29" s="8">
        <v>1</v>
      </c>
      <c r="H29" s="9">
        <v>46183</v>
      </c>
      <c r="I29" s="9">
        <v>46183</v>
      </c>
      <c r="J29" s="9">
        <v>46211</v>
      </c>
      <c r="K29" s="9">
        <v>46211</v>
      </c>
      <c r="L29" s="8" t="s">
        <v>56</v>
      </c>
      <c r="M29" s="8" t="s">
        <v>56</v>
      </c>
      <c r="N29" s="10" t="s">
        <v>56</v>
      </c>
      <c r="O29" s="8" t="str">
        <f t="shared" si="0"/>
        <v>NO PRAZO</v>
      </c>
      <c r="P29" s="8" t="s">
        <v>32</v>
      </c>
      <c r="Q29" s="93" t="s">
        <v>495</v>
      </c>
      <c r="R29" s="93" t="s">
        <v>496</v>
      </c>
      <c r="S29" s="93" t="s">
        <v>231</v>
      </c>
      <c r="T29" s="93" t="s">
        <v>374</v>
      </c>
      <c r="U29" s="96"/>
      <c r="V29" s="8" t="s">
        <v>326</v>
      </c>
      <c r="W29" s="8"/>
    </row>
    <row r="30" spans="1:23" hidden="1" x14ac:dyDescent="0.25">
      <c r="A30" s="8">
        <v>2227</v>
      </c>
      <c r="B30" s="8">
        <v>24</v>
      </c>
      <c r="C30" s="8" t="s">
        <v>62</v>
      </c>
      <c r="D30" s="8" t="s">
        <v>63</v>
      </c>
      <c r="E30" s="8" t="s">
        <v>22</v>
      </c>
      <c r="F30" s="8" t="s">
        <v>64</v>
      </c>
      <c r="G30" s="8">
        <v>1</v>
      </c>
      <c r="H30" s="9">
        <v>46183</v>
      </c>
      <c r="I30" s="9">
        <v>46183</v>
      </c>
      <c r="J30" s="9">
        <v>46211</v>
      </c>
      <c r="K30" s="9">
        <v>46211</v>
      </c>
      <c r="L30" s="8" t="s">
        <v>56</v>
      </c>
      <c r="M30" s="8" t="s">
        <v>56</v>
      </c>
      <c r="N30" s="10" t="s">
        <v>56</v>
      </c>
      <c r="O30" s="8" t="str">
        <f t="shared" si="0"/>
        <v>NO PRAZO</v>
      </c>
      <c r="P30" s="8" t="s">
        <v>32</v>
      </c>
      <c r="Q30" s="93" t="s">
        <v>495</v>
      </c>
      <c r="R30" s="93" t="s">
        <v>496</v>
      </c>
      <c r="S30" s="93" t="s">
        <v>231</v>
      </c>
      <c r="T30" s="93" t="s">
        <v>374</v>
      </c>
      <c r="U30" s="96"/>
      <c r="V30" s="8" t="s">
        <v>326</v>
      </c>
      <c r="W30" s="8"/>
    </row>
    <row r="31" spans="1:23" hidden="1" x14ac:dyDescent="0.25">
      <c r="A31" s="8">
        <v>2227</v>
      </c>
      <c r="B31" s="8">
        <v>25</v>
      </c>
      <c r="C31" s="8" t="s">
        <v>62</v>
      </c>
      <c r="D31" s="8" t="s">
        <v>63</v>
      </c>
      <c r="E31" s="8" t="s">
        <v>22</v>
      </c>
      <c r="F31" s="8" t="s">
        <v>64</v>
      </c>
      <c r="G31" s="8">
        <v>1</v>
      </c>
      <c r="H31" s="9">
        <v>46183</v>
      </c>
      <c r="I31" s="9">
        <v>46183</v>
      </c>
      <c r="J31" s="9">
        <v>46211</v>
      </c>
      <c r="K31" s="9">
        <v>46211</v>
      </c>
      <c r="L31" s="8" t="s">
        <v>56</v>
      </c>
      <c r="M31" s="8" t="s">
        <v>56</v>
      </c>
      <c r="N31" s="10" t="s">
        <v>56</v>
      </c>
      <c r="O31" s="8" t="str">
        <f t="shared" si="0"/>
        <v>NO PRAZO</v>
      </c>
      <c r="P31" s="8" t="s">
        <v>32</v>
      </c>
      <c r="Q31" s="93" t="s">
        <v>495</v>
      </c>
      <c r="R31" s="93" t="s">
        <v>496</v>
      </c>
      <c r="S31" s="93" t="s">
        <v>231</v>
      </c>
      <c r="T31" s="93" t="s">
        <v>374</v>
      </c>
      <c r="U31" s="96"/>
      <c r="V31" s="8" t="s">
        <v>326</v>
      </c>
      <c r="W31" s="8"/>
    </row>
    <row r="32" spans="1:23" hidden="1" x14ac:dyDescent="0.25">
      <c r="A32" s="8">
        <v>2227</v>
      </c>
      <c r="B32" s="8">
        <v>26</v>
      </c>
      <c r="C32" s="8" t="s">
        <v>62</v>
      </c>
      <c r="D32" s="8" t="s">
        <v>63</v>
      </c>
      <c r="E32" s="8" t="s">
        <v>22</v>
      </c>
      <c r="F32" s="8" t="s">
        <v>64</v>
      </c>
      <c r="G32" s="8">
        <v>1</v>
      </c>
      <c r="H32" s="9">
        <v>46183</v>
      </c>
      <c r="I32" s="9">
        <v>46183</v>
      </c>
      <c r="J32" s="9">
        <v>46211</v>
      </c>
      <c r="K32" s="9">
        <v>46211</v>
      </c>
      <c r="L32" s="8" t="s">
        <v>56</v>
      </c>
      <c r="M32" s="8" t="s">
        <v>56</v>
      </c>
      <c r="N32" s="10" t="s">
        <v>56</v>
      </c>
      <c r="O32" s="8" t="str">
        <f t="shared" si="0"/>
        <v>NO PRAZO</v>
      </c>
      <c r="P32" s="8" t="s">
        <v>32</v>
      </c>
      <c r="Q32" s="93" t="s">
        <v>495</v>
      </c>
      <c r="R32" s="93" t="s">
        <v>496</v>
      </c>
      <c r="S32" s="93" t="s">
        <v>231</v>
      </c>
      <c r="T32" s="93" t="s">
        <v>374</v>
      </c>
      <c r="U32" s="96"/>
      <c r="V32" s="8" t="s">
        <v>326</v>
      </c>
      <c r="W32" s="8"/>
    </row>
    <row r="33" spans="1:23" hidden="1" x14ac:dyDescent="0.25">
      <c r="A33" s="8">
        <v>1951</v>
      </c>
      <c r="B33" s="8">
        <v>9</v>
      </c>
      <c r="C33" s="8">
        <v>1202015</v>
      </c>
      <c r="D33" s="8" t="s">
        <v>63</v>
      </c>
      <c r="E33" s="8" t="s">
        <v>105</v>
      </c>
      <c r="F33" s="8" t="s">
        <v>85</v>
      </c>
      <c r="G33" s="8">
        <v>1</v>
      </c>
      <c r="H33" s="9">
        <v>46190</v>
      </c>
      <c r="I33" s="9">
        <v>46190</v>
      </c>
      <c r="J33" s="9">
        <v>46233</v>
      </c>
      <c r="K33" s="9"/>
      <c r="L33" s="8" t="s">
        <v>56</v>
      </c>
      <c r="M33" s="8" t="s">
        <v>56</v>
      </c>
      <c r="N33" s="10">
        <f ca="1">Tabela3[[#This Row],[Prazo
Entrega]]-TODAY()</f>
        <v>3</v>
      </c>
      <c r="O33" s="8" t="str">
        <f t="shared" ca="1" si="0"/>
        <v>ATENÇÃO</v>
      </c>
      <c r="P33" s="8" t="s">
        <v>32</v>
      </c>
      <c r="Q33" s="93" t="s">
        <v>495</v>
      </c>
      <c r="R33" s="93" t="s">
        <v>496</v>
      </c>
      <c r="S33" s="94" t="s">
        <v>497</v>
      </c>
      <c r="T33" s="96" t="s">
        <v>231</v>
      </c>
      <c r="U33" s="8" t="s">
        <v>374</v>
      </c>
      <c r="V33" s="8" t="s">
        <v>202</v>
      </c>
      <c r="W33" s="8"/>
    </row>
    <row r="34" spans="1:23" hidden="1" x14ac:dyDescent="0.25">
      <c r="A34" s="8">
        <v>1951</v>
      </c>
      <c r="B34" s="8">
        <v>10</v>
      </c>
      <c r="C34" s="8">
        <v>1202015</v>
      </c>
      <c r="D34" s="8" t="s">
        <v>63</v>
      </c>
      <c r="E34" s="8" t="s">
        <v>105</v>
      </c>
      <c r="F34" s="8" t="s">
        <v>85</v>
      </c>
      <c r="G34" s="8">
        <v>1</v>
      </c>
      <c r="H34" s="9">
        <v>46190</v>
      </c>
      <c r="I34" s="9">
        <v>46190</v>
      </c>
      <c r="J34" s="9">
        <v>46233</v>
      </c>
      <c r="K34" s="9"/>
      <c r="L34" s="8" t="s">
        <v>56</v>
      </c>
      <c r="M34" s="8" t="s">
        <v>56</v>
      </c>
      <c r="N34" s="10">
        <f ca="1">Tabela3[[#This Row],[Prazo
Entrega]]-TODAY()</f>
        <v>3</v>
      </c>
      <c r="O34" s="8" t="str">
        <f t="shared" ref="O34:O65" ca="1" si="1">IF(N34&lt;0,"ATRASADO",IF(N34&lt;=15,"ATENÇÃO","NO PRAZO"))</f>
        <v>ATENÇÃO</v>
      </c>
      <c r="P34" s="8" t="s">
        <v>32</v>
      </c>
      <c r="Q34" s="93" t="s">
        <v>495</v>
      </c>
      <c r="R34" s="93" t="s">
        <v>496</v>
      </c>
      <c r="S34" s="94" t="s">
        <v>497</v>
      </c>
      <c r="T34" s="96" t="s">
        <v>231</v>
      </c>
      <c r="U34" s="8" t="s">
        <v>374</v>
      </c>
      <c r="V34" s="8" t="s">
        <v>202</v>
      </c>
      <c r="W34" s="8"/>
    </row>
    <row r="35" spans="1:23" hidden="1" x14ac:dyDescent="0.25">
      <c r="A35" s="8">
        <v>1951</v>
      </c>
      <c r="B35" s="8">
        <v>11</v>
      </c>
      <c r="C35" s="8">
        <v>1202015</v>
      </c>
      <c r="D35" s="8" t="s">
        <v>63</v>
      </c>
      <c r="E35" s="8" t="s">
        <v>105</v>
      </c>
      <c r="F35" s="8" t="s">
        <v>85</v>
      </c>
      <c r="G35" s="8">
        <v>1</v>
      </c>
      <c r="H35" s="9">
        <v>46190</v>
      </c>
      <c r="I35" s="9">
        <v>46190</v>
      </c>
      <c r="J35" s="9">
        <v>46233</v>
      </c>
      <c r="K35" s="9"/>
      <c r="L35" s="8" t="s">
        <v>56</v>
      </c>
      <c r="M35" s="8" t="s">
        <v>56</v>
      </c>
      <c r="N35" s="10">
        <f ca="1">Tabela3[[#This Row],[Prazo
Entrega]]-TODAY()</f>
        <v>3</v>
      </c>
      <c r="O35" s="8" t="str">
        <f t="shared" ca="1" si="1"/>
        <v>ATENÇÃO</v>
      </c>
      <c r="P35" s="8" t="s">
        <v>32</v>
      </c>
      <c r="Q35" s="93" t="s">
        <v>495</v>
      </c>
      <c r="R35" s="93" t="s">
        <v>496</v>
      </c>
      <c r="S35" s="94" t="s">
        <v>497</v>
      </c>
      <c r="T35" s="96" t="s">
        <v>231</v>
      </c>
      <c r="U35" s="8" t="s">
        <v>374</v>
      </c>
      <c r="V35" s="8" t="s">
        <v>202</v>
      </c>
      <c r="W35" s="8"/>
    </row>
    <row r="36" spans="1:23" hidden="1" x14ac:dyDescent="0.25">
      <c r="A36" s="8">
        <v>1951</v>
      </c>
      <c r="B36" s="8">
        <v>12</v>
      </c>
      <c r="C36" s="8">
        <v>1202015</v>
      </c>
      <c r="D36" s="8" t="s">
        <v>63</v>
      </c>
      <c r="E36" s="8" t="s">
        <v>105</v>
      </c>
      <c r="F36" s="8" t="s">
        <v>85</v>
      </c>
      <c r="G36" s="8">
        <v>1</v>
      </c>
      <c r="H36" s="9">
        <v>46190</v>
      </c>
      <c r="I36" s="9">
        <v>46190</v>
      </c>
      <c r="J36" s="9">
        <v>46233</v>
      </c>
      <c r="K36" s="9"/>
      <c r="L36" s="8" t="s">
        <v>56</v>
      </c>
      <c r="M36" s="8" t="s">
        <v>56</v>
      </c>
      <c r="N36" s="10">
        <f ca="1">Tabela3[[#This Row],[Prazo
Entrega]]-TODAY()</f>
        <v>3</v>
      </c>
      <c r="O36" s="8" t="str">
        <f t="shared" ca="1" si="1"/>
        <v>ATENÇÃO</v>
      </c>
      <c r="P36" s="8" t="s">
        <v>32</v>
      </c>
      <c r="Q36" s="93" t="s">
        <v>495</v>
      </c>
      <c r="R36" s="93" t="s">
        <v>496</v>
      </c>
      <c r="S36" s="94" t="s">
        <v>497</v>
      </c>
      <c r="T36" s="96" t="s">
        <v>231</v>
      </c>
      <c r="U36" s="8" t="s">
        <v>374</v>
      </c>
      <c r="V36" s="8" t="s">
        <v>202</v>
      </c>
      <c r="W36" s="8"/>
    </row>
    <row r="37" spans="1:23" hidden="1" x14ac:dyDescent="0.25">
      <c r="A37" s="8">
        <v>1951</v>
      </c>
      <c r="B37" s="8">
        <v>13</v>
      </c>
      <c r="C37" s="8">
        <v>1202015</v>
      </c>
      <c r="D37" s="8" t="s">
        <v>63</v>
      </c>
      <c r="E37" s="8" t="s">
        <v>105</v>
      </c>
      <c r="F37" s="8" t="s">
        <v>85</v>
      </c>
      <c r="G37" s="8">
        <v>1</v>
      </c>
      <c r="H37" s="9">
        <v>46190</v>
      </c>
      <c r="I37" s="9">
        <v>46190</v>
      </c>
      <c r="J37" s="9">
        <v>46233</v>
      </c>
      <c r="K37" s="9"/>
      <c r="L37" s="8" t="s">
        <v>56</v>
      </c>
      <c r="M37" s="8" t="s">
        <v>56</v>
      </c>
      <c r="N37" s="10">
        <f ca="1">Tabela3[[#This Row],[Prazo
Entrega]]-TODAY()</f>
        <v>3</v>
      </c>
      <c r="O37" s="8" t="str">
        <f t="shared" ca="1" si="1"/>
        <v>ATENÇÃO</v>
      </c>
      <c r="P37" s="8" t="s">
        <v>32</v>
      </c>
      <c r="Q37" s="93" t="s">
        <v>495</v>
      </c>
      <c r="R37" s="93" t="s">
        <v>496</v>
      </c>
      <c r="S37" s="94" t="s">
        <v>497</v>
      </c>
      <c r="T37" s="96" t="s">
        <v>231</v>
      </c>
      <c r="U37" s="8" t="s">
        <v>374</v>
      </c>
      <c r="V37" s="8" t="s">
        <v>202</v>
      </c>
      <c r="W37" s="8"/>
    </row>
    <row r="38" spans="1:23" hidden="1" x14ac:dyDescent="0.25">
      <c r="A38" s="13">
        <v>1031</v>
      </c>
      <c r="B38" s="13">
        <v>3</v>
      </c>
      <c r="C38" s="12">
        <v>464066</v>
      </c>
      <c r="D38" s="12">
        <v>22</v>
      </c>
      <c r="E38" s="8" t="s">
        <v>89</v>
      </c>
      <c r="F38" s="8" t="s">
        <v>61</v>
      </c>
      <c r="G38" s="8">
        <v>1</v>
      </c>
      <c r="H38" s="16">
        <v>46226</v>
      </c>
      <c r="I38" s="9">
        <v>46227</v>
      </c>
      <c r="J38" s="16">
        <v>46266</v>
      </c>
      <c r="K38" s="16"/>
      <c r="L38" s="9" t="s">
        <v>56</v>
      </c>
      <c r="M38" s="8" t="s">
        <v>56</v>
      </c>
      <c r="N38" s="10">
        <f ca="1">Tabela3[[#This Row],[Prazo
Entrega]]-TODAY()</f>
        <v>36</v>
      </c>
      <c r="O38" s="8" t="str">
        <f t="shared" ca="1" si="1"/>
        <v>NO PRAZO</v>
      </c>
      <c r="P38" s="8" t="s">
        <v>32</v>
      </c>
      <c r="Q38" s="96" t="s">
        <v>495</v>
      </c>
      <c r="R38" s="96" t="s">
        <v>496</v>
      </c>
      <c r="S38" s="96" t="s">
        <v>231</v>
      </c>
      <c r="T38" s="96" t="s">
        <v>374</v>
      </c>
      <c r="U38" s="96"/>
      <c r="V38" s="8" t="s">
        <v>202</v>
      </c>
      <c r="W38" s="8"/>
    </row>
    <row r="39" spans="1:23" hidden="1" x14ac:dyDescent="0.25">
      <c r="A39" s="13">
        <v>1031</v>
      </c>
      <c r="B39" s="13">
        <v>4</v>
      </c>
      <c r="C39" s="12">
        <v>464066</v>
      </c>
      <c r="D39" s="12">
        <v>23</v>
      </c>
      <c r="E39" s="8" t="s">
        <v>89</v>
      </c>
      <c r="F39" s="8" t="s">
        <v>61</v>
      </c>
      <c r="G39" s="8">
        <v>1</v>
      </c>
      <c r="H39" s="16">
        <v>46226</v>
      </c>
      <c r="I39" s="9">
        <v>46227</v>
      </c>
      <c r="J39" s="16">
        <v>46266</v>
      </c>
      <c r="K39" s="16"/>
      <c r="L39" s="9" t="s">
        <v>56</v>
      </c>
      <c r="M39" s="8" t="s">
        <v>56</v>
      </c>
      <c r="N39" s="10">
        <f ca="1">Tabela3[[#This Row],[Prazo
Entrega]]-TODAY()</f>
        <v>36</v>
      </c>
      <c r="O39" s="8" t="str">
        <f t="shared" ca="1" si="1"/>
        <v>NO PRAZO</v>
      </c>
      <c r="P39" s="8" t="s">
        <v>32</v>
      </c>
      <c r="Q39" s="96" t="s">
        <v>495</v>
      </c>
      <c r="R39" s="96" t="s">
        <v>496</v>
      </c>
      <c r="S39" s="96" t="s">
        <v>231</v>
      </c>
      <c r="T39" s="96" t="s">
        <v>374</v>
      </c>
      <c r="U39" s="96"/>
      <c r="V39" s="8" t="s">
        <v>202</v>
      </c>
      <c r="W39" s="8"/>
    </row>
    <row r="40" spans="1:23" hidden="1" x14ac:dyDescent="0.25">
      <c r="A40" s="13">
        <v>1031</v>
      </c>
      <c r="B40" s="13">
        <v>5</v>
      </c>
      <c r="C40" s="12">
        <v>464066</v>
      </c>
      <c r="D40" s="12">
        <v>24</v>
      </c>
      <c r="E40" s="8" t="s">
        <v>89</v>
      </c>
      <c r="F40" s="8" t="s">
        <v>61</v>
      </c>
      <c r="G40" s="8">
        <v>1</v>
      </c>
      <c r="H40" s="16">
        <v>46226</v>
      </c>
      <c r="I40" s="9">
        <v>46227</v>
      </c>
      <c r="J40" s="16">
        <v>46266</v>
      </c>
      <c r="K40" s="16"/>
      <c r="L40" s="9" t="s">
        <v>56</v>
      </c>
      <c r="M40" s="8" t="s">
        <v>56</v>
      </c>
      <c r="N40" s="10">
        <f ca="1">Tabela3[[#This Row],[Prazo
Entrega]]-TODAY()</f>
        <v>36</v>
      </c>
      <c r="O40" s="8" t="str">
        <f t="shared" ca="1" si="1"/>
        <v>NO PRAZO</v>
      </c>
      <c r="P40" s="8" t="s">
        <v>32</v>
      </c>
      <c r="Q40" s="96" t="s">
        <v>495</v>
      </c>
      <c r="R40" s="96" t="s">
        <v>496</v>
      </c>
      <c r="S40" s="96" t="s">
        <v>231</v>
      </c>
      <c r="T40" s="96" t="s">
        <v>374</v>
      </c>
      <c r="U40" s="96"/>
      <c r="V40" s="8" t="s">
        <v>202</v>
      </c>
      <c r="W40" s="8"/>
    </row>
    <row r="41" spans="1:23" hidden="1" x14ac:dyDescent="0.25">
      <c r="A41" s="13">
        <v>1031</v>
      </c>
      <c r="B41" s="13">
        <v>6</v>
      </c>
      <c r="C41" s="12">
        <v>464066</v>
      </c>
      <c r="D41" s="12">
        <v>25</v>
      </c>
      <c r="E41" s="8" t="s">
        <v>89</v>
      </c>
      <c r="F41" s="8" t="s">
        <v>61</v>
      </c>
      <c r="G41" s="8">
        <v>1</v>
      </c>
      <c r="H41" s="16">
        <v>46226</v>
      </c>
      <c r="I41" s="9">
        <v>46227</v>
      </c>
      <c r="J41" s="16">
        <v>46266</v>
      </c>
      <c r="K41" s="16"/>
      <c r="L41" s="9" t="s">
        <v>56</v>
      </c>
      <c r="M41" s="8" t="s">
        <v>56</v>
      </c>
      <c r="N41" s="10">
        <f ca="1">Tabela3[[#This Row],[Prazo
Entrega]]-TODAY()</f>
        <v>36</v>
      </c>
      <c r="O41" s="8" t="str">
        <f t="shared" ca="1" si="1"/>
        <v>NO PRAZO</v>
      </c>
      <c r="P41" s="8" t="s">
        <v>32</v>
      </c>
      <c r="Q41" s="96" t="s">
        <v>495</v>
      </c>
      <c r="R41" s="96" t="s">
        <v>496</v>
      </c>
      <c r="S41" s="96" t="s">
        <v>231</v>
      </c>
      <c r="T41" s="96" t="s">
        <v>374</v>
      </c>
      <c r="U41" s="96"/>
      <c r="V41" s="8" t="s">
        <v>202</v>
      </c>
      <c r="W41" s="8"/>
    </row>
    <row r="42" spans="1:23" hidden="1" x14ac:dyDescent="0.25">
      <c r="A42" s="13">
        <v>1031</v>
      </c>
      <c r="B42" s="13">
        <v>7</v>
      </c>
      <c r="C42" s="12">
        <v>464066</v>
      </c>
      <c r="D42" s="12">
        <v>26</v>
      </c>
      <c r="E42" s="8" t="s">
        <v>89</v>
      </c>
      <c r="F42" s="8" t="s">
        <v>61</v>
      </c>
      <c r="G42" s="8">
        <v>1</v>
      </c>
      <c r="H42" s="16">
        <v>46226</v>
      </c>
      <c r="I42" s="9">
        <v>46227</v>
      </c>
      <c r="J42" s="16">
        <v>46266</v>
      </c>
      <c r="K42" s="16"/>
      <c r="L42" s="9" t="s">
        <v>56</v>
      </c>
      <c r="M42" s="8" t="s">
        <v>56</v>
      </c>
      <c r="N42" s="10">
        <f ca="1">Tabela3[[#This Row],[Prazo
Entrega]]-TODAY()</f>
        <v>36</v>
      </c>
      <c r="O42" s="8" t="str">
        <f t="shared" ca="1" si="1"/>
        <v>NO PRAZO</v>
      </c>
      <c r="P42" s="8" t="s">
        <v>32</v>
      </c>
      <c r="Q42" s="96" t="s">
        <v>495</v>
      </c>
      <c r="R42" s="96" t="s">
        <v>496</v>
      </c>
      <c r="S42" s="96" t="s">
        <v>231</v>
      </c>
      <c r="T42" s="96" t="s">
        <v>374</v>
      </c>
      <c r="U42" s="96"/>
      <c r="V42" s="8" t="s">
        <v>202</v>
      </c>
      <c r="W42" s="8"/>
    </row>
    <row r="43" spans="1:23" hidden="1" x14ac:dyDescent="0.25">
      <c r="A43" s="13">
        <v>1031</v>
      </c>
      <c r="B43" s="13">
        <v>8</v>
      </c>
      <c r="C43" s="12">
        <v>464066</v>
      </c>
      <c r="D43" s="12">
        <v>27</v>
      </c>
      <c r="E43" s="8" t="s">
        <v>89</v>
      </c>
      <c r="F43" s="8" t="s">
        <v>61</v>
      </c>
      <c r="G43" s="8">
        <v>1</v>
      </c>
      <c r="H43" s="16">
        <v>46226</v>
      </c>
      <c r="I43" s="9">
        <v>46227</v>
      </c>
      <c r="J43" s="16">
        <v>46266</v>
      </c>
      <c r="K43" s="16"/>
      <c r="L43" s="9" t="s">
        <v>56</v>
      </c>
      <c r="M43" s="8" t="s">
        <v>56</v>
      </c>
      <c r="N43" s="10">
        <f ca="1">Tabela3[[#This Row],[Prazo
Entrega]]-TODAY()</f>
        <v>36</v>
      </c>
      <c r="O43" s="8" t="str">
        <f t="shared" ca="1" si="1"/>
        <v>NO PRAZO</v>
      </c>
      <c r="P43" s="8" t="s">
        <v>32</v>
      </c>
      <c r="Q43" s="96" t="s">
        <v>495</v>
      </c>
      <c r="R43" s="96" t="s">
        <v>496</v>
      </c>
      <c r="S43" s="96" t="s">
        <v>231</v>
      </c>
      <c r="T43" s="96" t="s">
        <v>374</v>
      </c>
      <c r="U43" s="96"/>
      <c r="V43" s="8" t="s">
        <v>202</v>
      </c>
      <c r="W43" s="8"/>
    </row>
    <row r="44" spans="1:23" hidden="1" x14ac:dyDescent="0.25">
      <c r="A44" s="13">
        <v>1031</v>
      </c>
      <c r="B44" s="13">
        <v>9</v>
      </c>
      <c r="C44" s="12">
        <v>464066</v>
      </c>
      <c r="D44" s="12">
        <v>28</v>
      </c>
      <c r="E44" s="8" t="s">
        <v>89</v>
      </c>
      <c r="F44" s="8" t="s">
        <v>60</v>
      </c>
      <c r="G44" s="8">
        <v>1</v>
      </c>
      <c r="H44" s="16">
        <v>46226</v>
      </c>
      <c r="I44" s="9">
        <v>46227</v>
      </c>
      <c r="J44" s="16">
        <v>46266</v>
      </c>
      <c r="K44" s="16"/>
      <c r="L44" s="9" t="s">
        <v>56</v>
      </c>
      <c r="M44" s="8" t="s">
        <v>56</v>
      </c>
      <c r="N44" s="10">
        <f ca="1">Tabela3[[#This Row],[Prazo
Entrega]]-TODAY()</f>
        <v>36</v>
      </c>
      <c r="O44" s="8" t="str">
        <f t="shared" ca="1" si="1"/>
        <v>NO PRAZO</v>
      </c>
      <c r="P44" s="8" t="s">
        <v>32</v>
      </c>
      <c r="Q44" s="96" t="s">
        <v>495</v>
      </c>
      <c r="R44" s="96" t="s">
        <v>496</v>
      </c>
      <c r="S44" s="96" t="s">
        <v>231</v>
      </c>
      <c r="T44" s="96" t="s">
        <v>374</v>
      </c>
      <c r="U44" s="96"/>
      <c r="V44" s="8" t="s">
        <v>202</v>
      </c>
      <c r="W44" s="8"/>
    </row>
    <row r="45" spans="1:23" hidden="1" x14ac:dyDescent="0.25">
      <c r="A45" s="13">
        <v>1031</v>
      </c>
      <c r="B45" s="13">
        <v>10</v>
      </c>
      <c r="C45" s="12">
        <v>464066</v>
      </c>
      <c r="D45" s="12">
        <v>29</v>
      </c>
      <c r="E45" s="8" t="s">
        <v>89</v>
      </c>
      <c r="F45" s="8" t="s">
        <v>60</v>
      </c>
      <c r="G45" s="8">
        <v>1</v>
      </c>
      <c r="H45" s="16">
        <v>46226</v>
      </c>
      <c r="I45" s="9">
        <v>46227</v>
      </c>
      <c r="J45" s="16">
        <v>46266</v>
      </c>
      <c r="K45" s="16"/>
      <c r="L45" s="9" t="s">
        <v>56</v>
      </c>
      <c r="M45" s="8" t="s">
        <v>56</v>
      </c>
      <c r="N45" s="10">
        <f ca="1">Tabela3[[#This Row],[Prazo
Entrega]]-TODAY()</f>
        <v>36</v>
      </c>
      <c r="O45" s="8" t="str">
        <f t="shared" ca="1" si="1"/>
        <v>NO PRAZO</v>
      </c>
      <c r="P45" s="8" t="s">
        <v>32</v>
      </c>
      <c r="Q45" s="96" t="s">
        <v>495</v>
      </c>
      <c r="R45" s="96" t="s">
        <v>496</v>
      </c>
      <c r="S45" s="96" t="s">
        <v>231</v>
      </c>
      <c r="T45" s="96" t="s">
        <v>374</v>
      </c>
      <c r="U45" s="96"/>
      <c r="V45" s="8" t="s">
        <v>202</v>
      </c>
      <c r="W45" s="8"/>
    </row>
    <row r="46" spans="1:23" hidden="1" x14ac:dyDescent="0.25">
      <c r="A46" s="13">
        <v>1031</v>
      </c>
      <c r="B46" s="13">
        <v>11</v>
      </c>
      <c r="C46" s="12">
        <v>464066</v>
      </c>
      <c r="D46" s="12">
        <v>30</v>
      </c>
      <c r="E46" s="8" t="s">
        <v>89</v>
      </c>
      <c r="F46" s="8" t="s">
        <v>60</v>
      </c>
      <c r="G46" s="8">
        <v>1</v>
      </c>
      <c r="H46" s="16">
        <v>46226</v>
      </c>
      <c r="I46" s="9">
        <v>46227</v>
      </c>
      <c r="J46" s="16">
        <v>46266</v>
      </c>
      <c r="K46" s="16"/>
      <c r="L46" s="9" t="s">
        <v>56</v>
      </c>
      <c r="M46" s="8" t="s">
        <v>56</v>
      </c>
      <c r="N46" s="10">
        <f ca="1">Tabela3[[#This Row],[Prazo
Entrega]]-TODAY()</f>
        <v>36</v>
      </c>
      <c r="O46" s="8" t="str">
        <f t="shared" ca="1" si="1"/>
        <v>NO PRAZO</v>
      </c>
      <c r="P46" s="8" t="s">
        <v>32</v>
      </c>
      <c r="Q46" s="96" t="s">
        <v>495</v>
      </c>
      <c r="R46" s="96" t="s">
        <v>496</v>
      </c>
      <c r="S46" s="96" t="s">
        <v>231</v>
      </c>
      <c r="T46" s="96" t="s">
        <v>374</v>
      </c>
      <c r="U46" s="96"/>
      <c r="V46" s="8" t="s">
        <v>202</v>
      </c>
      <c r="W46" s="8"/>
    </row>
    <row r="47" spans="1:23" hidden="1" x14ac:dyDescent="0.25">
      <c r="A47" s="13">
        <v>1031</v>
      </c>
      <c r="B47" s="13">
        <v>12</v>
      </c>
      <c r="C47" s="12">
        <v>464066</v>
      </c>
      <c r="D47" s="12">
        <v>31</v>
      </c>
      <c r="E47" s="8" t="s">
        <v>89</v>
      </c>
      <c r="F47" s="8" t="s">
        <v>60</v>
      </c>
      <c r="G47" s="8">
        <v>1</v>
      </c>
      <c r="H47" s="16">
        <v>46226</v>
      </c>
      <c r="I47" s="9">
        <v>46227</v>
      </c>
      <c r="J47" s="16">
        <v>46266</v>
      </c>
      <c r="K47" s="16"/>
      <c r="L47" s="9" t="s">
        <v>56</v>
      </c>
      <c r="M47" s="8" t="s">
        <v>56</v>
      </c>
      <c r="N47" s="10">
        <f ca="1">Tabela3[[#This Row],[Prazo
Entrega]]-TODAY()</f>
        <v>36</v>
      </c>
      <c r="O47" s="8" t="str">
        <f t="shared" ca="1" si="1"/>
        <v>NO PRAZO</v>
      </c>
      <c r="P47" s="8" t="s">
        <v>32</v>
      </c>
      <c r="Q47" s="96" t="s">
        <v>495</v>
      </c>
      <c r="R47" s="96" t="s">
        <v>496</v>
      </c>
      <c r="S47" s="96" t="s">
        <v>231</v>
      </c>
      <c r="T47" s="96" t="s">
        <v>374</v>
      </c>
      <c r="U47" s="96"/>
      <c r="V47" s="8" t="s">
        <v>202</v>
      </c>
      <c r="W47" s="8"/>
    </row>
    <row r="48" spans="1:23" hidden="1" x14ac:dyDescent="0.25">
      <c r="A48" s="13">
        <v>1031</v>
      </c>
      <c r="B48" s="13">
        <v>13</v>
      </c>
      <c r="C48" s="12">
        <v>464066</v>
      </c>
      <c r="D48" s="12">
        <v>32</v>
      </c>
      <c r="E48" s="8" t="s">
        <v>89</v>
      </c>
      <c r="F48" s="8" t="s">
        <v>60</v>
      </c>
      <c r="G48" s="8">
        <v>1</v>
      </c>
      <c r="H48" s="16">
        <v>46226</v>
      </c>
      <c r="I48" s="9">
        <v>46227</v>
      </c>
      <c r="J48" s="16">
        <v>46266</v>
      </c>
      <c r="K48" s="16"/>
      <c r="L48" s="9" t="s">
        <v>56</v>
      </c>
      <c r="M48" s="8" t="s">
        <v>56</v>
      </c>
      <c r="N48" s="10">
        <f ca="1">Tabela3[[#This Row],[Prazo
Entrega]]-TODAY()</f>
        <v>36</v>
      </c>
      <c r="O48" s="8" t="str">
        <f t="shared" ca="1" si="1"/>
        <v>NO PRAZO</v>
      </c>
      <c r="P48" s="8" t="s">
        <v>32</v>
      </c>
      <c r="Q48" s="96" t="s">
        <v>495</v>
      </c>
      <c r="R48" s="96" t="s">
        <v>496</v>
      </c>
      <c r="S48" s="96" t="s">
        <v>231</v>
      </c>
      <c r="T48" s="96" t="s">
        <v>374</v>
      </c>
      <c r="U48" s="96"/>
      <c r="V48" s="8" t="s">
        <v>202</v>
      </c>
      <c r="W48" s="8"/>
    </row>
    <row r="49" spans="1:23" hidden="1" x14ac:dyDescent="0.25">
      <c r="A49" s="13">
        <v>1031</v>
      </c>
      <c r="B49" s="13">
        <v>14</v>
      </c>
      <c r="C49" s="12">
        <v>464066</v>
      </c>
      <c r="D49" s="12">
        <v>33</v>
      </c>
      <c r="E49" s="8" t="s">
        <v>89</v>
      </c>
      <c r="F49" s="8" t="s">
        <v>60</v>
      </c>
      <c r="G49" s="8">
        <v>1</v>
      </c>
      <c r="H49" s="16">
        <v>46226</v>
      </c>
      <c r="I49" s="9">
        <v>46227</v>
      </c>
      <c r="J49" s="16">
        <v>46266</v>
      </c>
      <c r="K49" s="16"/>
      <c r="L49" s="9" t="s">
        <v>56</v>
      </c>
      <c r="M49" s="8" t="s">
        <v>56</v>
      </c>
      <c r="N49" s="10">
        <f ca="1">Tabela3[[#This Row],[Prazo
Entrega]]-TODAY()</f>
        <v>36</v>
      </c>
      <c r="O49" s="8" t="str">
        <f t="shared" ca="1" si="1"/>
        <v>NO PRAZO</v>
      </c>
      <c r="P49" s="8" t="s">
        <v>32</v>
      </c>
      <c r="Q49" s="96" t="s">
        <v>495</v>
      </c>
      <c r="R49" s="96" t="s">
        <v>496</v>
      </c>
      <c r="S49" s="96" t="s">
        <v>231</v>
      </c>
      <c r="T49" s="96" t="s">
        <v>374</v>
      </c>
      <c r="U49" s="96"/>
      <c r="V49" s="8" t="s">
        <v>202</v>
      </c>
      <c r="W49" s="8"/>
    </row>
    <row r="50" spans="1:23" hidden="1" x14ac:dyDescent="0.25">
      <c r="A50" s="13">
        <v>1031</v>
      </c>
      <c r="B50" s="13">
        <v>15</v>
      </c>
      <c r="C50" s="12">
        <v>464041</v>
      </c>
      <c r="D50" s="12">
        <v>39</v>
      </c>
      <c r="E50" s="8" t="s">
        <v>89</v>
      </c>
      <c r="F50" s="8" t="s">
        <v>95</v>
      </c>
      <c r="G50" s="8">
        <v>1</v>
      </c>
      <c r="H50" s="16">
        <v>46236</v>
      </c>
      <c r="I50" s="9">
        <v>46227</v>
      </c>
      <c r="J50" s="16">
        <v>46276</v>
      </c>
      <c r="K50" s="16"/>
      <c r="L50" s="9" t="s">
        <v>56</v>
      </c>
      <c r="M50" s="8" t="s">
        <v>56</v>
      </c>
      <c r="N50" s="10">
        <f ca="1">Tabela3[[#This Row],[Prazo
Entrega]]-TODAY()</f>
        <v>46</v>
      </c>
      <c r="O50" s="8" t="str">
        <f t="shared" ca="1" si="1"/>
        <v>NO PRAZO</v>
      </c>
      <c r="P50" s="8" t="s">
        <v>32</v>
      </c>
      <c r="Q50" s="96" t="s">
        <v>495</v>
      </c>
      <c r="R50" s="96" t="s">
        <v>496</v>
      </c>
      <c r="S50" s="96" t="s">
        <v>231</v>
      </c>
      <c r="T50" s="96" t="s">
        <v>374</v>
      </c>
      <c r="U50" s="96"/>
      <c r="V50" s="8" t="s">
        <v>202</v>
      </c>
      <c r="W50" s="8"/>
    </row>
    <row r="51" spans="1:23" hidden="1" x14ac:dyDescent="0.25">
      <c r="A51" s="13">
        <v>1031</v>
      </c>
      <c r="B51" s="13">
        <v>16</v>
      </c>
      <c r="C51" s="12">
        <v>464041</v>
      </c>
      <c r="D51" s="12">
        <v>40</v>
      </c>
      <c r="E51" s="8" t="s">
        <v>89</v>
      </c>
      <c r="F51" s="8" t="s">
        <v>95</v>
      </c>
      <c r="G51" s="8">
        <v>1</v>
      </c>
      <c r="H51" s="16">
        <v>46236</v>
      </c>
      <c r="I51" s="9">
        <v>46227</v>
      </c>
      <c r="J51" s="16">
        <v>46276</v>
      </c>
      <c r="K51" s="16"/>
      <c r="L51" s="9" t="s">
        <v>56</v>
      </c>
      <c r="M51" s="8" t="s">
        <v>56</v>
      </c>
      <c r="N51" s="10">
        <f ca="1">Tabela3[[#This Row],[Prazo
Entrega]]-TODAY()</f>
        <v>46</v>
      </c>
      <c r="O51" s="8" t="str">
        <f t="shared" ca="1" si="1"/>
        <v>NO PRAZO</v>
      </c>
      <c r="P51" s="8" t="s">
        <v>32</v>
      </c>
      <c r="Q51" s="96" t="s">
        <v>495</v>
      </c>
      <c r="R51" s="96" t="s">
        <v>496</v>
      </c>
      <c r="S51" s="96" t="s">
        <v>231</v>
      </c>
      <c r="T51" s="96" t="s">
        <v>374</v>
      </c>
      <c r="U51" s="96"/>
      <c r="V51" s="8" t="s">
        <v>202</v>
      </c>
      <c r="W51" s="8"/>
    </row>
    <row r="52" spans="1:23" hidden="1" x14ac:dyDescent="0.25">
      <c r="A52" s="13">
        <v>1031</v>
      </c>
      <c r="B52" s="13">
        <v>17</v>
      </c>
      <c r="C52" s="12">
        <v>464041</v>
      </c>
      <c r="D52" s="12">
        <v>41</v>
      </c>
      <c r="E52" s="8" t="s">
        <v>89</v>
      </c>
      <c r="F52" s="8" t="s">
        <v>95</v>
      </c>
      <c r="G52" s="8">
        <v>1</v>
      </c>
      <c r="H52" s="16">
        <v>46236</v>
      </c>
      <c r="I52" s="8"/>
      <c r="J52" s="16">
        <v>46276</v>
      </c>
      <c r="K52" s="16"/>
      <c r="L52" s="9" t="s">
        <v>56</v>
      </c>
      <c r="M52" s="8" t="s">
        <v>56</v>
      </c>
      <c r="N52" s="10">
        <f ca="1">Tabela3[[#This Row],[Prazo
Entrega]]-TODAY()</f>
        <v>46</v>
      </c>
      <c r="O52" s="8" t="str">
        <f t="shared" ca="1" si="1"/>
        <v>NO PRAZO</v>
      </c>
      <c r="P52" s="8" t="s">
        <v>32</v>
      </c>
      <c r="Q52" s="96" t="s">
        <v>495</v>
      </c>
      <c r="R52" s="96" t="s">
        <v>496</v>
      </c>
      <c r="S52" s="96" t="s">
        <v>231</v>
      </c>
      <c r="T52" s="96" t="s">
        <v>374</v>
      </c>
      <c r="U52" s="96"/>
      <c r="V52" s="8" t="s">
        <v>48</v>
      </c>
      <c r="W52" s="8"/>
    </row>
    <row r="53" spans="1:23" hidden="1" x14ac:dyDescent="0.25">
      <c r="A53" s="13">
        <v>1031</v>
      </c>
      <c r="B53" s="13">
        <v>18</v>
      </c>
      <c r="C53" s="12">
        <v>464041</v>
      </c>
      <c r="D53" s="12">
        <v>42</v>
      </c>
      <c r="E53" s="8" t="s">
        <v>89</v>
      </c>
      <c r="F53" s="8" t="s">
        <v>95</v>
      </c>
      <c r="G53" s="8">
        <v>1</v>
      </c>
      <c r="H53" s="16">
        <v>46236</v>
      </c>
      <c r="I53" s="9">
        <v>46227</v>
      </c>
      <c r="J53" s="16">
        <v>46276</v>
      </c>
      <c r="K53" s="16"/>
      <c r="L53" s="9" t="s">
        <v>56</v>
      </c>
      <c r="M53" s="8" t="s">
        <v>56</v>
      </c>
      <c r="N53" s="10">
        <f ca="1">Tabela3[[#This Row],[Prazo
Entrega]]-TODAY()</f>
        <v>46</v>
      </c>
      <c r="O53" s="8" t="str">
        <f t="shared" ca="1" si="1"/>
        <v>NO PRAZO</v>
      </c>
      <c r="P53" s="8" t="s">
        <v>32</v>
      </c>
      <c r="Q53" s="96" t="s">
        <v>495</v>
      </c>
      <c r="R53" s="96" t="s">
        <v>496</v>
      </c>
      <c r="S53" s="96" t="s">
        <v>231</v>
      </c>
      <c r="T53" s="96" t="s">
        <v>374</v>
      </c>
      <c r="U53" s="96"/>
      <c r="V53" s="8" t="s">
        <v>202</v>
      </c>
      <c r="W53" s="8"/>
    </row>
    <row r="54" spans="1:23" hidden="1" x14ac:dyDescent="0.25">
      <c r="A54" s="13">
        <v>1031</v>
      </c>
      <c r="B54" s="13">
        <v>19</v>
      </c>
      <c r="C54" s="12">
        <v>464041</v>
      </c>
      <c r="D54" s="12">
        <v>43</v>
      </c>
      <c r="E54" s="8" t="s">
        <v>89</v>
      </c>
      <c r="F54" s="8" t="s">
        <v>95</v>
      </c>
      <c r="G54" s="8">
        <v>1</v>
      </c>
      <c r="H54" s="16">
        <v>46236</v>
      </c>
      <c r="I54" s="9">
        <v>46227</v>
      </c>
      <c r="J54" s="16">
        <v>46276</v>
      </c>
      <c r="K54" s="16"/>
      <c r="L54" s="9" t="s">
        <v>56</v>
      </c>
      <c r="M54" s="8" t="s">
        <v>56</v>
      </c>
      <c r="N54" s="10">
        <f ca="1">Tabela3[[#This Row],[Prazo
Entrega]]-TODAY()</f>
        <v>46</v>
      </c>
      <c r="O54" s="8" t="str">
        <f t="shared" ca="1" si="1"/>
        <v>NO PRAZO</v>
      </c>
      <c r="P54" s="8" t="s">
        <v>32</v>
      </c>
      <c r="Q54" s="96" t="s">
        <v>495</v>
      </c>
      <c r="R54" s="96" t="s">
        <v>496</v>
      </c>
      <c r="S54" s="96" t="s">
        <v>231</v>
      </c>
      <c r="T54" s="96" t="s">
        <v>374</v>
      </c>
      <c r="U54" s="96"/>
      <c r="V54" s="8" t="s">
        <v>202</v>
      </c>
      <c r="W54" s="8"/>
    </row>
    <row r="55" spans="1:23" hidden="1" x14ac:dyDescent="0.25">
      <c r="A55" s="13">
        <v>1031</v>
      </c>
      <c r="B55" s="13">
        <v>20</v>
      </c>
      <c r="C55" s="12">
        <v>464041</v>
      </c>
      <c r="D55" s="12">
        <v>44</v>
      </c>
      <c r="E55" s="8" t="s">
        <v>89</v>
      </c>
      <c r="F55" s="8" t="s">
        <v>95</v>
      </c>
      <c r="G55" s="8">
        <v>1</v>
      </c>
      <c r="H55" s="16">
        <v>46236</v>
      </c>
      <c r="I55" s="8"/>
      <c r="J55" s="16">
        <v>46276</v>
      </c>
      <c r="K55" s="16"/>
      <c r="L55" s="9" t="s">
        <v>56</v>
      </c>
      <c r="M55" s="8" t="s">
        <v>56</v>
      </c>
      <c r="N55" s="10">
        <f ca="1">Tabela3[[#This Row],[Prazo
Entrega]]-TODAY()</f>
        <v>46</v>
      </c>
      <c r="O55" s="8" t="str">
        <f t="shared" ca="1" si="1"/>
        <v>NO PRAZO</v>
      </c>
      <c r="P55" s="8" t="s">
        <v>32</v>
      </c>
      <c r="Q55" s="96" t="s">
        <v>495</v>
      </c>
      <c r="R55" s="96" t="s">
        <v>496</v>
      </c>
      <c r="S55" s="96" t="s">
        <v>231</v>
      </c>
      <c r="T55" s="96" t="s">
        <v>374</v>
      </c>
      <c r="U55" s="96"/>
      <c r="V55" s="8" t="s">
        <v>48</v>
      </c>
      <c r="W55" s="8"/>
    </row>
    <row r="56" spans="1:23" hidden="1" x14ac:dyDescent="0.25">
      <c r="A56" s="13">
        <v>1031</v>
      </c>
      <c r="B56" s="13">
        <v>21</v>
      </c>
      <c r="C56" s="12">
        <v>464041</v>
      </c>
      <c r="D56" s="12">
        <v>45</v>
      </c>
      <c r="E56" s="8" t="s">
        <v>89</v>
      </c>
      <c r="F56" s="8" t="s">
        <v>95</v>
      </c>
      <c r="G56" s="8">
        <v>1</v>
      </c>
      <c r="H56" s="16">
        <v>46236</v>
      </c>
      <c r="I56" s="8"/>
      <c r="J56" s="16">
        <v>46276</v>
      </c>
      <c r="K56" s="16"/>
      <c r="L56" s="9" t="s">
        <v>56</v>
      </c>
      <c r="M56" s="8" t="s">
        <v>56</v>
      </c>
      <c r="N56" s="10">
        <f ca="1">Tabela3[[#This Row],[Prazo
Entrega]]-TODAY()</f>
        <v>46</v>
      </c>
      <c r="O56" s="8" t="str">
        <f t="shared" ca="1" si="1"/>
        <v>NO PRAZO</v>
      </c>
      <c r="P56" s="8" t="s">
        <v>32</v>
      </c>
      <c r="Q56" s="96" t="s">
        <v>495</v>
      </c>
      <c r="R56" s="96" t="s">
        <v>496</v>
      </c>
      <c r="S56" s="96" t="s">
        <v>231</v>
      </c>
      <c r="T56" s="96" t="s">
        <v>374</v>
      </c>
      <c r="U56" s="96"/>
      <c r="V56" s="8" t="s">
        <v>48</v>
      </c>
      <c r="W56" s="8"/>
    </row>
    <row r="57" spans="1:23" hidden="1" x14ac:dyDescent="0.25">
      <c r="A57" s="13">
        <v>1031</v>
      </c>
      <c r="B57" s="13">
        <v>22</v>
      </c>
      <c r="C57" s="12">
        <v>464041</v>
      </c>
      <c r="D57" s="12">
        <v>46</v>
      </c>
      <c r="E57" s="8" t="s">
        <v>89</v>
      </c>
      <c r="F57" s="8" t="s">
        <v>95</v>
      </c>
      <c r="G57" s="8">
        <v>1</v>
      </c>
      <c r="H57" s="16">
        <v>46236</v>
      </c>
      <c r="I57" s="8"/>
      <c r="J57" s="16">
        <v>46276</v>
      </c>
      <c r="K57" s="16"/>
      <c r="L57" s="9" t="s">
        <v>56</v>
      </c>
      <c r="M57" s="8" t="s">
        <v>56</v>
      </c>
      <c r="N57" s="10">
        <f ca="1">Tabela3[[#This Row],[Prazo
Entrega]]-TODAY()</f>
        <v>46</v>
      </c>
      <c r="O57" s="8" t="str">
        <f t="shared" ca="1" si="1"/>
        <v>NO PRAZO</v>
      </c>
      <c r="P57" s="8" t="s">
        <v>32</v>
      </c>
      <c r="Q57" s="96" t="s">
        <v>495</v>
      </c>
      <c r="R57" s="96" t="s">
        <v>496</v>
      </c>
      <c r="S57" s="96" t="s">
        <v>231</v>
      </c>
      <c r="T57" s="96" t="s">
        <v>374</v>
      </c>
      <c r="U57" s="96"/>
      <c r="V57" s="8" t="s">
        <v>48</v>
      </c>
      <c r="W57" s="8"/>
    </row>
    <row r="58" spans="1:23" hidden="1" x14ac:dyDescent="0.25">
      <c r="A58" s="13">
        <v>1031</v>
      </c>
      <c r="B58" s="13">
        <v>23</v>
      </c>
      <c r="C58" s="12">
        <v>464041</v>
      </c>
      <c r="D58" s="12">
        <v>47</v>
      </c>
      <c r="E58" s="8" t="s">
        <v>89</v>
      </c>
      <c r="F58" s="8" t="s">
        <v>95</v>
      </c>
      <c r="G58" s="8">
        <v>1</v>
      </c>
      <c r="H58" s="16">
        <v>46236</v>
      </c>
      <c r="I58" s="8"/>
      <c r="J58" s="16">
        <v>46276</v>
      </c>
      <c r="K58" s="16"/>
      <c r="L58" s="9" t="s">
        <v>56</v>
      </c>
      <c r="M58" s="8" t="s">
        <v>56</v>
      </c>
      <c r="N58" s="10">
        <f ca="1">Tabela3[[#This Row],[Prazo
Entrega]]-TODAY()</f>
        <v>46</v>
      </c>
      <c r="O58" s="8" t="str">
        <f t="shared" ca="1" si="1"/>
        <v>NO PRAZO</v>
      </c>
      <c r="P58" s="8" t="s">
        <v>32</v>
      </c>
      <c r="Q58" s="96" t="s">
        <v>495</v>
      </c>
      <c r="R58" s="96" t="s">
        <v>496</v>
      </c>
      <c r="S58" s="96" t="s">
        <v>231</v>
      </c>
      <c r="T58" s="96" t="s">
        <v>374</v>
      </c>
      <c r="U58" s="96"/>
      <c r="V58" s="8" t="s">
        <v>48</v>
      </c>
      <c r="W58" s="8"/>
    </row>
    <row r="59" spans="1:23" hidden="1" x14ac:dyDescent="0.25">
      <c r="A59" s="13">
        <v>1031</v>
      </c>
      <c r="B59" s="13">
        <v>24</v>
      </c>
      <c r="C59" s="12">
        <v>464041</v>
      </c>
      <c r="D59" s="12">
        <v>48</v>
      </c>
      <c r="E59" s="8" t="s">
        <v>89</v>
      </c>
      <c r="F59" s="8" t="s">
        <v>95</v>
      </c>
      <c r="G59" s="8">
        <v>1</v>
      </c>
      <c r="H59" s="16">
        <v>46236</v>
      </c>
      <c r="I59" s="8"/>
      <c r="J59" s="16">
        <v>46276</v>
      </c>
      <c r="K59" s="16"/>
      <c r="L59" s="9" t="s">
        <v>56</v>
      </c>
      <c r="M59" s="8" t="s">
        <v>56</v>
      </c>
      <c r="N59" s="10">
        <f ca="1">Tabela3[[#This Row],[Prazo
Entrega]]-TODAY()</f>
        <v>46</v>
      </c>
      <c r="O59" s="8" t="str">
        <f t="shared" ca="1" si="1"/>
        <v>NO PRAZO</v>
      </c>
      <c r="P59" s="8" t="s">
        <v>32</v>
      </c>
      <c r="Q59" s="96" t="s">
        <v>495</v>
      </c>
      <c r="R59" s="96" t="s">
        <v>496</v>
      </c>
      <c r="S59" s="96" t="s">
        <v>231</v>
      </c>
      <c r="T59" s="96" t="s">
        <v>374</v>
      </c>
      <c r="U59" s="96"/>
      <c r="V59" s="8" t="s">
        <v>48</v>
      </c>
      <c r="W59" s="8"/>
    </row>
    <row r="60" spans="1:23" hidden="1" x14ac:dyDescent="0.25">
      <c r="A60" s="13">
        <v>1031</v>
      </c>
      <c r="B60" s="13">
        <v>25</v>
      </c>
      <c r="C60" s="12">
        <v>464041</v>
      </c>
      <c r="D60" s="12">
        <v>49</v>
      </c>
      <c r="E60" s="8" t="s">
        <v>89</v>
      </c>
      <c r="F60" s="8" t="s">
        <v>95</v>
      </c>
      <c r="G60" s="8">
        <v>1</v>
      </c>
      <c r="H60" s="16">
        <v>46236</v>
      </c>
      <c r="I60" s="8"/>
      <c r="J60" s="16">
        <v>46276</v>
      </c>
      <c r="K60" s="16"/>
      <c r="L60" s="9" t="s">
        <v>56</v>
      </c>
      <c r="M60" s="8" t="s">
        <v>56</v>
      </c>
      <c r="N60" s="10">
        <f ca="1">Tabela3[[#This Row],[Prazo
Entrega]]-TODAY()</f>
        <v>46</v>
      </c>
      <c r="O60" s="8" t="str">
        <f t="shared" ca="1" si="1"/>
        <v>NO PRAZO</v>
      </c>
      <c r="P60" s="8" t="s">
        <v>32</v>
      </c>
      <c r="Q60" s="96" t="s">
        <v>495</v>
      </c>
      <c r="R60" s="96" t="s">
        <v>496</v>
      </c>
      <c r="S60" s="96" t="s">
        <v>231</v>
      </c>
      <c r="T60" s="96" t="s">
        <v>374</v>
      </c>
      <c r="U60" s="96"/>
      <c r="V60" s="8" t="s">
        <v>48</v>
      </c>
      <c r="W60" s="8"/>
    </row>
    <row r="61" spans="1:23" hidden="1" x14ac:dyDescent="0.25">
      <c r="A61" s="13">
        <v>1031</v>
      </c>
      <c r="B61" s="13">
        <v>26</v>
      </c>
      <c r="C61" s="12">
        <v>464041</v>
      </c>
      <c r="D61" s="12">
        <v>50</v>
      </c>
      <c r="E61" s="8" t="s">
        <v>89</v>
      </c>
      <c r="F61" s="8" t="s">
        <v>95</v>
      </c>
      <c r="G61" s="8">
        <v>1</v>
      </c>
      <c r="H61" s="16">
        <v>46236</v>
      </c>
      <c r="I61" s="8"/>
      <c r="J61" s="16">
        <v>46276</v>
      </c>
      <c r="K61" s="16"/>
      <c r="L61" s="9" t="s">
        <v>56</v>
      </c>
      <c r="M61" s="8" t="s">
        <v>56</v>
      </c>
      <c r="N61" s="10">
        <f ca="1">Tabela3[[#This Row],[Prazo
Entrega]]-TODAY()</f>
        <v>46</v>
      </c>
      <c r="O61" s="8" t="str">
        <f t="shared" ca="1" si="1"/>
        <v>NO PRAZO</v>
      </c>
      <c r="P61" s="8" t="s">
        <v>32</v>
      </c>
      <c r="Q61" s="96" t="s">
        <v>495</v>
      </c>
      <c r="R61" s="96" t="s">
        <v>496</v>
      </c>
      <c r="S61" s="96" t="s">
        <v>231</v>
      </c>
      <c r="T61" s="96" t="s">
        <v>374</v>
      </c>
      <c r="U61" s="96"/>
      <c r="V61" s="8" t="s">
        <v>48</v>
      </c>
      <c r="W61" s="8"/>
    </row>
    <row r="62" spans="1:23" hidden="1" x14ac:dyDescent="0.25">
      <c r="A62" s="13">
        <v>1031</v>
      </c>
      <c r="B62" s="13">
        <v>27</v>
      </c>
      <c r="C62" s="12">
        <v>464041</v>
      </c>
      <c r="D62" s="12">
        <v>51</v>
      </c>
      <c r="E62" s="8" t="s">
        <v>89</v>
      </c>
      <c r="F62" s="8" t="s">
        <v>95</v>
      </c>
      <c r="G62" s="8">
        <v>1</v>
      </c>
      <c r="H62" s="16">
        <v>46236</v>
      </c>
      <c r="I62" s="8"/>
      <c r="J62" s="16">
        <v>46276</v>
      </c>
      <c r="K62" s="16"/>
      <c r="L62" s="9" t="s">
        <v>56</v>
      </c>
      <c r="M62" s="8" t="s">
        <v>56</v>
      </c>
      <c r="N62" s="10">
        <f ca="1">Tabela3[[#This Row],[Prazo
Entrega]]-TODAY()</f>
        <v>46</v>
      </c>
      <c r="O62" s="8" t="str">
        <f t="shared" ca="1" si="1"/>
        <v>NO PRAZO</v>
      </c>
      <c r="P62" s="8" t="s">
        <v>32</v>
      </c>
      <c r="Q62" s="96" t="s">
        <v>495</v>
      </c>
      <c r="R62" s="96" t="s">
        <v>496</v>
      </c>
      <c r="S62" s="96" t="s">
        <v>231</v>
      </c>
      <c r="T62" s="96" t="s">
        <v>374</v>
      </c>
      <c r="U62" s="96"/>
      <c r="V62" s="8" t="s">
        <v>48</v>
      </c>
      <c r="W62" s="8"/>
    </row>
    <row r="63" spans="1:23" hidden="1" x14ac:dyDescent="0.25">
      <c r="A63" s="13">
        <v>1031</v>
      </c>
      <c r="B63" s="13">
        <v>28</v>
      </c>
      <c r="C63" s="12">
        <v>464041</v>
      </c>
      <c r="D63" s="12">
        <v>52</v>
      </c>
      <c r="E63" s="8" t="s">
        <v>89</v>
      </c>
      <c r="F63" s="8" t="s">
        <v>95</v>
      </c>
      <c r="G63" s="8">
        <v>1</v>
      </c>
      <c r="H63" s="16">
        <v>46236</v>
      </c>
      <c r="I63" s="8"/>
      <c r="J63" s="16">
        <v>46276</v>
      </c>
      <c r="K63" s="16"/>
      <c r="L63" s="9" t="s">
        <v>56</v>
      </c>
      <c r="M63" s="8" t="s">
        <v>56</v>
      </c>
      <c r="N63" s="10">
        <f ca="1">Tabela3[[#This Row],[Prazo
Entrega]]-TODAY()</f>
        <v>46</v>
      </c>
      <c r="O63" s="8" t="str">
        <f t="shared" ca="1" si="1"/>
        <v>NO PRAZO</v>
      </c>
      <c r="P63" s="8" t="s">
        <v>32</v>
      </c>
      <c r="Q63" s="96" t="s">
        <v>495</v>
      </c>
      <c r="R63" s="96" t="s">
        <v>496</v>
      </c>
      <c r="S63" s="96" t="s">
        <v>231</v>
      </c>
      <c r="T63" s="96" t="s">
        <v>374</v>
      </c>
      <c r="U63" s="96"/>
      <c r="V63" s="8" t="s">
        <v>48</v>
      </c>
      <c r="W63" s="8"/>
    </row>
    <row r="64" spans="1:23" hidden="1" x14ac:dyDescent="0.25">
      <c r="A64" s="13">
        <v>1031</v>
      </c>
      <c r="B64" s="13">
        <v>29</v>
      </c>
      <c r="C64" s="12">
        <v>464041</v>
      </c>
      <c r="D64" s="12">
        <v>53</v>
      </c>
      <c r="E64" s="8" t="s">
        <v>89</v>
      </c>
      <c r="F64" s="8" t="s">
        <v>95</v>
      </c>
      <c r="G64" s="8">
        <v>1</v>
      </c>
      <c r="H64" s="16">
        <v>46236</v>
      </c>
      <c r="I64" s="8"/>
      <c r="J64" s="16">
        <v>46276</v>
      </c>
      <c r="K64" s="16"/>
      <c r="L64" s="9" t="s">
        <v>56</v>
      </c>
      <c r="M64" s="8" t="s">
        <v>56</v>
      </c>
      <c r="N64" s="10">
        <f ca="1">Tabela3[[#This Row],[Prazo
Entrega]]-TODAY()</f>
        <v>46</v>
      </c>
      <c r="O64" s="8" t="str">
        <f t="shared" ca="1" si="1"/>
        <v>NO PRAZO</v>
      </c>
      <c r="P64" s="8" t="s">
        <v>32</v>
      </c>
      <c r="Q64" s="96" t="s">
        <v>495</v>
      </c>
      <c r="R64" s="96" t="s">
        <v>496</v>
      </c>
      <c r="S64" s="96" t="s">
        <v>231</v>
      </c>
      <c r="T64" s="96" t="s">
        <v>374</v>
      </c>
      <c r="U64" s="96"/>
      <c r="V64" s="8" t="s">
        <v>48</v>
      </c>
      <c r="W64" s="8"/>
    </row>
    <row r="65" spans="1:23" hidden="1" x14ac:dyDescent="0.25">
      <c r="A65" s="13">
        <v>1031</v>
      </c>
      <c r="B65" s="13">
        <v>30</v>
      </c>
      <c r="C65" s="12">
        <v>464039</v>
      </c>
      <c r="D65" s="12">
        <v>47</v>
      </c>
      <c r="E65" s="8" t="s">
        <v>89</v>
      </c>
      <c r="F65" s="8" t="s">
        <v>96</v>
      </c>
      <c r="G65" s="8">
        <v>1</v>
      </c>
      <c r="H65" s="16">
        <v>46246</v>
      </c>
      <c r="I65" s="8"/>
      <c r="J65" s="16">
        <v>46286</v>
      </c>
      <c r="K65" s="16"/>
      <c r="L65" s="9" t="s">
        <v>56</v>
      </c>
      <c r="M65" s="8" t="s">
        <v>56</v>
      </c>
      <c r="N65" s="10">
        <f ca="1">Tabela3[[#This Row],[Prazo
Entrega]]-TODAY()</f>
        <v>56</v>
      </c>
      <c r="O65" s="8" t="str">
        <f t="shared" ca="1" si="1"/>
        <v>NO PRAZO</v>
      </c>
      <c r="P65" s="8" t="s">
        <v>32</v>
      </c>
      <c r="Q65" s="96" t="s">
        <v>495</v>
      </c>
      <c r="R65" s="96" t="s">
        <v>496</v>
      </c>
      <c r="S65" s="96" t="s">
        <v>231</v>
      </c>
      <c r="T65" s="96" t="s">
        <v>374</v>
      </c>
      <c r="U65" s="96"/>
      <c r="V65" s="8" t="s">
        <v>48</v>
      </c>
      <c r="W65" s="8"/>
    </row>
    <row r="66" spans="1:23" hidden="1" x14ac:dyDescent="0.25">
      <c r="A66" s="13">
        <v>1031</v>
      </c>
      <c r="B66" s="13">
        <v>31</v>
      </c>
      <c r="C66" s="12">
        <v>464039</v>
      </c>
      <c r="D66" s="12">
        <v>48</v>
      </c>
      <c r="E66" s="8" t="s">
        <v>89</v>
      </c>
      <c r="F66" s="8" t="s">
        <v>96</v>
      </c>
      <c r="G66" s="8">
        <v>1</v>
      </c>
      <c r="H66" s="16">
        <v>46246</v>
      </c>
      <c r="I66" s="8"/>
      <c r="J66" s="16">
        <v>46286</v>
      </c>
      <c r="K66" s="16"/>
      <c r="L66" s="9" t="s">
        <v>56</v>
      </c>
      <c r="M66" s="8" t="s">
        <v>56</v>
      </c>
      <c r="N66" s="10">
        <f ca="1">Tabela3[[#This Row],[Prazo
Entrega]]-TODAY()</f>
        <v>56</v>
      </c>
      <c r="O66" s="8" t="str">
        <f t="shared" ref="O66:O91" ca="1" si="2">IF(N66&lt;0,"ATRASADO",IF(N66&lt;=15,"ATENÇÃO","NO PRAZO"))</f>
        <v>NO PRAZO</v>
      </c>
      <c r="P66" s="8" t="s">
        <v>32</v>
      </c>
      <c r="Q66" s="96" t="s">
        <v>495</v>
      </c>
      <c r="R66" s="96" t="s">
        <v>496</v>
      </c>
      <c r="S66" s="96" t="s">
        <v>231</v>
      </c>
      <c r="T66" s="96" t="s">
        <v>374</v>
      </c>
      <c r="U66" s="96"/>
      <c r="V66" s="8" t="s">
        <v>48</v>
      </c>
      <c r="W66" s="8"/>
    </row>
    <row r="67" spans="1:23" hidden="1" x14ac:dyDescent="0.25">
      <c r="A67" s="13">
        <v>1031</v>
      </c>
      <c r="B67" s="13">
        <v>32</v>
      </c>
      <c r="C67" s="12">
        <v>464039</v>
      </c>
      <c r="D67" s="12">
        <v>49</v>
      </c>
      <c r="E67" s="8" t="s">
        <v>89</v>
      </c>
      <c r="F67" s="8" t="s">
        <v>96</v>
      </c>
      <c r="G67" s="8">
        <v>1</v>
      </c>
      <c r="H67" s="16">
        <v>46246</v>
      </c>
      <c r="I67" s="8"/>
      <c r="J67" s="16">
        <v>46286</v>
      </c>
      <c r="K67" s="16"/>
      <c r="L67" s="9" t="s">
        <v>56</v>
      </c>
      <c r="M67" s="8" t="s">
        <v>56</v>
      </c>
      <c r="N67" s="10">
        <f ca="1">Tabela3[[#This Row],[Prazo
Entrega]]-TODAY()</f>
        <v>56</v>
      </c>
      <c r="O67" s="8" t="str">
        <f t="shared" ca="1" si="2"/>
        <v>NO PRAZO</v>
      </c>
      <c r="P67" s="8" t="s">
        <v>32</v>
      </c>
      <c r="Q67" s="96" t="s">
        <v>495</v>
      </c>
      <c r="R67" s="96" t="s">
        <v>496</v>
      </c>
      <c r="S67" s="96" t="s">
        <v>231</v>
      </c>
      <c r="T67" s="96" t="s">
        <v>374</v>
      </c>
      <c r="U67" s="96"/>
      <c r="V67" s="8" t="s">
        <v>48</v>
      </c>
      <c r="W67" s="8"/>
    </row>
    <row r="68" spans="1:23" hidden="1" x14ac:dyDescent="0.25">
      <c r="A68" s="13">
        <v>1031</v>
      </c>
      <c r="B68" s="13">
        <v>33</v>
      </c>
      <c r="C68" s="12">
        <v>464039</v>
      </c>
      <c r="D68" s="12">
        <v>50</v>
      </c>
      <c r="E68" s="8" t="s">
        <v>89</v>
      </c>
      <c r="F68" s="8" t="s">
        <v>96</v>
      </c>
      <c r="G68" s="8">
        <v>1</v>
      </c>
      <c r="H68" s="16">
        <v>46246</v>
      </c>
      <c r="I68" s="8"/>
      <c r="J68" s="16">
        <v>46286</v>
      </c>
      <c r="K68" s="16"/>
      <c r="L68" s="9" t="s">
        <v>56</v>
      </c>
      <c r="M68" s="8" t="s">
        <v>56</v>
      </c>
      <c r="N68" s="10">
        <f ca="1">Tabela3[[#This Row],[Prazo
Entrega]]-TODAY()</f>
        <v>56</v>
      </c>
      <c r="O68" s="8" t="str">
        <f t="shared" ca="1" si="2"/>
        <v>NO PRAZO</v>
      </c>
      <c r="P68" s="8" t="s">
        <v>32</v>
      </c>
      <c r="Q68" s="96" t="s">
        <v>495</v>
      </c>
      <c r="R68" s="96" t="s">
        <v>496</v>
      </c>
      <c r="S68" s="96" t="s">
        <v>231</v>
      </c>
      <c r="T68" s="96" t="s">
        <v>374</v>
      </c>
      <c r="U68" s="96"/>
      <c r="V68" s="8" t="s">
        <v>48</v>
      </c>
      <c r="W68" s="8"/>
    </row>
    <row r="69" spans="1:23" hidden="1" x14ac:dyDescent="0.25">
      <c r="A69" s="13">
        <v>1031</v>
      </c>
      <c r="B69" s="13">
        <v>34</v>
      </c>
      <c r="C69" s="12">
        <v>464039</v>
      </c>
      <c r="D69" s="12">
        <v>51</v>
      </c>
      <c r="E69" s="8" t="s">
        <v>89</v>
      </c>
      <c r="F69" s="8" t="s">
        <v>96</v>
      </c>
      <c r="G69" s="8">
        <v>1</v>
      </c>
      <c r="H69" s="16">
        <v>46246</v>
      </c>
      <c r="I69" s="8"/>
      <c r="J69" s="16">
        <v>46286</v>
      </c>
      <c r="K69" s="16"/>
      <c r="L69" s="9" t="s">
        <v>56</v>
      </c>
      <c r="M69" s="8" t="s">
        <v>56</v>
      </c>
      <c r="N69" s="10">
        <f ca="1">Tabela3[[#This Row],[Prazo
Entrega]]-TODAY()</f>
        <v>56</v>
      </c>
      <c r="O69" s="8" t="str">
        <f t="shared" ca="1" si="2"/>
        <v>NO PRAZO</v>
      </c>
      <c r="P69" s="8" t="s">
        <v>32</v>
      </c>
      <c r="Q69" s="96" t="s">
        <v>495</v>
      </c>
      <c r="R69" s="96" t="s">
        <v>496</v>
      </c>
      <c r="S69" s="96" t="s">
        <v>231</v>
      </c>
      <c r="T69" s="96" t="s">
        <v>374</v>
      </c>
      <c r="U69" s="96"/>
      <c r="V69" s="8" t="s">
        <v>48</v>
      </c>
      <c r="W69" s="8"/>
    </row>
    <row r="70" spans="1:23" hidden="1" x14ac:dyDescent="0.25">
      <c r="A70" s="13">
        <v>1031</v>
      </c>
      <c r="B70" s="13">
        <v>35</v>
      </c>
      <c r="C70" s="12">
        <v>464039</v>
      </c>
      <c r="D70" s="12">
        <v>52</v>
      </c>
      <c r="E70" s="8" t="s">
        <v>89</v>
      </c>
      <c r="F70" s="8" t="s">
        <v>96</v>
      </c>
      <c r="G70" s="8">
        <v>1</v>
      </c>
      <c r="H70" s="16">
        <v>46246</v>
      </c>
      <c r="I70" s="8"/>
      <c r="J70" s="16">
        <v>46286</v>
      </c>
      <c r="K70" s="16"/>
      <c r="L70" s="9" t="s">
        <v>56</v>
      </c>
      <c r="M70" s="8" t="s">
        <v>56</v>
      </c>
      <c r="N70" s="10">
        <f ca="1">Tabela3[[#This Row],[Prazo
Entrega]]-TODAY()</f>
        <v>56</v>
      </c>
      <c r="O70" s="8" t="str">
        <f t="shared" ca="1" si="2"/>
        <v>NO PRAZO</v>
      </c>
      <c r="P70" s="8" t="s">
        <v>32</v>
      </c>
      <c r="Q70" s="96" t="s">
        <v>495</v>
      </c>
      <c r="R70" s="96" t="s">
        <v>496</v>
      </c>
      <c r="S70" s="96" t="s">
        <v>231</v>
      </c>
      <c r="T70" s="96" t="s">
        <v>374</v>
      </c>
      <c r="U70" s="96"/>
      <c r="V70" s="8" t="s">
        <v>48</v>
      </c>
      <c r="W70" s="8"/>
    </row>
    <row r="71" spans="1:23" hidden="1" x14ac:dyDescent="0.25">
      <c r="A71" s="13">
        <v>1031</v>
      </c>
      <c r="B71" s="13">
        <v>36</v>
      </c>
      <c r="C71" s="12">
        <v>464039</v>
      </c>
      <c r="D71" s="12">
        <v>53</v>
      </c>
      <c r="E71" s="8" t="s">
        <v>89</v>
      </c>
      <c r="F71" s="8" t="s">
        <v>96</v>
      </c>
      <c r="G71" s="8">
        <v>1</v>
      </c>
      <c r="H71" s="16">
        <v>46246</v>
      </c>
      <c r="I71" s="8"/>
      <c r="J71" s="16">
        <v>46286</v>
      </c>
      <c r="K71" s="16"/>
      <c r="L71" s="9" t="s">
        <v>56</v>
      </c>
      <c r="M71" s="8" t="s">
        <v>56</v>
      </c>
      <c r="N71" s="10">
        <f ca="1">Tabela3[[#This Row],[Prazo
Entrega]]-TODAY()</f>
        <v>56</v>
      </c>
      <c r="O71" s="8" t="str">
        <f t="shared" ca="1" si="2"/>
        <v>NO PRAZO</v>
      </c>
      <c r="P71" s="8" t="s">
        <v>32</v>
      </c>
      <c r="Q71" s="96" t="s">
        <v>495</v>
      </c>
      <c r="R71" s="96" t="s">
        <v>496</v>
      </c>
      <c r="S71" s="96" t="s">
        <v>231</v>
      </c>
      <c r="T71" s="96" t="s">
        <v>374</v>
      </c>
      <c r="U71" s="96"/>
      <c r="V71" s="8" t="s">
        <v>48</v>
      </c>
      <c r="W71" s="8"/>
    </row>
    <row r="72" spans="1:23" hidden="1" x14ac:dyDescent="0.25">
      <c r="A72" s="13">
        <v>1031</v>
      </c>
      <c r="B72" s="13">
        <v>37</v>
      </c>
      <c r="C72" s="12">
        <v>464039</v>
      </c>
      <c r="D72" s="12">
        <v>54</v>
      </c>
      <c r="E72" s="8" t="s">
        <v>89</v>
      </c>
      <c r="F72" s="8" t="s">
        <v>96</v>
      </c>
      <c r="G72" s="8">
        <v>1</v>
      </c>
      <c r="H72" s="16">
        <v>46246</v>
      </c>
      <c r="I72" s="8"/>
      <c r="J72" s="16">
        <v>46286</v>
      </c>
      <c r="K72" s="16"/>
      <c r="L72" s="9" t="s">
        <v>56</v>
      </c>
      <c r="M72" s="8" t="s">
        <v>56</v>
      </c>
      <c r="N72" s="10">
        <f ca="1">Tabela3[[#This Row],[Prazo
Entrega]]-TODAY()</f>
        <v>56</v>
      </c>
      <c r="O72" s="8" t="str">
        <f t="shared" ca="1" si="2"/>
        <v>NO PRAZO</v>
      </c>
      <c r="P72" s="8" t="s">
        <v>32</v>
      </c>
      <c r="Q72" s="96" t="s">
        <v>495</v>
      </c>
      <c r="R72" s="96" t="s">
        <v>496</v>
      </c>
      <c r="S72" s="96" t="s">
        <v>231</v>
      </c>
      <c r="T72" s="96" t="s">
        <v>374</v>
      </c>
      <c r="U72" s="96"/>
      <c r="V72" s="8" t="s">
        <v>48</v>
      </c>
      <c r="W72" s="8"/>
    </row>
    <row r="73" spans="1:23" hidden="1" x14ac:dyDescent="0.25">
      <c r="A73" s="13">
        <v>1031</v>
      </c>
      <c r="B73" s="13">
        <v>38</v>
      </c>
      <c r="C73" s="12">
        <v>464039</v>
      </c>
      <c r="D73" s="12">
        <v>55</v>
      </c>
      <c r="E73" s="8" t="s">
        <v>89</v>
      </c>
      <c r="F73" s="8" t="s">
        <v>96</v>
      </c>
      <c r="G73" s="8">
        <v>1</v>
      </c>
      <c r="H73" s="16">
        <v>46246</v>
      </c>
      <c r="I73" s="8"/>
      <c r="J73" s="16">
        <v>46286</v>
      </c>
      <c r="K73" s="16"/>
      <c r="L73" s="9" t="s">
        <v>56</v>
      </c>
      <c r="M73" s="8" t="s">
        <v>56</v>
      </c>
      <c r="N73" s="10">
        <f ca="1">Tabela3[[#This Row],[Prazo
Entrega]]-TODAY()</f>
        <v>56</v>
      </c>
      <c r="O73" s="8" t="str">
        <f t="shared" ca="1" si="2"/>
        <v>NO PRAZO</v>
      </c>
      <c r="P73" s="8" t="s">
        <v>32</v>
      </c>
      <c r="Q73" s="96" t="s">
        <v>495</v>
      </c>
      <c r="R73" s="96" t="s">
        <v>496</v>
      </c>
      <c r="S73" s="96" t="s">
        <v>231</v>
      </c>
      <c r="T73" s="96" t="s">
        <v>374</v>
      </c>
      <c r="U73" s="96"/>
      <c r="V73" s="8" t="s">
        <v>48</v>
      </c>
      <c r="W73" s="8"/>
    </row>
    <row r="74" spans="1:23" hidden="1" x14ac:dyDescent="0.25">
      <c r="A74" s="13">
        <v>1031</v>
      </c>
      <c r="B74" s="13">
        <v>39</v>
      </c>
      <c r="C74" s="12">
        <v>464039</v>
      </c>
      <c r="D74" s="12">
        <v>56</v>
      </c>
      <c r="E74" s="8" t="s">
        <v>89</v>
      </c>
      <c r="F74" s="8" t="s">
        <v>96</v>
      </c>
      <c r="G74" s="8">
        <v>1</v>
      </c>
      <c r="H74" s="16">
        <v>46246</v>
      </c>
      <c r="I74" s="8"/>
      <c r="J74" s="16">
        <v>46286</v>
      </c>
      <c r="K74" s="16"/>
      <c r="L74" s="9" t="s">
        <v>56</v>
      </c>
      <c r="M74" s="8" t="s">
        <v>56</v>
      </c>
      <c r="N74" s="10">
        <f ca="1">Tabela3[[#This Row],[Prazo
Entrega]]-TODAY()</f>
        <v>56</v>
      </c>
      <c r="O74" s="8" t="str">
        <f t="shared" ca="1" si="2"/>
        <v>NO PRAZO</v>
      </c>
      <c r="P74" s="8" t="s">
        <v>32</v>
      </c>
      <c r="Q74" s="96" t="s">
        <v>495</v>
      </c>
      <c r="R74" s="96" t="s">
        <v>496</v>
      </c>
      <c r="S74" s="96" t="s">
        <v>231</v>
      </c>
      <c r="T74" s="96" t="s">
        <v>374</v>
      </c>
      <c r="U74" s="96"/>
      <c r="V74" s="8" t="s">
        <v>48</v>
      </c>
      <c r="W74" s="8"/>
    </row>
    <row r="75" spans="1:23" hidden="1" x14ac:dyDescent="0.25">
      <c r="A75" s="13">
        <v>1031</v>
      </c>
      <c r="B75" s="13">
        <v>40</v>
      </c>
      <c r="C75" s="12">
        <v>464039</v>
      </c>
      <c r="D75" s="12">
        <v>57</v>
      </c>
      <c r="E75" s="8" t="s">
        <v>89</v>
      </c>
      <c r="F75" s="8" t="s">
        <v>96</v>
      </c>
      <c r="G75" s="8">
        <v>1</v>
      </c>
      <c r="H75" s="16">
        <v>46246</v>
      </c>
      <c r="I75" s="8"/>
      <c r="J75" s="16">
        <v>46286</v>
      </c>
      <c r="K75" s="16"/>
      <c r="L75" s="9" t="s">
        <v>56</v>
      </c>
      <c r="M75" s="8" t="s">
        <v>56</v>
      </c>
      <c r="N75" s="10">
        <f ca="1">Tabela3[[#This Row],[Prazo
Entrega]]-TODAY()</f>
        <v>56</v>
      </c>
      <c r="O75" s="8" t="str">
        <f t="shared" ca="1" si="2"/>
        <v>NO PRAZO</v>
      </c>
      <c r="P75" s="8" t="s">
        <v>32</v>
      </c>
      <c r="Q75" s="96" t="s">
        <v>495</v>
      </c>
      <c r="R75" s="96" t="s">
        <v>496</v>
      </c>
      <c r="S75" s="96" t="s">
        <v>231</v>
      </c>
      <c r="T75" s="96" t="s">
        <v>374</v>
      </c>
      <c r="U75" s="96"/>
      <c r="V75" s="8" t="s">
        <v>48</v>
      </c>
      <c r="W75" s="8"/>
    </row>
    <row r="76" spans="1:23" hidden="1" x14ac:dyDescent="0.25">
      <c r="A76" s="13">
        <v>1031</v>
      </c>
      <c r="B76" s="13">
        <v>41</v>
      </c>
      <c r="C76" s="12">
        <v>464039</v>
      </c>
      <c r="D76" s="12">
        <v>58</v>
      </c>
      <c r="E76" s="8" t="s">
        <v>89</v>
      </c>
      <c r="F76" s="8" t="s">
        <v>96</v>
      </c>
      <c r="G76" s="8">
        <v>1</v>
      </c>
      <c r="H76" s="16">
        <v>46246</v>
      </c>
      <c r="I76" s="8"/>
      <c r="J76" s="16">
        <v>46286</v>
      </c>
      <c r="K76" s="16"/>
      <c r="L76" s="9" t="s">
        <v>56</v>
      </c>
      <c r="M76" s="8" t="s">
        <v>56</v>
      </c>
      <c r="N76" s="10">
        <f ca="1">Tabela3[[#This Row],[Prazo
Entrega]]-TODAY()</f>
        <v>56</v>
      </c>
      <c r="O76" s="8" t="str">
        <f t="shared" ca="1" si="2"/>
        <v>NO PRAZO</v>
      </c>
      <c r="P76" s="8" t="s">
        <v>32</v>
      </c>
      <c r="Q76" s="96" t="s">
        <v>495</v>
      </c>
      <c r="R76" s="96" t="s">
        <v>496</v>
      </c>
      <c r="S76" s="96" t="s">
        <v>231</v>
      </c>
      <c r="T76" s="96" t="s">
        <v>374</v>
      </c>
      <c r="U76" s="96"/>
      <c r="V76" s="8" t="s">
        <v>48</v>
      </c>
      <c r="W76" s="8"/>
    </row>
    <row r="77" spans="1:23" hidden="1" x14ac:dyDescent="0.25">
      <c r="A77" s="13">
        <v>1031</v>
      </c>
      <c r="B77" s="13">
        <v>42</v>
      </c>
      <c r="C77" s="12">
        <v>464039</v>
      </c>
      <c r="D77" s="12">
        <v>59</v>
      </c>
      <c r="E77" s="8" t="s">
        <v>89</v>
      </c>
      <c r="F77" s="8" t="s">
        <v>96</v>
      </c>
      <c r="G77" s="8">
        <v>1</v>
      </c>
      <c r="H77" s="16">
        <v>46246</v>
      </c>
      <c r="I77" s="8"/>
      <c r="J77" s="16">
        <v>46286</v>
      </c>
      <c r="K77" s="16"/>
      <c r="L77" s="9" t="s">
        <v>56</v>
      </c>
      <c r="M77" s="8" t="s">
        <v>56</v>
      </c>
      <c r="N77" s="10">
        <f ca="1">Tabela3[[#This Row],[Prazo
Entrega]]-TODAY()</f>
        <v>56</v>
      </c>
      <c r="O77" s="8" t="str">
        <f t="shared" ca="1" si="2"/>
        <v>NO PRAZO</v>
      </c>
      <c r="P77" s="8" t="s">
        <v>32</v>
      </c>
      <c r="Q77" s="96" t="s">
        <v>495</v>
      </c>
      <c r="R77" s="96" t="s">
        <v>496</v>
      </c>
      <c r="S77" s="96" t="s">
        <v>231</v>
      </c>
      <c r="T77" s="96" t="s">
        <v>374</v>
      </c>
      <c r="U77" s="96"/>
      <c r="V77" s="8" t="s">
        <v>48</v>
      </c>
      <c r="W77" s="8"/>
    </row>
    <row r="78" spans="1:23" hidden="1" x14ac:dyDescent="0.25">
      <c r="A78" s="13">
        <v>1031</v>
      </c>
      <c r="B78" s="13">
        <v>43</v>
      </c>
      <c r="C78" s="12">
        <v>464039</v>
      </c>
      <c r="D78" s="12">
        <v>60</v>
      </c>
      <c r="E78" s="8" t="s">
        <v>89</v>
      </c>
      <c r="F78" s="8" t="s">
        <v>96</v>
      </c>
      <c r="G78" s="8">
        <v>1</v>
      </c>
      <c r="H78" s="16">
        <v>46246</v>
      </c>
      <c r="I78" s="8"/>
      <c r="J78" s="16">
        <v>46286</v>
      </c>
      <c r="K78" s="16"/>
      <c r="L78" s="9" t="s">
        <v>56</v>
      </c>
      <c r="M78" s="8" t="s">
        <v>56</v>
      </c>
      <c r="N78" s="10">
        <f ca="1">Tabela3[[#This Row],[Prazo
Entrega]]-TODAY()</f>
        <v>56</v>
      </c>
      <c r="O78" s="8" t="str">
        <f t="shared" ca="1" si="2"/>
        <v>NO PRAZO</v>
      </c>
      <c r="P78" s="8" t="s">
        <v>32</v>
      </c>
      <c r="Q78" s="96" t="s">
        <v>495</v>
      </c>
      <c r="R78" s="96" t="s">
        <v>496</v>
      </c>
      <c r="S78" s="96" t="s">
        <v>231</v>
      </c>
      <c r="T78" s="96" t="s">
        <v>374</v>
      </c>
      <c r="U78" s="96"/>
      <c r="V78" s="8" t="s">
        <v>48</v>
      </c>
      <c r="W78" s="8"/>
    </row>
    <row r="79" spans="1:23" hidden="1" x14ac:dyDescent="0.25">
      <c r="A79" s="13">
        <v>1031</v>
      </c>
      <c r="B79" s="13">
        <v>44</v>
      </c>
      <c r="C79" s="12">
        <v>464039</v>
      </c>
      <c r="D79" s="12">
        <v>61</v>
      </c>
      <c r="E79" s="8" t="s">
        <v>89</v>
      </c>
      <c r="F79" s="8" t="s">
        <v>96</v>
      </c>
      <c r="G79" s="8">
        <v>1</v>
      </c>
      <c r="H79" s="16">
        <v>46246</v>
      </c>
      <c r="I79" s="8"/>
      <c r="J79" s="16">
        <v>46286</v>
      </c>
      <c r="K79" s="16"/>
      <c r="L79" s="9" t="s">
        <v>56</v>
      </c>
      <c r="M79" s="8" t="s">
        <v>56</v>
      </c>
      <c r="N79" s="10">
        <f ca="1">Tabela3[[#This Row],[Prazo
Entrega]]-TODAY()</f>
        <v>56</v>
      </c>
      <c r="O79" s="8" t="str">
        <f t="shared" ca="1" si="2"/>
        <v>NO PRAZO</v>
      </c>
      <c r="P79" s="8" t="s">
        <v>32</v>
      </c>
      <c r="Q79" s="96" t="s">
        <v>495</v>
      </c>
      <c r="R79" s="96" t="s">
        <v>496</v>
      </c>
      <c r="S79" s="96" t="s">
        <v>231</v>
      </c>
      <c r="T79" s="96" t="s">
        <v>374</v>
      </c>
      <c r="U79" s="96"/>
      <c r="V79" s="8" t="s">
        <v>48</v>
      </c>
      <c r="W79" s="8"/>
    </row>
    <row r="80" spans="1:23" hidden="1" x14ac:dyDescent="0.25">
      <c r="A80" s="13">
        <v>1031</v>
      </c>
      <c r="B80" s="13">
        <v>45</v>
      </c>
      <c r="C80" s="12">
        <v>464040</v>
      </c>
      <c r="D80" s="12">
        <v>9</v>
      </c>
      <c r="E80" s="8" t="s">
        <v>89</v>
      </c>
      <c r="F80" s="8" t="s">
        <v>97</v>
      </c>
      <c r="G80" s="8">
        <v>1</v>
      </c>
      <c r="H80" s="16">
        <v>46226</v>
      </c>
      <c r="I80" s="8"/>
      <c r="J80" s="16">
        <v>46266</v>
      </c>
      <c r="K80" s="16"/>
      <c r="L80" s="9" t="s">
        <v>56</v>
      </c>
      <c r="M80" s="8" t="s">
        <v>56</v>
      </c>
      <c r="N80" s="10">
        <f ca="1">Tabela3[[#This Row],[Prazo
Entrega]]-TODAY()</f>
        <v>36</v>
      </c>
      <c r="O80" s="8" t="str">
        <f t="shared" ca="1" si="2"/>
        <v>NO PRAZO</v>
      </c>
      <c r="P80" s="8" t="s">
        <v>32</v>
      </c>
      <c r="Q80" s="96" t="s">
        <v>495</v>
      </c>
      <c r="R80" s="96" t="s">
        <v>496</v>
      </c>
      <c r="S80" s="96" t="s">
        <v>231</v>
      </c>
      <c r="T80" s="96" t="s">
        <v>374</v>
      </c>
      <c r="U80" s="96"/>
      <c r="V80" s="8" t="s">
        <v>48</v>
      </c>
      <c r="W80" s="8"/>
    </row>
    <row r="81" spans="1:23" hidden="1" x14ac:dyDescent="0.25">
      <c r="A81" s="13">
        <v>1031</v>
      </c>
      <c r="B81" s="13">
        <v>46</v>
      </c>
      <c r="C81" s="12">
        <v>464040</v>
      </c>
      <c r="D81" s="12">
        <v>10</v>
      </c>
      <c r="E81" s="8" t="s">
        <v>89</v>
      </c>
      <c r="F81" s="8" t="s">
        <v>97</v>
      </c>
      <c r="G81" s="8">
        <v>1</v>
      </c>
      <c r="H81" s="16">
        <v>46226</v>
      </c>
      <c r="I81" s="8"/>
      <c r="J81" s="16">
        <v>46266</v>
      </c>
      <c r="K81" s="16"/>
      <c r="L81" s="9" t="s">
        <v>56</v>
      </c>
      <c r="M81" s="8" t="s">
        <v>56</v>
      </c>
      <c r="N81" s="10">
        <f ca="1">Tabela3[[#This Row],[Prazo
Entrega]]-TODAY()</f>
        <v>36</v>
      </c>
      <c r="O81" s="8" t="str">
        <f t="shared" ca="1" si="2"/>
        <v>NO PRAZO</v>
      </c>
      <c r="P81" s="8" t="s">
        <v>32</v>
      </c>
      <c r="Q81" s="96" t="s">
        <v>495</v>
      </c>
      <c r="R81" s="96" t="s">
        <v>496</v>
      </c>
      <c r="S81" s="96" t="s">
        <v>231</v>
      </c>
      <c r="T81" s="96" t="s">
        <v>374</v>
      </c>
      <c r="U81" s="96"/>
      <c r="V81" s="8" t="s">
        <v>48</v>
      </c>
      <c r="W81" s="8"/>
    </row>
    <row r="82" spans="1:23" hidden="1" x14ac:dyDescent="0.25">
      <c r="A82" s="13">
        <v>1031</v>
      </c>
      <c r="B82" s="13">
        <v>47</v>
      </c>
      <c r="C82" s="12">
        <v>464040</v>
      </c>
      <c r="D82" s="12">
        <v>11</v>
      </c>
      <c r="E82" s="8" t="s">
        <v>89</v>
      </c>
      <c r="F82" s="8" t="s">
        <v>97</v>
      </c>
      <c r="G82" s="8">
        <v>1</v>
      </c>
      <c r="H82" s="16">
        <v>46226</v>
      </c>
      <c r="I82" s="8"/>
      <c r="J82" s="16">
        <v>46266</v>
      </c>
      <c r="K82" s="16"/>
      <c r="L82" s="9" t="s">
        <v>56</v>
      </c>
      <c r="M82" s="8" t="s">
        <v>56</v>
      </c>
      <c r="N82" s="10">
        <f ca="1">Tabela3[[#This Row],[Prazo
Entrega]]-TODAY()</f>
        <v>36</v>
      </c>
      <c r="O82" s="8" t="str">
        <f t="shared" ca="1" si="2"/>
        <v>NO PRAZO</v>
      </c>
      <c r="P82" s="8" t="s">
        <v>32</v>
      </c>
      <c r="Q82" s="96" t="s">
        <v>495</v>
      </c>
      <c r="R82" s="96" t="s">
        <v>496</v>
      </c>
      <c r="S82" s="96" t="s">
        <v>231</v>
      </c>
      <c r="T82" s="96" t="s">
        <v>374</v>
      </c>
      <c r="U82" s="96"/>
      <c r="V82" s="8" t="s">
        <v>48</v>
      </c>
      <c r="W82" s="8"/>
    </row>
    <row r="83" spans="1:23" hidden="1" x14ac:dyDescent="0.25">
      <c r="A83" s="13">
        <v>1031</v>
      </c>
      <c r="B83" s="13">
        <v>48</v>
      </c>
      <c r="C83" s="12">
        <v>464040</v>
      </c>
      <c r="D83" s="12">
        <v>12</v>
      </c>
      <c r="E83" s="8" t="s">
        <v>89</v>
      </c>
      <c r="F83" s="8" t="s">
        <v>97</v>
      </c>
      <c r="G83" s="8">
        <v>1</v>
      </c>
      <c r="H83" s="16">
        <v>46256</v>
      </c>
      <c r="I83" s="8"/>
      <c r="J83" s="16">
        <v>46296</v>
      </c>
      <c r="K83" s="16"/>
      <c r="L83" s="9" t="s">
        <v>56</v>
      </c>
      <c r="M83" s="8" t="s">
        <v>56</v>
      </c>
      <c r="N83" s="10">
        <f ca="1">Tabela3[[#This Row],[Prazo
Entrega]]-TODAY()</f>
        <v>66</v>
      </c>
      <c r="O83" s="8" t="str">
        <f t="shared" ca="1" si="2"/>
        <v>NO PRAZO</v>
      </c>
      <c r="P83" s="8" t="s">
        <v>32</v>
      </c>
      <c r="Q83" s="96" t="s">
        <v>495</v>
      </c>
      <c r="R83" s="96" t="s">
        <v>496</v>
      </c>
      <c r="S83" s="96" t="s">
        <v>231</v>
      </c>
      <c r="T83" s="96" t="s">
        <v>374</v>
      </c>
      <c r="U83" s="96"/>
      <c r="V83" s="8" t="s">
        <v>48</v>
      </c>
      <c r="W83" s="8"/>
    </row>
    <row r="84" spans="1:23" hidden="1" x14ac:dyDescent="0.25">
      <c r="A84" s="13">
        <v>1031</v>
      </c>
      <c r="B84" s="13">
        <v>49</v>
      </c>
      <c r="C84" s="12">
        <v>464040</v>
      </c>
      <c r="D84" s="12">
        <v>13</v>
      </c>
      <c r="E84" s="8" t="s">
        <v>89</v>
      </c>
      <c r="F84" s="8" t="s">
        <v>97</v>
      </c>
      <c r="G84" s="8">
        <v>1</v>
      </c>
      <c r="H84" s="16">
        <v>46256</v>
      </c>
      <c r="I84" s="8"/>
      <c r="J84" s="16">
        <v>46296</v>
      </c>
      <c r="K84" s="16"/>
      <c r="L84" s="9" t="s">
        <v>56</v>
      </c>
      <c r="M84" s="8" t="s">
        <v>56</v>
      </c>
      <c r="N84" s="10">
        <f ca="1">Tabela3[[#This Row],[Prazo
Entrega]]-TODAY()</f>
        <v>66</v>
      </c>
      <c r="O84" s="8" t="str">
        <f t="shared" ca="1" si="2"/>
        <v>NO PRAZO</v>
      </c>
      <c r="P84" s="8" t="s">
        <v>32</v>
      </c>
      <c r="Q84" s="96" t="s">
        <v>495</v>
      </c>
      <c r="R84" s="96" t="s">
        <v>496</v>
      </c>
      <c r="S84" s="96" t="s">
        <v>231</v>
      </c>
      <c r="T84" s="96" t="s">
        <v>374</v>
      </c>
      <c r="U84" s="96"/>
      <c r="V84" s="8" t="s">
        <v>48</v>
      </c>
      <c r="W84" s="8"/>
    </row>
    <row r="85" spans="1:23" hidden="1" x14ac:dyDescent="0.25">
      <c r="A85" s="13">
        <v>1031</v>
      </c>
      <c r="B85" s="13">
        <v>50</v>
      </c>
      <c r="C85" s="12">
        <v>464040</v>
      </c>
      <c r="D85" s="12">
        <v>14</v>
      </c>
      <c r="E85" s="8" t="s">
        <v>89</v>
      </c>
      <c r="F85" s="8" t="s">
        <v>97</v>
      </c>
      <c r="G85" s="8">
        <v>1</v>
      </c>
      <c r="H85" s="16">
        <v>46256</v>
      </c>
      <c r="I85" s="8"/>
      <c r="J85" s="16">
        <v>46296</v>
      </c>
      <c r="K85" s="16"/>
      <c r="L85" s="9" t="s">
        <v>56</v>
      </c>
      <c r="M85" s="8" t="s">
        <v>56</v>
      </c>
      <c r="N85" s="10">
        <f ca="1">Tabela3[[#This Row],[Prazo
Entrega]]-TODAY()</f>
        <v>66</v>
      </c>
      <c r="O85" s="8" t="str">
        <f t="shared" ca="1" si="2"/>
        <v>NO PRAZO</v>
      </c>
      <c r="P85" s="8" t="s">
        <v>32</v>
      </c>
      <c r="Q85" s="96" t="s">
        <v>495</v>
      </c>
      <c r="R85" s="96" t="s">
        <v>496</v>
      </c>
      <c r="S85" s="96" t="s">
        <v>231</v>
      </c>
      <c r="T85" s="96" t="s">
        <v>374</v>
      </c>
      <c r="U85" s="96"/>
      <c r="V85" s="8" t="s">
        <v>48</v>
      </c>
      <c r="W85" s="8"/>
    </row>
    <row r="86" spans="1:23" hidden="1" x14ac:dyDescent="0.25">
      <c r="A86" s="13">
        <v>1031</v>
      </c>
      <c r="B86" s="13">
        <v>51</v>
      </c>
      <c r="C86" s="12">
        <v>464039</v>
      </c>
      <c r="D86" s="12">
        <v>62</v>
      </c>
      <c r="E86" s="8" t="s">
        <v>89</v>
      </c>
      <c r="F86" s="8" t="s">
        <v>96</v>
      </c>
      <c r="G86" s="8">
        <v>1</v>
      </c>
      <c r="H86" s="16">
        <v>46256</v>
      </c>
      <c r="I86" s="8"/>
      <c r="J86" s="16">
        <v>46296</v>
      </c>
      <c r="K86" s="16"/>
      <c r="L86" s="9" t="s">
        <v>56</v>
      </c>
      <c r="M86" s="8" t="s">
        <v>56</v>
      </c>
      <c r="N86" s="10">
        <f ca="1">Tabela3[[#This Row],[Prazo
Entrega]]-TODAY()</f>
        <v>66</v>
      </c>
      <c r="O86" s="8" t="str">
        <f t="shared" ca="1" si="2"/>
        <v>NO PRAZO</v>
      </c>
      <c r="P86" s="8" t="s">
        <v>32</v>
      </c>
      <c r="Q86" s="96" t="s">
        <v>495</v>
      </c>
      <c r="R86" s="96" t="s">
        <v>496</v>
      </c>
      <c r="S86" s="96" t="s">
        <v>231</v>
      </c>
      <c r="T86" s="96" t="s">
        <v>374</v>
      </c>
      <c r="U86" s="96"/>
      <c r="V86" s="8" t="s">
        <v>48</v>
      </c>
      <c r="W86" s="8"/>
    </row>
    <row r="87" spans="1:23" hidden="1" x14ac:dyDescent="0.25">
      <c r="A87" s="13">
        <v>1031</v>
      </c>
      <c r="B87" s="13">
        <v>52</v>
      </c>
      <c r="C87" s="12">
        <v>464039</v>
      </c>
      <c r="D87" s="12">
        <v>63</v>
      </c>
      <c r="E87" s="8" t="s">
        <v>89</v>
      </c>
      <c r="F87" s="8" t="s">
        <v>96</v>
      </c>
      <c r="G87" s="8">
        <v>1</v>
      </c>
      <c r="H87" s="16">
        <v>46256</v>
      </c>
      <c r="I87" s="8"/>
      <c r="J87" s="16">
        <v>46296</v>
      </c>
      <c r="K87" s="16"/>
      <c r="L87" s="9" t="s">
        <v>56</v>
      </c>
      <c r="M87" s="8" t="s">
        <v>56</v>
      </c>
      <c r="N87" s="10">
        <f ca="1">Tabela3[[#This Row],[Prazo
Entrega]]-TODAY()</f>
        <v>66</v>
      </c>
      <c r="O87" s="8" t="str">
        <f t="shared" ca="1" si="2"/>
        <v>NO PRAZO</v>
      </c>
      <c r="P87" s="8" t="s">
        <v>32</v>
      </c>
      <c r="Q87" s="96" t="s">
        <v>495</v>
      </c>
      <c r="R87" s="96" t="s">
        <v>496</v>
      </c>
      <c r="S87" s="96" t="s">
        <v>231</v>
      </c>
      <c r="T87" s="96" t="s">
        <v>374</v>
      </c>
      <c r="U87" s="96"/>
      <c r="V87" s="8" t="s">
        <v>48</v>
      </c>
      <c r="W87" s="8"/>
    </row>
    <row r="88" spans="1:23" hidden="1" x14ac:dyDescent="0.25">
      <c r="A88" s="13">
        <v>1031</v>
      </c>
      <c r="B88" s="13">
        <v>53</v>
      </c>
      <c r="C88" s="12">
        <v>464039</v>
      </c>
      <c r="D88" s="12">
        <v>64</v>
      </c>
      <c r="E88" s="8" t="s">
        <v>89</v>
      </c>
      <c r="F88" s="8" t="s">
        <v>96</v>
      </c>
      <c r="G88" s="8">
        <v>1</v>
      </c>
      <c r="H88" s="16">
        <v>46256</v>
      </c>
      <c r="I88" s="8"/>
      <c r="J88" s="16">
        <v>46296</v>
      </c>
      <c r="K88" s="16"/>
      <c r="L88" s="9" t="s">
        <v>56</v>
      </c>
      <c r="M88" s="8" t="s">
        <v>56</v>
      </c>
      <c r="N88" s="10">
        <f ca="1">Tabela3[[#This Row],[Prazo
Entrega]]-TODAY()</f>
        <v>66</v>
      </c>
      <c r="O88" s="8" t="str">
        <f t="shared" ca="1" si="2"/>
        <v>NO PRAZO</v>
      </c>
      <c r="P88" s="8" t="s">
        <v>32</v>
      </c>
      <c r="Q88" s="96" t="s">
        <v>495</v>
      </c>
      <c r="R88" s="96" t="s">
        <v>496</v>
      </c>
      <c r="S88" s="96" t="s">
        <v>231</v>
      </c>
      <c r="T88" s="96" t="s">
        <v>374</v>
      </c>
      <c r="U88" s="96"/>
      <c r="V88" s="8" t="s">
        <v>48</v>
      </c>
      <c r="W88" s="8"/>
    </row>
    <row r="89" spans="1:23" hidden="1" x14ac:dyDescent="0.25">
      <c r="A89" s="13">
        <v>1031</v>
      </c>
      <c r="B89" s="13">
        <v>54</v>
      </c>
      <c r="C89" s="12">
        <v>464039</v>
      </c>
      <c r="D89" s="12">
        <v>65</v>
      </c>
      <c r="E89" s="8" t="s">
        <v>89</v>
      </c>
      <c r="F89" s="8" t="s">
        <v>96</v>
      </c>
      <c r="G89" s="8">
        <v>1</v>
      </c>
      <c r="H89" s="16">
        <v>46256</v>
      </c>
      <c r="I89" s="8"/>
      <c r="J89" s="16">
        <v>46296</v>
      </c>
      <c r="K89" s="16"/>
      <c r="L89" s="9" t="s">
        <v>56</v>
      </c>
      <c r="M89" s="8" t="s">
        <v>56</v>
      </c>
      <c r="N89" s="10">
        <f ca="1">Tabela3[[#This Row],[Prazo
Entrega]]-TODAY()</f>
        <v>66</v>
      </c>
      <c r="O89" s="8" t="str">
        <f t="shared" ca="1" si="2"/>
        <v>NO PRAZO</v>
      </c>
      <c r="P89" s="8" t="s">
        <v>32</v>
      </c>
      <c r="Q89" s="96" t="s">
        <v>495</v>
      </c>
      <c r="R89" s="96" t="s">
        <v>496</v>
      </c>
      <c r="S89" s="96" t="s">
        <v>231</v>
      </c>
      <c r="T89" s="96" t="s">
        <v>374</v>
      </c>
      <c r="U89" s="96"/>
      <c r="V89" s="8" t="s">
        <v>48</v>
      </c>
      <c r="W89" s="8"/>
    </row>
    <row r="90" spans="1:23" hidden="1" x14ac:dyDescent="0.25">
      <c r="A90" s="13">
        <v>1031</v>
      </c>
      <c r="B90" s="13">
        <v>55</v>
      </c>
      <c r="C90" s="12">
        <v>464039</v>
      </c>
      <c r="D90" s="12">
        <v>66</v>
      </c>
      <c r="E90" s="8" t="s">
        <v>89</v>
      </c>
      <c r="F90" s="8" t="s">
        <v>96</v>
      </c>
      <c r="G90" s="8">
        <v>1</v>
      </c>
      <c r="H90" s="16">
        <v>46256</v>
      </c>
      <c r="I90" s="8"/>
      <c r="J90" s="16">
        <v>46296</v>
      </c>
      <c r="K90" s="16"/>
      <c r="L90" s="9" t="s">
        <v>56</v>
      </c>
      <c r="M90" s="8" t="s">
        <v>56</v>
      </c>
      <c r="N90" s="10">
        <f ca="1">Tabela3[[#This Row],[Prazo
Entrega]]-TODAY()</f>
        <v>66</v>
      </c>
      <c r="O90" s="8" t="str">
        <f t="shared" ca="1" si="2"/>
        <v>NO PRAZO</v>
      </c>
      <c r="P90" s="8" t="s">
        <v>32</v>
      </c>
      <c r="Q90" s="96" t="s">
        <v>495</v>
      </c>
      <c r="R90" s="96" t="s">
        <v>496</v>
      </c>
      <c r="S90" s="96" t="s">
        <v>231</v>
      </c>
      <c r="T90" s="96" t="s">
        <v>374</v>
      </c>
      <c r="U90" s="96"/>
      <c r="V90" s="8" t="s">
        <v>48</v>
      </c>
      <c r="W90" s="8"/>
    </row>
    <row r="91" spans="1:23" hidden="1" x14ac:dyDescent="0.25">
      <c r="A91" s="13">
        <v>1031</v>
      </c>
      <c r="B91" s="13">
        <v>56</v>
      </c>
      <c r="C91" s="12">
        <v>464039</v>
      </c>
      <c r="D91" s="12">
        <v>67</v>
      </c>
      <c r="E91" s="8" t="s">
        <v>89</v>
      </c>
      <c r="F91" s="8" t="s">
        <v>96</v>
      </c>
      <c r="G91" s="8">
        <v>1</v>
      </c>
      <c r="H91" s="16">
        <v>46256</v>
      </c>
      <c r="I91" s="8"/>
      <c r="J91" s="16">
        <v>46296</v>
      </c>
      <c r="K91" s="16"/>
      <c r="L91" s="9" t="s">
        <v>56</v>
      </c>
      <c r="M91" s="8" t="s">
        <v>56</v>
      </c>
      <c r="N91" s="10">
        <f ca="1">Tabela3[[#This Row],[Prazo
Entrega]]-TODAY()</f>
        <v>66</v>
      </c>
      <c r="O91" s="8" t="str">
        <f t="shared" ca="1" si="2"/>
        <v>NO PRAZO</v>
      </c>
      <c r="P91" s="8" t="s">
        <v>32</v>
      </c>
      <c r="Q91" s="96" t="s">
        <v>495</v>
      </c>
      <c r="R91" s="96" t="s">
        <v>496</v>
      </c>
      <c r="S91" s="96" t="s">
        <v>231</v>
      </c>
      <c r="T91" s="96" t="s">
        <v>374</v>
      </c>
      <c r="U91" s="96"/>
      <c r="V91" s="8" t="s">
        <v>48</v>
      </c>
      <c r="W91" s="8"/>
    </row>
    <row r="92" spans="1:23" hidden="1" x14ac:dyDescent="0.25">
      <c r="A92" s="8">
        <v>2333</v>
      </c>
      <c r="B92" s="8">
        <v>15</v>
      </c>
      <c r="C92" s="13">
        <v>1484009</v>
      </c>
      <c r="D92" s="13">
        <v>108</v>
      </c>
      <c r="E92" s="8" t="s">
        <v>127</v>
      </c>
      <c r="F92" s="8" t="s">
        <v>142</v>
      </c>
      <c r="G92" s="8">
        <v>1</v>
      </c>
      <c r="H92" s="9">
        <v>46269</v>
      </c>
      <c r="I92" s="8"/>
      <c r="J92" s="9">
        <v>46325</v>
      </c>
      <c r="K92" s="16"/>
      <c r="L92" s="8" t="s">
        <v>56</v>
      </c>
      <c r="M92" s="8" t="s">
        <v>56</v>
      </c>
      <c r="N92" s="10">
        <f ca="1">Tabela3[[#This Row],[Prazo
Entrega]]-TODAY()</f>
        <v>95</v>
      </c>
      <c r="O92" s="8" t="str">
        <f ca="1">IF(N92&lt;0,"ATRASADO",IF(N92&lt;=15,"ATENÇÃO","NO PRAZO"))</f>
        <v>NO PRAZO</v>
      </c>
      <c r="P92" s="8" t="s">
        <v>32</v>
      </c>
      <c r="Q92" s="96" t="s">
        <v>495</v>
      </c>
      <c r="R92" s="96" t="s">
        <v>496</v>
      </c>
      <c r="S92" s="96" t="s">
        <v>231</v>
      </c>
      <c r="T92" s="96" t="s">
        <v>374</v>
      </c>
      <c r="U92" s="96"/>
      <c r="V92" s="8" t="s">
        <v>48</v>
      </c>
      <c r="W92" s="8"/>
    </row>
    <row r="93" spans="1:23" hidden="1" x14ac:dyDescent="0.25">
      <c r="A93" s="8">
        <v>2333</v>
      </c>
      <c r="B93" s="8">
        <v>16</v>
      </c>
      <c r="C93" s="13">
        <v>1484009</v>
      </c>
      <c r="D93" s="13">
        <v>109</v>
      </c>
      <c r="E93" s="8" t="s">
        <v>127</v>
      </c>
      <c r="F93" s="8" t="s">
        <v>142</v>
      </c>
      <c r="G93" s="8">
        <v>1</v>
      </c>
      <c r="H93" s="9">
        <v>46269</v>
      </c>
      <c r="I93" s="8"/>
      <c r="J93" s="9">
        <v>46325</v>
      </c>
      <c r="K93" s="16"/>
      <c r="L93" s="8" t="s">
        <v>56</v>
      </c>
      <c r="M93" s="8" t="s">
        <v>56</v>
      </c>
      <c r="N93" s="10">
        <f ca="1">Tabela3[[#This Row],[Prazo
Entrega]]-TODAY()</f>
        <v>95</v>
      </c>
      <c r="O93" s="8" t="str">
        <f ca="1">IF(N93&lt;0,"ATRASADO",IF(N93&lt;=15,"ATENÇÃO","NO PRAZO"))</f>
        <v>NO PRAZO</v>
      </c>
      <c r="P93" s="8" t="s">
        <v>32</v>
      </c>
      <c r="Q93" s="96" t="s">
        <v>495</v>
      </c>
      <c r="R93" s="96" t="s">
        <v>496</v>
      </c>
      <c r="S93" s="96" t="s">
        <v>231</v>
      </c>
      <c r="T93" s="96" t="s">
        <v>374</v>
      </c>
      <c r="U93" s="96"/>
      <c r="V93" s="8" t="s">
        <v>48</v>
      </c>
      <c r="W93" s="8"/>
    </row>
    <row r="94" spans="1:23" hidden="1" x14ac:dyDescent="0.25">
      <c r="A94" s="8">
        <v>2333</v>
      </c>
      <c r="B94" s="8">
        <v>17</v>
      </c>
      <c r="C94" s="13">
        <v>1484009</v>
      </c>
      <c r="D94" s="13">
        <v>110</v>
      </c>
      <c r="E94" s="8" t="s">
        <v>127</v>
      </c>
      <c r="F94" s="8" t="s">
        <v>142</v>
      </c>
      <c r="G94" s="8">
        <v>1</v>
      </c>
      <c r="H94" s="9">
        <v>46269</v>
      </c>
      <c r="I94" s="9">
        <v>46225</v>
      </c>
      <c r="J94" s="9">
        <v>46325</v>
      </c>
      <c r="K94" s="16"/>
      <c r="L94" s="8" t="s">
        <v>56</v>
      </c>
      <c r="M94" s="8" t="s">
        <v>56</v>
      </c>
      <c r="N94" s="10">
        <f ca="1">Tabela3[[#This Row],[Prazo
Entrega]]-TODAY()</f>
        <v>95</v>
      </c>
      <c r="O94" s="8" t="str">
        <f t="shared" ref="O94:O131" ca="1" si="3">IF(N94&lt;0,"ATRASADO",IF(N94&lt;=15,"ATENÇÃO","NO PRAZO"))</f>
        <v>NO PRAZO</v>
      </c>
      <c r="P94" s="8" t="s">
        <v>32</v>
      </c>
      <c r="Q94" s="96" t="s">
        <v>495</v>
      </c>
      <c r="R94" s="96" t="s">
        <v>496</v>
      </c>
      <c r="S94" s="96" t="s">
        <v>231</v>
      </c>
      <c r="T94" s="96" t="s">
        <v>374</v>
      </c>
      <c r="U94" s="96"/>
      <c r="V94" s="8" t="s">
        <v>202</v>
      </c>
      <c r="W94" s="8"/>
    </row>
    <row r="95" spans="1:23" hidden="1" x14ac:dyDescent="0.25">
      <c r="A95" s="8">
        <v>2333</v>
      </c>
      <c r="B95" s="8">
        <v>18</v>
      </c>
      <c r="C95" s="13">
        <v>1484009</v>
      </c>
      <c r="D95" s="13">
        <v>111</v>
      </c>
      <c r="E95" s="8" t="s">
        <v>127</v>
      </c>
      <c r="F95" s="8" t="s">
        <v>142</v>
      </c>
      <c r="G95" s="8">
        <v>1</v>
      </c>
      <c r="H95" s="9">
        <v>46269</v>
      </c>
      <c r="I95" s="9">
        <v>46225</v>
      </c>
      <c r="J95" s="9">
        <v>46325</v>
      </c>
      <c r="K95" s="16"/>
      <c r="L95" s="8" t="s">
        <v>56</v>
      </c>
      <c r="M95" s="8" t="s">
        <v>56</v>
      </c>
      <c r="N95" s="10">
        <f ca="1">Tabela3[[#This Row],[Prazo
Entrega]]-TODAY()</f>
        <v>95</v>
      </c>
      <c r="O95" s="8" t="str">
        <f t="shared" ca="1" si="3"/>
        <v>NO PRAZO</v>
      </c>
      <c r="P95" s="8" t="s">
        <v>32</v>
      </c>
      <c r="Q95" s="96" t="s">
        <v>495</v>
      </c>
      <c r="R95" s="96" t="s">
        <v>496</v>
      </c>
      <c r="S95" s="96" t="s">
        <v>231</v>
      </c>
      <c r="T95" s="96" t="s">
        <v>374</v>
      </c>
      <c r="U95" s="96"/>
      <c r="V95" s="8" t="s">
        <v>202</v>
      </c>
      <c r="W95" s="8"/>
    </row>
    <row r="96" spans="1:23" hidden="1" x14ac:dyDescent="0.25">
      <c r="A96" s="8">
        <v>2333</v>
      </c>
      <c r="B96" s="8">
        <v>19</v>
      </c>
      <c r="C96" s="13">
        <v>1484009</v>
      </c>
      <c r="D96" s="13">
        <v>112</v>
      </c>
      <c r="E96" s="8" t="s">
        <v>127</v>
      </c>
      <c r="F96" s="8" t="s">
        <v>142</v>
      </c>
      <c r="G96" s="8">
        <v>1</v>
      </c>
      <c r="H96" s="9">
        <v>46269</v>
      </c>
      <c r="I96" s="9">
        <v>46225</v>
      </c>
      <c r="J96" s="9">
        <v>46325</v>
      </c>
      <c r="K96" s="16"/>
      <c r="L96" s="8" t="s">
        <v>56</v>
      </c>
      <c r="M96" s="8" t="s">
        <v>56</v>
      </c>
      <c r="N96" s="10">
        <f ca="1">Tabela3[[#This Row],[Prazo
Entrega]]-TODAY()</f>
        <v>95</v>
      </c>
      <c r="O96" s="8" t="str">
        <f t="shared" ca="1" si="3"/>
        <v>NO PRAZO</v>
      </c>
      <c r="P96" s="8" t="s">
        <v>32</v>
      </c>
      <c r="Q96" s="96" t="s">
        <v>495</v>
      </c>
      <c r="R96" s="96" t="s">
        <v>496</v>
      </c>
      <c r="S96" s="96" t="s">
        <v>231</v>
      </c>
      <c r="T96" s="96" t="s">
        <v>374</v>
      </c>
      <c r="U96" s="96"/>
      <c r="V96" s="8" t="s">
        <v>202</v>
      </c>
      <c r="W96" s="8"/>
    </row>
    <row r="97" spans="1:23" hidden="1" x14ac:dyDescent="0.25">
      <c r="A97" s="8">
        <v>2333</v>
      </c>
      <c r="B97" s="8">
        <v>20</v>
      </c>
      <c r="C97" s="13">
        <v>1484009</v>
      </c>
      <c r="D97" s="13">
        <v>113</v>
      </c>
      <c r="E97" s="8" t="s">
        <v>127</v>
      </c>
      <c r="F97" s="8" t="s">
        <v>142</v>
      </c>
      <c r="G97" s="8">
        <v>1</v>
      </c>
      <c r="H97" s="9">
        <v>46269</v>
      </c>
      <c r="I97" s="9">
        <v>46225</v>
      </c>
      <c r="J97" s="9">
        <v>46325</v>
      </c>
      <c r="K97" s="16"/>
      <c r="L97" s="8" t="s">
        <v>56</v>
      </c>
      <c r="M97" s="8" t="s">
        <v>56</v>
      </c>
      <c r="N97" s="10">
        <f ca="1">Tabela3[[#This Row],[Prazo
Entrega]]-TODAY()</f>
        <v>95</v>
      </c>
      <c r="O97" s="8" t="str">
        <f t="shared" ca="1" si="3"/>
        <v>NO PRAZO</v>
      </c>
      <c r="P97" s="8" t="s">
        <v>32</v>
      </c>
      <c r="Q97" s="96" t="s">
        <v>495</v>
      </c>
      <c r="R97" s="96" t="s">
        <v>496</v>
      </c>
      <c r="S97" s="96" t="s">
        <v>231</v>
      </c>
      <c r="T97" s="96" t="s">
        <v>374</v>
      </c>
      <c r="U97" s="96"/>
      <c r="V97" s="8" t="s">
        <v>202</v>
      </c>
      <c r="W97" s="8"/>
    </row>
    <row r="98" spans="1:23" hidden="1" x14ac:dyDescent="0.25">
      <c r="A98" s="8">
        <v>2333</v>
      </c>
      <c r="B98" s="8">
        <v>21</v>
      </c>
      <c r="C98" s="13">
        <v>1484009</v>
      </c>
      <c r="D98" s="13">
        <v>114</v>
      </c>
      <c r="E98" s="8" t="s">
        <v>127</v>
      </c>
      <c r="F98" s="8" t="s">
        <v>142</v>
      </c>
      <c r="G98" s="8">
        <v>1</v>
      </c>
      <c r="H98" s="9">
        <v>46269</v>
      </c>
      <c r="I98" s="8"/>
      <c r="J98" s="9">
        <v>46325</v>
      </c>
      <c r="K98" s="16"/>
      <c r="L98" s="8" t="s">
        <v>56</v>
      </c>
      <c r="M98" s="8" t="s">
        <v>56</v>
      </c>
      <c r="N98" s="10">
        <f ca="1">Tabela3[[#This Row],[Prazo
Entrega]]-TODAY()</f>
        <v>95</v>
      </c>
      <c r="O98" s="8" t="str">
        <f t="shared" ca="1" si="3"/>
        <v>NO PRAZO</v>
      </c>
      <c r="P98" s="8" t="s">
        <v>32</v>
      </c>
      <c r="Q98" s="96" t="s">
        <v>495</v>
      </c>
      <c r="R98" s="96" t="s">
        <v>496</v>
      </c>
      <c r="S98" s="96" t="s">
        <v>231</v>
      </c>
      <c r="T98" s="96" t="s">
        <v>374</v>
      </c>
      <c r="U98" s="96"/>
      <c r="V98" s="8" t="s">
        <v>48</v>
      </c>
      <c r="W98" s="8"/>
    </row>
    <row r="99" spans="1:23" hidden="1" x14ac:dyDescent="0.25">
      <c r="A99" s="8">
        <v>2333</v>
      </c>
      <c r="B99" s="8">
        <v>22</v>
      </c>
      <c r="C99" s="13">
        <v>1484009</v>
      </c>
      <c r="D99" s="13">
        <v>115</v>
      </c>
      <c r="E99" s="8" t="s">
        <v>127</v>
      </c>
      <c r="F99" s="8" t="s">
        <v>142</v>
      </c>
      <c r="G99" s="8">
        <v>1</v>
      </c>
      <c r="H99" s="9">
        <v>46269</v>
      </c>
      <c r="I99" s="8"/>
      <c r="J99" s="9">
        <v>46325</v>
      </c>
      <c r="K99" s="16"/>
      <c r="L99" s="8" t="s">
        <v>56</v>
      </c>
      <c r="M99" s="8" t="s">
        <v>56</v>
      </c>
      <c r="N99" s="10">
        <f ca="1">Tabela3[[#This Row],[Prazo
Entrega]]-TODAY()</f>
        <v>95</v>
      </c>
      <c r="O99" s="8" t="str">
        <f t="shared" ca="1" si="3"/>
        <v>NO PRAZO</v>
      </c>
      <c r="P99" s="8" t="s">
        <v>32</v>
      </c>
      <c r="Q99" s="96" t="s">
        <v>495</v>
      </c>
      <c r="R99" s="96" t="s">
        <v>496</v>
      </c>
      <c r="S99" s="96" t="s">
        <v>231</v>
      </c>
      <c r="T99" s="96" t="s">
        <v>374</v>
      </c>
      <c r="U99" s="96"/>
      <c r="V99" s="8" t="s">
        <v>48</v>
      </c>
      <c r="W99" s="8"/>
    </row>
    <row r="100" spans="1:23" hidden="1" x14ac:dyDescent="0.25">
      <c r="A100" s="8">
        <v>2333</v>
      </c>
      <c r="B100" s="8">
        <v>23</v>
      </c>
      <c r="C100" s="13">
        <v>1484009</v>
      </c>
      <c r="D100" s="13">
        <v>116</v>
      </c>
      <c r="E100" s="8" t="s">
        <v>127</v>
      </c>
      <c r="F100" s="8" t="s">
        <v>142</v>
      </c>
      <c r="G100" s="8">
        <v>1</v>
      </c>
      <c r="H100" s="9">
        <v>46269</v>
      </c>
      <c r="I100" s="9">
        <v>46225</v>
      </c>
      <c r="J100" s="9">
        <v>46325</v>
      </c>
      <c r="K100" s="16"/>
      <c r="L100" s="8" t="s">
        <v>56</v>
      </c>
      <c r="M100" s="8" t="s">
        <v>56</v>
      </c>
      <c r="N100" s="10">
        <f ca="1">Tabela3[[#This Row],[Prazo
Entrega]]-TODAY()</f>
        <v>95</v>
      </c>
      <c r="O100" s="8" t="str">
        <f t="shared" ca="1" si="3"/>
        <v>NO PRAZO</v>
      </c>
      <c r="P100" s="8" t="s">
        <v>32</v>
      </c>
      <c r="Q100" s="96" t="s">
        <v>495</v>
      </c>
      <c r="R100" s="96" t="s">
        <v>496</v>
      </c>
      <c r="S100" s="96" t="s">
        <v>231</v>
      </c>
      <c r="T100" s="96" t="s">
        <v>374</v>
      </c>
      <c r="U100" s="96"/>
      <c r="V100" s="8" t="s">
        <v>202</v>
      </c>
      <c r="W100" s="8"/>
    </row>
    <row r="101" spans="1:23" hidden="1" x14ac:dyDescent="0.25">
      <c r="A101" s="8">
        <v>2333</v>
      </c>
      <c r="B101" s="8">
        <v>24</v>
      </c>
      <c r="C101" s="13">
        <v>1484009</v>
      </c>
      <c r="D101" s="13">
        <v>117</v>
      </c>
      <c r="E101" s="8" t="s">
        <v>127</v>
      </c>
      <c r="F101" s="8" t="s">
        <v>142</v>
      </c>
      <c r="G101" s="8">
        <v>1</v>
      </c>
      <c r="H101" s="9">
        <v>46269</v>
      </c>
      <c r="I101" s="9">
        <v>46225</v>
      </c>
      <c r="J101" s="9">
        <v>46325</v>
      </c>
      <c r="K101" s="16"/>
      <c r="L101" s="8" t="s">
        <v>56</v>
      </c>
      <c r="M101" s="8" t="s">
        <v>56</v>
      </c>
      <c r="N101" s="10">
        <f ca="1">Tabela3[[#This Row],[Prazo
Entrega]]-TODAY()</f>
        <v>95</v>
      </c>
      <c r="O101" s="8" t="str">
        <f t="shared" ca="1" si="3"/>
        <v>NO PRAZO</v>
      </c>
      <c r="P101" s="8" t="s">
        <v>32</v>
      </c>
      <c r="Q101" s="96" t="s">
        <v>495</v>
      </c>
      <c r="R101" s="96" t="s">
        <v>496</v>
      </c>
      <c r="S101" s="96" t="s">
        <v>231</v>
      </c>
      <c r="T101" s="96" t="s">
        <v>374</v>
      </c>
      <c r="U101" s="96"/>
      <c r="V101" s="8" t="s">
        <v>202</v>
      </c>
      <c r="W101" s="8"/>
    </row>
    <row r="102" spans="1:23" hidden="1" x14ac:dyDescent="0.25">
      <c r="A102" s="8">
        <v>2333</v>
      </c>
      <c r="B102" s="8">
        <v>25</v>
      </c>
      <c r="C102" s="13">
        <v>1484009</v>
      </c>
      <c r="D102" s="13">
        <v>118</v>
      </c>
      <c r="E102" s="8" t="s">
        <v>127</v>
      </c>
      <c r="F102" s="8" t="s">
        <v>142</v>
      </c>
      <c r="G102" s="8">
        <v>1</v>
      </c>
      <c r="H102" s="9">
        <v>46269</v>
      </c>
      <c r="I102" s="8"/>
      <c r="J102" s="9">
        <v>46325</v>
      </c>
      <c r="K102" s="16"/>
      <c r="L102" s="8" t="s">
        <v>56</v>
      </c>
      <c r="M102" s="8" t="s">
        <v>56</v>
      </c>
      <c r="N102" s="10">
        <f ca="1">Tabela3[[#This Row],[Prazo
Entrega]]-TODAY()</f>
        <v>95</v>
      </c>
      <c r="O102" s="8" t="str">
        <f t="shared" ca="1" si="3"/>
        <v>NO PRAZO</v>
      </c>
      <c r="P102" s="8" t="s">
        <v>32</v>
      </c>
      <c r="Q102" s="96" t="s">
        <v>495</v>
      </c>
      <c r="R102" s="96" t="s">
        <v>496</v>
      </c>
      <c r="S102" s="96" t="s">
        <v>231</v>
      </c>
      <c r="T102" s="96" t="s">
        <v>374</v>
      </c>
      <c r="U102" s="96"/>
      <c r="V102" s="8" t="s">
        <v>48</v>
      </c>
      <c r="W102" s="8"/>
    </row>
    <row r="103" spans="1:23" hidden="1" x14ac:dyDescent="0.25">
      <c r="A103" s="8">
        <v>2333</v>
      </c>
      <c r="B103" s="8">
        <v>26</v>
      </c>
      <c r="C103" s="13">
        <v>1484009</v>
      </c>
      <c r="D103" s="13">
        <v>119</v>
      </c>
      <c r="E103" s="8" t="s">
        <v>127</v>
      </c>
      <c r="F103" s="8" t="s">
        <v>142</v>
      </c>
      <c r="G103" s="8">
        <v>1</v>
      </c>
      <c r="H103" s="9">
        <v>46269</v>
      </c>
      <c r="I103" s="8"/>
      <c r="J103" s="9">
        <v>46325</v>
      </c>
      <c r="K103" s="16"/>
      <c r="L103" s="8" t="s">
        <v>56</v>
      </c>
      <c r="M103" s="8" t="s">
        <v>56</v>
      </c>
      <c r="N103" s="10">
        <f ca="1">Tabela3[[#This Row],[Prazo
Entrega]]-TODAY()</f>
        <v>95</v>
      </c>
      <c r="O103" s="8" t="str">
        <f t="shared" ca="1" si="3"/>
        <v>NO PRAZO</v>
      </c>
      <c r="P103" s="8" t="s">
        <v>32</v>
      </c>
      <c r="Q103" s="96" t="s">
        <v>495</v>
      </c>
      <c r="R103" s="96" t="s">
        <v>496</v>
      </c>
      <c r="S103" s="96" t="s">
        <v>231</v>
      </c>
      <c r="T103" s="96" t="s">
        <v>374</v>
      </c>
      <c r="U103" s="96"/>
      <c r="V103" s="8" t="s">
        <v>48</v>
      </c>
      <c r="W103" s="8"/>
    </row>
    <row r="104" spans="1:23" hidden="1" x14ac:dyDescent="0.25">
      <c r="A104" s="8">
        <v>2333</v>
      </c>
      <c r="B104" s="8">
        <v>27</v>
      </c>
      <c r="C104" s="13">
        <v>1484009</v>
      </c>
      <c r="D104" s="13">
        <v>120</v>
      </c>
      <c r="E104" s="8" t="s">
        <v>127</v>
      </c>
      <c r="F104" s="8" t="s">
        <v>142</v>
      </c>
      <c r="G104" s="8">
        <v>1</v>
      </c>
      <c r="H104" s="9">
        <v>46269</v>
      </c>
      <c r="I104" s="9">
        <v>46227</v>
      </c>
      <c r="J104" s="9">
        <v>46325</v>
      </c>
      <c r="K104" s="16"/>
      <c r="L104" s="8" t="s">
        <v>56</v>
      </c>
      <c r="M104" s="8" t="s">
        <v>56</v>
      </c>
      <c r="N104" s="10">
        <f ca="1">Tabela3[[#This Row],[Prazo
Entrega]]-TODAY()</f>
        <v>95</v>
      </c>
      <c r="O104" s="8" t="str">
        <f t="shared" ca="1" si="3"/>
        <v>NO PRAZO</v>
      </c>
      <c r="P104" s="8" t="s">
        <v>32</v>
      </c>
      <c r="Q104" s="96" t="s">
        <v>495</v>
      </c>
      <c r="R104" s="96" t="s">
        <v>496</v>
      </c>
      <c r="S104" s="96" t="s">
        <v>231</v>
      </c>
      <c r="T104" s="96" t="s">
        <v>374</v>
      </c>
      <c r="U104" s="96"/>
      <c r="V104" s="8" t="s">
        <v>202</v>
      </c>
      <c r="W104" s="8"/>
    </row>
    <row r="105" spans="1:23" hidden="1" x14ac:dyDescent="0.25">
      <c r="A105" s="8">
        <v>2333</v>
      </c>
      <c r="B105" s="8">
        <v>28</v>
      </c>
      <c r="C105" s="13">
        <v>1484009</v>
      </c>
      <c r="D105" s="13">
        <v>121</v>
      </c>
      <c r="E105" s="8" t="s">
        <v>127</v>
      </c>
      <c r="F105" s="8" t="s">
        <v>143</v>
      </c>
      <c r="G105" s="8">
        <v>1</v>
      </c>
      <c r="H105" s="9">
        <v>46269</v>
      </c>
      <c r="I105" s="8"/>
      <c r="J105" s="9">
        <v>46325</v>
      </c>
      <c r="K105" s="16"/>
      <c r="L105" s="8" t="s">
        <v>56</v>
      </c>
      <c r="M105" s="8" t="s">
        <v>56</v>
      </c>
      <c r="N105" s="10">
        <f ca="1">Tabela3[[#This Row],[Prazo
Entrega]]-TODAY()</f>
        <v>95</v>
      </c>
      <c r="O105" s="8" t="str">
        <f t="shared" ca="1" si="3"/>
        <v>NO PRAZO</v>
      </c>
      <c r="P105" s="8" t="s">
        <v>32</v>
      </c>
      <c r="Q105" s="96" t="s">
        <v>495</v>
      </c>
      <c r="R105" s="96" t="s">
        <v>496</v>
      </c>
      <c r="S105" s="96" t="s">
        <v>231</v>
      </c>
      <c r="T105" s="96" t="s">
        <v>374</v>
      </c>
      <c r="U105" s="96"/>
      <c r="V105" s="8" t="s">
        <v>48</v>
      </c>
      <c r="W105" s="8"/>
    </row>
    <row r="106" spans="1:23" hidden="1" x14ac:dyDescent="0.25">
      <c r="A106" s="8">
        <v>2333</v>
      </c>
      <c r="B106" s="8">
        <v>29</v>
      </c>
      <c r="C106" s="13">
        <v>1484009</v>
      </c>
      <c r="D106" s="13">
        <v>122</v>
      </c>
      <c r="E106" s="8" t="s">
        <v>127</v>
      </c>
      <c r="F106" s="8" t="s">
        <v>143</v>
      </c>
      <c r="G106" s="8">
        <v>1</v>
      </c>
      <c r="H106" s="9">
        <v>46269</v>
      </c>
      <c r="I106" s="9">
        <v>46225</v>
      </c>
      <c r="J106" s="9">
        <v>46325</v>
      </c>
      <c r="K106" s="16"/>
      <c r="L106" s="8" t="s">
        <v>56</v>
      </c>
      <c r="M106" s="8" t="s">
        <v>56</v>
      </c>
      <c r="N106" s="10">
        <f ca="1">Tabela3[[#This Row],[Prazo
Entrega]]-TODAY()</f>
        <v>95</v>
      </c>
      <c r="O106" s="8" t="str">
        <f t="shared" ca="1" si="3"/>
        <v>NO PRAZO</v>
      </c>
      <c r="P106" s="8" t="s">
        <v>32</v>
      </c>
      <c r="Q106" s="96" t="s">
        <v>495</v>
      </c>
      <c r="R106" s="96" t="s">
        <v>496</v>
      </c>
      <c r="S106" s="96" t="s">
        <v>231</v>
      </c>
      <c r="T106" s="96" t="s">
        <v>374</v>
      </c>
      <c r="U106" s="96"/>
      <c r="V106" s="8" t="s">
        <v>202</v>
      </c>
      <c r="W106" s="8"/>
    </row>
    <row r="107" spans="1:23" hidden="1" x14ac:dyDescent="0.25">
      <c r="A107" s="8">
        <v>2333</v>
      </c>
      <c r="B107" s="8">
        <v>30</v>
      </c>
      <c r="C107" s="13">
        <v>1484009</v>
      </c>
      <c r="D107" s="13">
        <v>123</v>
      </c>
      <c r="E107" s="8" t="s">
        <v>127</v>
      </c>
      <c r="F107" s="8" t="s">
        <v>143</v>
      </c>
      <c r="G107" s="8">
        <v>1</v>
      </c>
      <c r="H107" s="9">
        <v>46269</v>
      </c>
      <c r="I107" s="8"/>
      <c r="J107" s="9">
        <v>46325</v>
      </c>
      <c r="K107" s="16"/>
      <c r="L107" s="8" t="s">
        <v>56</v>
      </c>
      <c r="M107" s="8" t="s">
        <v>56</v>
      </c>
      <c r="N107" s="10">
        <f ca="1">Tabela3[[#This Row],[Prazo
Entrega]]-TODAY()</f>
        <v>95</v>
      </c>
      <c r="O107" s="8" t="str">
        <f t="shared" ca="1" si="3"/>
        <v>NO PRAZO</v>
      </c>
      <c r="P107" s="8" t="s">
        <v>32</v>
      </c>
      <c r="Q107" s="96" t="s">
        <v>495</v>
      </c>
      <c r="R107" s="96" t="s">
        <v>496</v>
      </c>
      <c r="S107" s="96" t="s">
        <v>231</v>
      </c>
      <c r="T107" s="96" t="s">
        <v>374</v>
      </c>
      <c r="U107" s="96"/>
      <c r="V107" s="8" t="s">
        <v>48</v>
      </c>
      <c r="W107" s="8"/>
    </row>
    <row r="108" spans="1:23" hidden="1" x14ac:dyDescent="0.25">
      <c r="A108" s="8">
        <v>2333</v>
      </c>
      <c r="B108" s="8">
        <v>31</v>
      </c>
      <c r="C108" s="13">
        <v>1484009</v>
      </c>
      <c r="D108" s="13">
        <v>124</v>
      </c>
      <c r="E108" s="8" t="s">
        <v>127</v>
      </c>
      <c r="F108" s="8" t="s">
        <v>143</v>
      </c>
      <c r="G108" s="8">
        <v>1</v>
      </c>
      <c r="H108" s="9">
        <v>46269</v>
      </c>
      <c r="I108" s="9">
        <v>46225</v>
      </c>
      <c r="J108" s="9">
        <v>46325</v>
      </c>
      <c r="K108" s="16"/>
      <c r="L108" s="8" t="s">
        <v>56</v>
      </c>
      <c r="M108" s="8" t="s">
        <v>56</v>
      </c>
      <c r="N108" s="10">
        <f ca="1">Tabela3[[#This Row],[Prazo
Entrega]]-TODAY()</f>
        <v>95</v>
      </c>
      <c r="O108" s="8" t="str">
        <f t="shared" ca="1" si="3"/>
        <v>NO PRAZO</v>
      </c>
      <c r="P108" s="8" t="s">
        <v>32</v>
      </c>
      <c r="Q108" s="96" t="s">
        <v>495</v>
      </c>
      <c r="R108" s="96" t="s">
        <v>496</v>
      </c>
      <c r="S108" s="96" t="s">
        <v>231</v>
      </c>
      <c r="T108" s="96" t="s">
        <v>374</v>
      </c>
      <c r="U108" s="96"/>
      <c r="V108" s="8" t="s">
        <v>202</v>
      </c>
      <c r="W108" s="8"/>
    </row>
    <row r="109" spans="1:23" hidden="1" x14ac:dyDescent="0.25">
      <c r="A109" s="8">
        <v>2333</v>
      </c>
      <c r="B109" s="8">
        <v>32</v>
      </c>
      <c r="C109" s="13">
        <v>1484009</v>
      </c>
      <c r="D109" s="13">
        <v>125</v>
      </c>
      <c r="E109" s="8" t="s">
        <v>127</v>
      </c>
      <c r="F109" s="8" t="s">
        <v>143</v>
      </c>
      <c r="G109" s="8">
        <v>1</v>
      </c>
      <c r="H109" s="9">
        <v>46269</v>
      </c>
      <c r="I109" s="8"/>
      <c r="J109" s="9">
        <v>46325</v>
      </c>
      <c r="K109" s="16"/>
      <c r="L109" s="8" t="s">
        <v>56</v>
      </c>
      <c r="M109" s="8" t="s">
        <v>56</v>
      </c>
      <c r="N109" s="10">
        <f ca="1">Tabela3[[#This Row],[Prazo
Entrega]]-TODAY()</f>
        <v>95</v>
      </c>
      <c r="O109" s="8" t="str">
        <f t="shared" ca="1" si="3"/>
        <v>NO PRAZO</v>
      </c>
      <c r="P109" s="8" t="s">
        <v>32</v>
      </c>
      <c r="Q109" s="96" t="s">
        <v>495</v>
      </c>
      <c r="R109" s="96" t="s">
        <v>496</v>
      </c>
      <c r="S109" s="96" t="s">
        <v>231</v>
      </c>
      <c r="T109" s="96" t="s">
        <v>374</v>
      </c>
      <c r="U109" s="96"/>
      <c r="V109" s="8" t="s">
        <v>48</v>
      </c>
      <c r="W109" s="8"/>
    </row>
    <row r="110" spans="1:23" hidden="1" x14ac:dyDescent="0.25">
      <c r="A110" s="8">
        <v>2333</v>
      </c>
      <c r="B110" s="8">
        <v>33</v>
      </c>
      <c r="C110" s="13">
        <v>1484009</v>
      </c>
      <c r="D110" s="13">
        <v>126</v>
      </c>
      <c r="E110" s="8" t="s">
        <v>127</v>
      </c>
      <c r="F110" s="8" t="s">
        <v>143</v>
      </c>
      <c r="G110" s="8">
        <v>1</v>
      </c>
      <c r="H110" s="9">
        <v>46269</v>
      </c>
      <c r="I110" s="9">
        <v>46225</v>
      </c>
      <c r="J110" s="9">
        <v>46325</v>
      </c>
      <c r="K110" s="16"/>
      <c r="L110" s="8" t="s">
        <v>56</v>
      </c>
      <c r="M110" s="8" t="s">
        <v>56</v>
      </c>
      <c r="N110" s="10">
        <f ca="1">Tabela3[[#This Row],[Prazo
Entrega]]-TODAY()</f>
        <v>95</v>
      </c>
      <c r="O110" s="8" t="str">
        <f t="shared" ca="1" si="3"/>
        <v>NO PRAZO</v>
      </c>
      <c r="P110" s="8" t="s">
        <v>32</v>
      </c>
      <c r="Q110" s="96" t="s">
        <v>495</v>
      </c>
      <c r="R110" s="96" t="s">
        <v>496</v>
      </c>
      <c r="S110" s="96" t="s">
        <v>231</v>
      </c>
      <c r="T110" s="96" t="s">
        <v>374</v>
      </c>
      <c r="U110" s="96"/>
      <c r="V110" s="8" t="s">
        <v>202</v>
      </c>
      <c r="W110" s="8"/>
    </row>
    <row r="111" spans="1:23" hidden="1" x14ac:dyDescent="0.25">
      <c r="A111" s="8">
        <v>2333</v>
      </c>
      <c r="B111" s="8">
        <v>34</v>
      </c>
      <c r="C111" s="13">
        <v>1484009</v>
      </c>
      <c r="D111" s="13">
        <v>127</v>
      </c>
      <c r="E111" s="8" t="s">
        <v>127</v>
      </c>
      <c r="F111" s="8" t="s">
        <v>143</v>
      </c>
      <c r="G111" s="8">
        <v>1</v>
      </c>
      <c r="H111" s="9">
        <v>46269</v>
      </c>
      <c r="I111" s="9">
        <v>46225</v>
      </c>
      <c r="J111" s="9">
        <v>46325</v>
      </c>
      <c r="K111" s="16"/>
      <c r="L111" s="8" t="s">
        <v>56</v>
      </c>
      <c r="M111" s="8" t="s">
        <v>56</v>
      </c>
      <c r="N111" s="10">
        <f ca="1">Tabela3[[#This Row],[Prazo
Entrega]]-TODAY()</f>
        <v>95</v>
      </c>
      <c r="O111" s="8" t="str">
        <f t="shared" ca="1" si="3"/>
        <v>NO PRAZO</v>
      </c>
      <c r="P111" s="8" t="s">
        <v>32</v>
      </c>
      <c r="Q111" s="96" t="s">
        <v>495</v>
      </c>
      <c r="R111" s="96" t="s">
        <v>496</v>
      </c>
      <c r="S111" s="96" t="s">
        <v>231</v>
      </c>
      <c r="T111" s="96" t="s">
        <v>374</v>
      </c>
      <c r="U111" s="96"/>
      <c r="V111" s="8" t="s">
        <v>202</v>
      </c>
      <c r="W111" s="8"/>
    </row>
    <row r="112" spans="1:23" hidden="1" x14ac:dyDescent="0.25">
      <c r="A112" s="8">
        <v>2333</v>
      </c>
      <c r="B112" s="8">
        <v>35</v>
      </c>
      <c r="C112" s="13">
        <v>1484009</v>
      </c>
      <c r="D112" s="13">
        <v>128</v>
      </c>
      <c r="E112" s="8" t="s">
        <v>127</v>
      </c>
      <c r="F112" s="8" t="s">
        <v>143</v>
      </c>
      <c r="G112" s="8">
        <v>1</v>
      </c>
      <c r="H112" s="9">
        <v>46269</v>
      </c>
      <c r="I112" s="8"/>
      <c r="J112" s="9">
        <v>46325</v>
      </c>
      <c r="K112" s="16"/>
      <c r="L112" s="8" t="s">
        <v>56</v>
      </c>
      <c r="M112" s="8" t="s">
        <v>56</v>
      </c>
      <c r="N112" s="10">
        <f ca="1">Tabela3[[#This Row],[Prazo
Entrega]]-TODAY()</f>
        <v>95</v>
      </c>
      <c r="O112" s="8" t="str">
        <f t="shared" ca="1" si="3"/>
        <v>NO PRAZO</v>
      </c>
      <c r="P112" s="8" t="s">
        <v>32</v>
      </c>
      <c r="Q112" s="96" t="s">
        <v>495</v>
      </c>
      <c r="R112" s="96" t="s">
        <v>496</v>
      </c>
      <c r="S112" s="96" t="s">
        <v>231</v>
      </c>
      <c r="T112" s="96" t="s">
        <v>374</v>
      </c>
      <c r="U112" s="96"/>
      <c r="V112" s="8" t="s">
        <v>48</v>
      </c>
      <c r="W112" s="8"/>
    </row>
    <row r="113" spans="1:23" hidden="1" x14ac:dyDescent="0.25">
      <c r="A113" s="8">
        <v>2333</v>
      </c>
      <c r="B113" s="8">
        <v>36</v>
      </c>
      <c r="C113" s="13">
        <v>1484009</v>
      </c>
      <c r="D113" s="13">
        <v>129</v>
      </c>
      <c r="E113" s="8" t="s">
        <v>127</v>
      </c>
      <c r="F113" s="8" t="s">
        <v>143</v>
      </c>
      <c r="G113" s="8">
        <v>1</v>
      </c>
      <c r="H113" s="9">
        <v>46269</v>
      </c>
      <c r="I113" s="9">
        <v>46227</v>
      </c>
      <c r="J113" s="9">
        <v>46325</v>
      </c>
      <c r="K113" s="16"/>
      <c r="L113" s="8" t="s">
        <v>56</v>
      </c>
      <c r="M113" s="8" t="s">
        <v>56</v>
      </c>
      <c r="N113" s="10">
        <f ca="1">Tabela3[[#This Row],[Prazo
Entrega]]-TODAY()</f>
        <v>95</v>
      </c>
      <c r="O113" s="8" t="str">
        <f t="shared" ca="1" si="3"/>
        <v>NO PRAZO</v>
      </c>
      <c r="P113" s="8" t="s">
        <v>32</v>
      </c>
      <c r="Q113" s="96" t="s">
        <v>495</v>
      </c>
      <c r="R113" s="96" t="s">
        <v>496</v>
      </c>
      <c r="S113" s="96" t="s">
        <v>231</v>
      </c>
      <c r="T113" s="96" t="s">
        <v>374</v>
      </c>
      <c r="U113" s="96"/>
      <c r="V113" s="8" t="s">
        <v>202</v>
      </c>
      <c r="W113" s="8"/>
    </row>
    <row r="114" spans="1:23" hidden="1" x14ac:dyDescent="0.25">
      <c r="A114" s="8">
        <v>2333</v>
      </c>
      <c r="B114" s="8">
        <v>37</v>
      </c>
      <c r="C114" s="13">
        <v>1484009</v>
      </c>
      <c r="D114" s="13">
        <v>130</v>
      </c>
      <c r="E114" s="8" t="s">
        <v>127</v>
      </c>
      <c r="F114" s="8" t="s">
        <v>143</v>
      </c>
      <c r="G114" s="8">
        <v>1</v>
      </c>
      <c r="H114" s="9">
        <v>46269</v>
      </c>
      <c r="I114" s="8"/>
      <c r="J114" s="9">
        <v>46325</v>
      </c>
      <c r="K114" s="16"/>
      <c r="L114" s="8" t="s">
        <v>56</v>
      </c>
      <c r="M114" s="8" t="s">
        <v>56</v>
      </c>
      <c r="N114" s="10">
        <f ca="1">Tabela3[[#This Row],[Prazo
Entrega]]-TODAY()</f>
        <v>95</v>
      </c>
      <c r="O114" s="8" t="str">
        <f t="shared" ca="1" si="3"/>
        <v>NO PRAZO</v>
      </c>
      <c r="P114" s="8" t="s">
        <v>32</v>
      </c>
      <c r="Q114" s="96" t="s">
        <v>495</v>
      </c>
      <c r="R114" s="96" t="s">
        <v>496</v>
      </c>
      <c r="S114" s="96" t="s">
        <v>231</v>
      </c>
      <c r="T114" s="96" t="s">
        <v>374</v>
      </c>
      <c r="U114" s="96"/>
      <c r="V114" s="8" t="s">
        <v>48</v>
      </c>
      <c r="W114" s="8"/>
    </row>
    <row r="115" spans="1:23" hidden="1" x14ac:dyDescent="0.25">
      <c r="A115" s="8">
        <v>2333</v>
      </c>
      <c r="B115" s="8">
        <v>38</v>
      </c>
      <c r="C115" s="13">
        <v>1484009</v>
      </c>
      <c r="D115" s="13">
        <v>131</v>
      </c>
      <c r="E115" s="8" t="s">
        <v>127</v>
      </c>
      <c r="F115" s="8" t="s">
        <v>143</v>
      </c>
      <c r="G115" s="8">
        <v>1</v>
      </c>
      <c r="H115" s="9">
        <v>46269</v>
      </c>
      <c r="I115" s="8"/>
      <c r="J115" s="9">
        <v>46325</v>
      </c>
      <c r="K115" s="16"/>
      <c r="L115" s="8" t="s">
        <v>56</v>
      </c>
      <c r="M115" s="8" t="s">
        <v>56</v>
      </c>
      <c r="N115" s="10">
        <f ca="1">Tabela3[[#This Row],[Prazo
Entrega]]-TODAY()</f>
        <v>95</v>
      </c>
      <c r="O115" s="8" t="str">
        <f t="shared" ca="1" si="3"/>
        <v>NO PRAZO</v>
      </c>
      <c r="P115" s="8" t="s">
        <v>32</v>
      </c>
      <c r="Q115" s="96" t="s">
        <v>495</v>
      </c>
      <c r="R115" s="96" t="s">
        <v>496</v>
      </c>
      <c r="S115" s="96" t="s">
        <v>231</v>
      </c>
      <c r="T115" s="96" t="s">
        <v>374</v>
      </c>
      <c r="U115" s="96"/>
      <c r="V115" s="8" t="s">
        <v>48</v>
      </c>
      <c r="W115" s="8"/>
    </row>
    <row r="116" spans="1:23" hidden="1" x14ac:dyDescent="0.25">
      <c r="A116" s="8">
        <v>2333</v>
      </c>
      <c r="B116" s="8">
        <v>39</v>
      </c>
      <c r="C116" s="13">
        <v>1484009</v>
      </c>
      <c r="D116" s="13">
        <v>132</v>
      </c>
      <c r="E116" s="8" t="s">
        <v>127</v>
      </c>
      <c r="F116" s="8" t="s">
        <v>144</v>
      </c>
      <c r="G116" s="8">
        <v>1</v>
      </c>
      <c r="H116" s="9">
        <v>46269</v>
      </c>
      <c r="I116" s="9">
        <v>46227</v>
      </c>
      <c r="J116" s="9">
        <v>46325</v>
      </c>
      <c r="K116" s="16"/>
      <c r="L116" s="8" t="s">
        <v>56</v>
      </c>
      <c r="M116" s="8" t="s">
        <v>56</v>
      </c>
      <c r="N116" s="10">
        <f ca="1">Tabela3[[#This Row],[Prazo
Entrega]]-TODAY()</f>
        <v>95</v>
      </c>
      <c r="O116" s="8" t="str">
        <f t="shared" ca="1" si="3"/>
        <v>NO PRAZO</v>
      </c>
      <c r="P116" s="8" t="s">
        <v>32</v>
      </c>
      <c r="Q116" s="96" t="s">
        <v>495</v>
      </c>
      <c r="R116" s="96" t="s">
        <v>496</v>
      </c>
      <c r="S116" s="96" t="s">
        <v>231</v>
      </c>
      <c r="T116" s="96" t="s">
        <v>374</v>
      </c>
      <c r="U116" s="96"/>
      <c r="V116" s="8" t="s">
        <v>202</v>
      </c>
      <c r="W116" s="8"/>
    </row>
    <row r="117" spans="1:23" hidden="1" x14ac:dyDescent="0.25">
      <c r="A117" s="8">
        <v>2333</v>
      </c>
      <c r="B117" s="8">
        <v>40</v>
      </c>
      <c r="C117" s="13">
        <v>1484009</v>
      </c>
      <c r="D117" s="13">
        <v>133</v>
      </c>
      <c r="E117" s="8" t="s">
        <v>127</v>
      </c>
      <c r="F117" s="8" t="s">
        <v>144</v>
      </c>
      <c r="G117" s="8">
        <v>1</v>
      </c>
      <c r="H117" s="9">
        <v>46269</v>
      </c>
      <c r="I117" s="9">
        <v>46227</v>
      </c>
      <c r="J117" s="9">
        <v>46325</v>
      </c>
      <c r="K117" s="16"/>
      <c r="L117" s="8" t="s">
        <v>56</v>
      </c>
      <c r="M117" s="8" t="s">
        <v>56</v>
      </c>
      <c r="N117" s="10">
        <f ca="1">Tabela3[[#This Row],[Prazo
Entrega]]-TODAY()</f>
        <v>95</v>
      </c>
      <c r="O117" s="8" t="str">
        <f t="shared" ca="1" si="3"/>
        <v>NO PRAZO</v>
      </c>
      <c r="P117" s="8" t="s">
        <v>32</v>
      </c>
      <c r="Q117" s="96" t="s">
        <v>495</v>
      </c>
      <c r="R117" s="96" t="s">
        <v>496</v>
      </c>
      <c r="S117" s="96" t="s">
        <v>231</v>
      </c>
      <c r="T117" s="96" t="s">
        <v>374</v>
      </c>
      <c r="U117" s="96"/>
      <c r="V117" s="8" t="s">
        <v>202</v>
      </c>
      <c r="W117" s="8"/>
    </row>
    <row r="118" spans="1:23" hidden="1" x14ac:dyDescent="0.25">
      <c r="A118" s="8">
        <v>2333</v>
      </c>
      <c r="B118" s="8">
        <v>41</v>
      </c>
      <c r="C118" s="13">
        <v>1484009</v>
      </c>
      <c r="D118" s="13">
        <v>134</v>
      </c>
      <c r="E118" s="8" t="s">
        <v>127</v>
      </c>
      <c r="F118" s="8" t="s">
        <v>144</v>
      </c>
      <c r="G118" s="8">
        <v>1</v>
      </c>
      <c r="H118" s="9">
        <v>46269</v>
      </c>
      <c r="I118" s="8"/>
      <c r="J118" s="9">
        <v>46325</v>
      </c>
      <c r="K118" s="16"/>
      <c r="L118" s="8" t="s">
        <v>56</v>
      </c>
      <c r="M118" s="8" t="s">
        <v>56</v>
      </c>
      <c r="N118" s="10">
        <f ca="1">Tabela3[[#This Row],[Prazo
Entrega]]-TODAY()</f>
        <v>95</v>
      </c>
      <c r="O118" s="8" t="str">
        <f t="shared" ca="1" si="3"/>
        <v>NO PRAZO</v>
      </c>
      <c r="P118" s="8" t="s">
        <v>32</v>
      </c>
      <c r="Q118" s="96" t="s">
        <v>495</v>
      </c>
      <c r="R118" s="96" t="s">
        <v>496</v>
      </c>
      <c r="S118" s="96" t="s">
        <v>231</v>
      </c>
      <c r="T118" s="96" t="s">
        <v>374</v>
      </c>
      <c r="U118" s="96"/>
      <c r="V118" s="8" t="s">
        <v>48</v>
      </c>
      <c r="W118" s="8"/>
    </row>
    <row r="119" spans="1:23" hidden="1" x14ac:dyDescent="0.25">
      <c r="A119" s="8">
        <v>2333</v>
      </c>
      <c r="B119" s="8">
        <v>42</v>
      </c>
      <c r="C119" s="13">
        <v>1484009</v>
      </c>
      <c r="D119" s="13">
        <v>135</v>
      </c>
      <c r="E119" s="8" t="s">
        <v>127</v>
      </c>
      <c r="F119" s="8" t="s">
        <v>144</v>
      </c>
      <c r="G119" s="8">
        <v>1</v>
      </c>
      <c r="H119" s="9">
        <v>46269</v>
      </c>
      <c r="I119" s="8"/>
      <c r="J119" s="9">
        <v>46325</v>
      </c>
      <c r="K119" s="16"/>
      <c r="L119" s="8" t="s">
        <v>56</v>
      </c>
      <c r="M119" s="8" t="s">
        <v>56</v>
      </c>
      <c r="N119" s="10">
        <f ca="1">Tabela3[[#This Row],[Prazo
Entrega]]-TODAY()</f>
        <v>95</v>
      </c>
      <c r="O119" s="8" t="str">
        <f t="shared" ca="1" si="3"/>
        <v>NO PRAZO</v>
      </c>
      <c r="P119" s="8" t="s">
        <v>32</v>
      </c>
      <c r="Q119" s="96" t="s">
        <v>495</v>
      </c>
      <c r="R119" s="96" t="s">
        <v>496</v>
      </c>
      <c r="S119" s="96" t="s">
        <v>231</v>
      </c>
      <c r="T119" s="96" t="s">
        <v>374</v>
      </c>
      <c r="U119" s="96"/>
      <c r="V119" s="8" t="s">
        <v>48</v>
      </c>
      <c r="W119" s="8"/>
    </row>
    <row r="120" spans="1:23" hidden="1" x14ac:dyDescent="0.25">
      <c r="A120" s="8">
        <v>2333</v>
      </c>
      <c r="B120" s="8">
        <v>43</v>
      </c>
      <c r="C120" s="13">
        <v>1484009</v>
      </c>
      <c r="D120" s="13">
        <v>136</v>
      </c>
      <c r="E120" s="8" t="s">
        <v>127</v>
      </c>
      <c r="F120" s="8" t="s">
        <v>144</v>
      </c>
      <c r="G120" s="8">
        <v>1</v>
      </c>
      <c r="H120" s="9">
        <v>46269</v>
      </c>
      <c r="I120" s="8"/>
      <c r="J120" s="9">
        <v>46325</v>
      </c>
      <c r="K120" s="16"/>
      <c r="L120" s="8" t="s">
        <v>56</v>
      </c>
      <c r="M120" s="8" t="s">
        <v>56</v>
      </c>
      <c r="N120" s="10">
        <f ca="1">Tabela3[[#This Row],[Prazo
Entrega]]-TODAY()</f>
        <v>95</v>
      </c>
      <c r="O120" s="8" t="str">
        <f t="shared" ca="1" si="3"/>
        <v>NO PRAZO</v>
      </c>
      <c r="P120" s="8" t="s">
        <v>32</v>
      </c>
      <c r="Q120" s="96" t="s">
        <v>495</v>
      </c>
      <c r="R120" s="96" t="s">
        <v>496</v>
      </c>
      <c r="S120" s="96" t="s">
        <v>231</v>
      </c>
      <c r="T120" s="96" t="s">
        <v>374</v>
      </c>
      <c r="U120" s="96"/>
      <c r="V120" s="8" t="s">
        <v>48</v>
      </c>
      <c r="W120" s="8"/>
    </row>
    <row r="121" spans="1:23" hidden="1" x14ac:dyDescent="0.25">
      <c r="A121" s="8">
        <v>2333</v>
      </c>
      <c r="B121" s="8">
        <v>44</v>
      </c>
      <c r="C121" s="13">
        <v>1484009</v>
      </c>
      <c r="D121" s="13">
        <v>137</v>
      </c>
      <c r="E121" s="8" t="s">
        <v>127</v>
      </c>
      <c r="F121" s="8" t="s">
        <v>144</v>
      </c>
      <c r="G121" s="8">
        <v>1</v>
      </c>
      <c r="H121" s="9">
        <v>46269</v>
      </c>
      <c r="I121" s="8"/>
      <c r="J121" s="9">
        <v>46325</v>
      </c>
      <c r="K121" s="16"/>
      <c r="L121" s="8" t="s">
        <v>56</v>
      </c>
      <c r="M121" s="8" t="s">
        <v>56</v>
      </c>
      <c r="N121" s="10">
        <f ca="1">Tabela3[[#This Row],[Prazo
Entrega]]-TODAY()</f>
        <v>95</v>
      </c>
      <c r="O121" s="8" t="str">
        <f t="shared" ca="1" si="3"/>
        <v>NO PRAZO</v>
      </c>
      <c r="P121" s="8" t="s">
        <v>32</v>
      </c>
      <c r="Q121" s="96" t="s">
        <v>495</v>
      </c>
      <c r="R121" s="96" t="s">
        <v>496</v>
      </c>
      <c r="S121" s="96" t="s">
        <v>231</v>
      </c>
      <c r="T121" s="96" t="s">
        <v>374</v>
      </c>
      <c r="U121" s="96"/>
      <c r="V121" s="8" t="s">
        <v>48</v>
      </c>
      <c r="W121" s="8"/>
    </row>
    <row r="122" spans="1:23" hidden="1" x14ac:dyDescent="0.25">
      <c r="A122" s="8">
        <v>2333</v>
      </c>
      <c r="B122" s="8">
        <v>45</v>
      </c>
      <c r="C122" s="13">
        <v>1484009</v>
      </c>
      <c r="D122" s="13">
        <v>138</v>
      </c>
      <c r="E122" s="8" t="s">
        <v>127</v>
      </c>
      <c r="F122" s="8" t="s">
        <v>144</v>
      </c>
      <c r="G122" s="8">
        <v>1</v>
      </c>
      <c r="H122" s="9">
        <v>46269</v>
      </c>
      <c r="I122" s="9">
        <v>46227</v>
      </c>
      <c r="J122" s="9">
        <v>46325</v>
      </c>
      <c r="K122" s="16"/>
      <c r="L122" s="8" t="s">
        <v>56</v>
      </c>
      <c r="M122" s="8" t="s">
        <v>56</v>
      </c>
      <c r="N122" s="10">
        <f ca="1">Tabela3[[#This Row],[Prazo
Entrega]]-TODAY()</f>
        <v>95</v>
      </c>
      <c r="O122" s="8" t="str">
        <f t="shared" ca="1" si="3"/>
        <v>NO PRAZO</v>
      </c>
      <c r="P122" s="8" t="s">
        <v>32</v>
      </c>
      <c r="Q122" s="96" t="s">
        <v>495</v>
      </c>
      <c r="R122" s="96" t="s">
        <v>496</v>
      </c>
      <c r="S122" s="96" t="s">
        <v>231</v>
      </c>
      <c r="T122" s="96" t="s">
        <v>374</v>
      </c>
      <c r="U122" s="96"/>
      <c r="V122" s="8" t="s">
        <v>202</v>
      </c>
      <c r="W122" s="8"/>
    </row>
    <row r="123" spans="1:23" hidden="1" x14ac:dyDescent="0.25">
      <c r="A123" s="8">
        <v>2333</v>
      </c>
      <c r="B123" s="8">
        <v>46</v>
      </c>
      <c r="C123" s="13">
        <v>1484009</v>
      </c>
      <c r="D123" s="13">
        <v>139</v>
      </c>
      <c r="E123" s="8" t="s">
        <v>127</v>
      </c>
      <c r="F123" s="8" t="s">
        <v>144</v>
      </c>
      <c r="G123" s="8">
        <v>1</v>
      </c>
      <c r="H123" s="9">
        <v>46269</v>
      </c>
      <c r="I123" s="9">
        <v>46227</v>
      </c>
      <c r="J123" s="9">
        <v>46325</v>
      </c>
      <c r="K123" s="16"/>
      <c r="L123" s="8" t="s">
        <v>56</v>
      </c>
      <c r="M123" s="8" t="s">
        <v>56</v>
      </c>
      <c r="N123" s="10">
        <f ca="1">Tabela3[[#This Row],[Prazo
Entrega]]-TODAY()</f>
        <v>95</v>
      </c>
      <c r="O123" s="8" t="str">
        <f t="shared" ca="1" si="3"/>
        <v>NO PRAZO</v>
      </c>
      <c r="P123" s="8" t="s">
        <v>32</v>
      </c>
      <c r="Q123" s="96" t="s">
        <v>495</v>
      </c>
      <c r="R123" s="96" t="s">
        <v>496</v>
      </c>
      <c r="S123" s="96" t="s">
        <v>231</v>
      </c>
      <c r="T123" s="96" t="s">
        <v>374</v>
      </c>
      <c r="U123" s="96"/>
      <c r="V123" s="8" t="s">
        <v>202</v>
      </c>
      <c r="W123" s="8"/>
    </row>
    <row r="124" spans="1:23" hidden="1" x14ac:dyDescent="0.25">
      <c r="A124" s="8">
        <v>2333</v>
      </c>
      <c r="B124" s="8">
        <v>47</v>
      </c>
      <c r="C124" s="13">
        <v>1484009</v>
      </c>
      <c r="D124" s="13">
        <v>140</v>
      </c>
      <c r="E124" s="8" t="s">
        <v>127</v>
      </c>
      <c r="F124" s="8" t="s">
        <v>145</v>
      </c>
      <c r="G124" s="8">
        <v>1</v>
      </c>
      <c r="H124" s="9">
        <v>46269</v>
      </c>
      <c r="I124" s="9">
        <v>46227</v>
      </c>
      <c r="J124" s="9">
        <v>46325</v>
      </c>
      <c r="K124" s="16"/>
      <c r="L124" s="8" t="s">
        <v>56</v>
      </c>
      <c r="M124" s="8" t="s">
        <v>56</v>
      </c>
      <c r="N124" s="10">
        <f ca="1">Tabela3[[#This Row],[Prazo
Entrega]]-TODAY()</f>
        <v>95</v>
      </c>
      <c r="O124" s="8" t="str">
        <f t="shared" ca="1" si="3"/>
        <v>NO PRAZO</v>
      </c>
      <c r="P124" s="8" t="s">
        <v>32</v>
      </c>
      <c r="Q124" s="96" t="s">
        <v>495</v>
      </c>
      <c r="R124" s="96" t="s">
        <v>496</v>
      </c>
      <c r="S124" s="96" t="s">
        <v>231</v>
      </c>
      <c r="T124" s="96" t="s">
        <v>374</v>
      </c>
      <c r="U124" s="96"/>
      <c r="V124" s="8" t="s">
        <v>202</v>
      </c>
      <c r="W124" s="8"/>
    </row>
    <row r="125" spans="1:23" hidden="1" x14ac:dyDescent="0.25">
      <c r="A125" s="8">
        <v>2333</v>
      </c>
      <c r="B125" s="8">
        <v>48</v>
      </c>
      <c r="C125" s="13">
        <v>1484009</v>
      </c>
      <c r="D125" s="13">
        <v>141</v>
      </c>
      <c r="E125" s="8" t="s">
        <v>127</v>
      </c>
      <c r="F125" s="8" t="s">
        <v>145</v>
      </c>
      <c r="G125" s="8">
        <v>1</v>
      </c>
      <c r="H125" s="9">
        <v>46269</v>
      </c>
      <c r="I125" s="8"/>
      <c r="J125" s="9">
        <v>46325</v>
      </c>
      <c r="K125" s="16"/>
      <c r="L125" s="8" t="s">
        <v>56</v>
      </c>
      <c r="M125" s="8" t="s">
        <v>56</v>
      </c>
      <c r="N125" s="10">
        <f ca="1">Tabela3[[#This Row],[Prazo
Entrega]]-TODAY()</f>
        <v>95</v>
      </c>
      <c r="O125" s="8" t="str">
        <f t="shared" ca="1" si="3"/>
        <v>NO PRAZO</v>
      </c>
      <c r="P125" s="8" t="s">
        <v>32</v>
      </c>
      <c r="Q125" s="96" t="s">
        <v>495</v>
      </c>
      <c r="R125" s="96" t="s">
        <v>496</v>
      </c>
      <c r="S125" s="96" t="s">
        <v>231</v>
      </c>
      <c r="T125" s="96" t="s">
        <v>374</v>
      </c>
      <c r="U125" s="96"/>
      <c r="V125" s="8" t="s">
        <v>48</v>
      </c>
      <c r="W125" s="8"/>
    </row>
    <row r="126" spans="1:23" hidden="1" x14ac:dyDescent="0.25">
      <c r="A126" s="8">
        <v>2333</v>
      </c>
      <c r="B126" s="8">
        <v>49</v>
      </c>
      <c r="C126" s="13">
        <v>1484009</v>
      </c>
      <c r="D126" s="13">
        <v>142</v>
      </c>
      <c r="E126" s="8" t="s">
        <v>127</v>
      </c>
      <c r="F126" s="8" t="s">
        <v>145</v>
      </c>
      <c r="G126" s="8">
        <v>1</v>
      </c>
      <c r="H126" s="9">
        <v>46269</v>
      </c>
      <c r="I126" s="9">
        <v>46227</v>
      </c>
      <c r="J126" s="9">
        <v>46325</v>
      </c>
      <c r="K126" s="16"/>
      <c r="L126" s="8" t="s">
        <v>56</v>
      </c>
      <c r="M126" s="8" t="s">
        <v>56</v>
      </c>
      <c r="N126" s="10">
        <f ca="1">Tabela3[[#This Row],[Prazo
Entrega]]-TODAY()</f>
        <v>95</v>
      </c>
      <c r="O126" s="8" t="str">
        <f t="shared" ca="1" si="3"/>
        <v>NO PRAZO</v>
      </c>
      <c r="P126" s="8" t="s">
        <v>32</v>
      </c>
      <c r="Q126" s="96" t="s">
        <v>495</v>
      </c>
      <c r="R126" s="96" t="s">
        <v>496</v>
      </c>
      <c r="S126" s="96" t="s">
        <v>231</v>
      </c>
      <c r="T126" s="96" t="s">
        <v>374</v>
      </c>
      <c r="U126" s="96"/>
      <c r="V126" s="8" t="s">
        <v>202</v>
      </c>
      <c r="W126" s="8"/>
    </row>
    <row r="127" spans="1:23" hidden="1" x14ac:dyDescent="0.25">
      <c r="A127" s="8">
        <v>2333</v>
      </c>
      <c r="B127" s="8">
        <v>50</v>
      </c>
      <c r="C127" s="13">
        <v>1484009</v>
      </c>
      <c r="D127" s="13">
        <v>143</v>
      </c>
      <c r="E127" s="8" t="s">
        <v>127</v>
      </c>
      <c r="F127" s="8" t="s">
        <v>145</v>
      </c>
      <c r="G127" s="8">
        <v>1</v>
      </c>
      <c r="H127" s="9">
        <v>46269</v>
      </c>
      <c r="I127" s="9">
        <v>46227</v>
      </c>
      <c r="J127" s="9">
        <v>46325</v>
      </c>
      <c r="K127" s="16"/>
      <c r="L127" s="8" t="s">
        <v>56</v>
      </c>
      <c r="M127" s="8" t="s">
        <v>56</v>
      </c>
      <c r="N127" s="10">
        <f ca="1">Tabela3[[#This Row],[Prazo
Entrega]]-TODAY()</f>
        <v>95</v>
      </c>
      <c r="O127" s="8" t="str">
        <f t="shared" ca="1" si="3"/>
        <v>NO PRAZO</v>
      </c>
      <c r="P127" s="8" t="s">
        <v>32</v>
      </c>
      <c r="Q127" s="96" t="s">
        <v>495</v>
      </c>
      <c r="R127" s="96" t="s">
        <v>496</v>
      </c>
      <c r="S127" s="96" t="s">
        <v>231</v>
      </c>
      <c r="T127" s="96" t="s">
        <v>374</v>
      </c>
      <c r="U127" s="96"/>
      <c r="V127" s="8" t="s">
        <v>202</v>
      </c>
      <c r="W127" s="8"/>
    </row>
    <row r="128" spans="1:23" hidden="1" x14ac:dyDescent="0.25">
      <c r="A128" s="8">
        <v>2333</v>
      </c>
      <c r="B128" s="8">
        <v>51</v>
      </c>
      <c r="C128" s="13">
        <v>1484009</v>
      </c>
      <c r="D128" s="13">
        <v>144</v>
      </c>
      <c r="E128" s="8" t="s">
        <v>127</v>
      </c>
      <c r="F128" s="8" t="s">
        <v>145</v>
      </c>
      <c r="G128" s="8">
        <v>1</v>
      </c>
      <c r="H128" s="9">
        <v>46269</v>
      </c>
      <c r="I128" s="8"/>
      <c r="J128" s="9">
        <v>46325</v>
      </c>
      <c r="K128" s="16"/>
      <c r="L128" s="8" t="s">
        <v>56</v>
      </c>
      <c r="M128" s="8" t="s">
        <v>56</v>
      </c>
      <c r="N128" s="10">
        <f ca="1">Tabela3[[#This Row],[Prazo
Entrega]]-TODAY()</f>
        <v>95</v>
      </c>
      <c r="O128" s="8" t="str">
        <f t="shared" ca="1" si="3"/>
        <v>NO PRAZO</v>
      </c>
      <c r="P128" s="8" t="s">
        <v>32</v>
      </c>
      <c r="Q128" s="96" t="s">
        <v>495</v>
      </c>
      <c r="R128" s="96" t="s">
        <v>496</v>
      </c>
      <c r="S128" s="96" t="s">
        <v>231</v>
      </c>
      <c r="T128" s="96" t="s">
        <v>374</v>
      </c>
      <c r="U128" s="96"/>
      <c r="V128" s="8" t="s">
        <v>48</v>
      </c>
      <c r="W128" s="8"/>
    </row>
    <row r="129" spans="1:23" hidden="1" x14ac:dyDescent="0.25">
      <c r="A129" s="8">
        <v>2333</v>
      </c>
      <c r="B129" s="8">
        <v>52</v>
      </c>
      <c r="C129" s="13">
        <v>1484009</v>
      </c>
      <c r="D129" s="13">
        <v>145</v>
      </c>
      <c r="E129" s="8" t="s">
        <v>127</v>
      </c>
      <c r="F129" s="8" t="s">
        <v>145</v>
      </c>
      <c r="G129" s="8">
        <v>1</v>
      </c>
      <c r="H129" s="9">
        <v>46269</v>
      </c>
      <c r="I129" s="8"/>
      <c r="J129" s="9">
        <v>46325</v>
      </c>
      <c r="K129" s="16"/>
      <c r="L129" s="8" t="s">
        <v>56</v>
      </c>
      <c r="M129" s="8" t="s">
        <v>56</v>
      </c>
      <c r="N129" s="10">
        <f ca="1">Tabela3[[#This Row],[Prazo
Entrega]]-TODAY()</f>
        <v>95</v>
      </c>
      <c r="O129" s="8" t="str">
        <f t="shared" ca="1" si="3"/>
        <v>NO PRAZO</v>
      </c>
      <c r="P129" s="8" t="s">
        <v>32</v>
      </c>
      <c r="Q129" s="96" t="s">
        <v>495</v>
      </c>
      <c r="R129" s="96" t="s">
        <v>496</v>
      </c>
      <c r="S129" s="96" t="s">
        <v>231</v>
      </c>
      <c r="T129" s="96" t="s">
        <v>374</v>
      </c>
      <c r="U129" s="96"/>
      <c r="V129" s="8" t="s">
        <v>48</v>
      </c>
      <c r="W129" s="8"/>
    </row>
    <row r="130" spans="1:23" hidden="1" x14ac:dyDescent="0.25">
      <c r="A130" s="8">
        <v>2333</v>
      </c>
      <c r="B130" s="8">
        <v>53</v>
      </c>
      <c r="C130" s="13">
        <v>1484009</v>
      </c>
      <c r="D130" s="13">
        <v>146</v>
      </c>
      <c r="E130" s="8" t="s">
        <v>127</v>
      </c>
      <c r="F130" s="8" t="s">
        <v>145</v>
      </c>
      <c r="G130" s="8">
        <v>1</v>
      </c>
      <c r="H130" s="9">
        <v>46269</v>
      </c>
      <c r="I130" s="9">
        <v>46227</v>
      </c>
      <c r="J130" s="9">
        <v>46325</v>
      </c>
      <c r="K130" s="16"/>
      <c r="L130" s="8" t="s">
        <v>56</v>
      </c>
      <c r="M130" s="8" t="s">
        <v>56</v>
      </c>
      <c r="N130" s="10">
        <f ca="1">Tabela3[[#This Row],[Prazo
Entrega]]-TODAY()</f>
        <v>95</v>
      </c>
      <c r="O130" s="8" t="str">
        <f t="shared" ca="1" si="3"/>
        <v>NO PRAZO</v>
      </c>
      <c r="P130" s="8" t="s">
        <v>32</v>
      </c>
      <c r="Q130" s="96" t="s">
        <v>495</v>
      </c>
      <c r="R130" s="96" t="s">
        <v>496</v>
      </c>
      <c r="S130" s="96" t="s">
        <v>231</v>
      </c>
      <c r="T130" s="96" t="s">
        <v>374</v>
      </c>
      <c r="U130" s="96"/>
      <c r="V130" s="8" t="s">
        <v>202</v>
      </c>
      <c r="W130" s="8"/>
    </row>
    <row r="131" spans="1:23" hidden="1" x14ac:dyDescent="0.25">
      <c r="A131" s="8">
        <v>2333</v>
      </c>
      <c r="B131" s="8">
        <v>54</v>
      </c>
      <c r="C131" s="13">
        <v>1484009</v>
      </c>
      <c r="D131" s="13">
        <v>147</v>
      </c>
      <c r="E131" s="8" t="s">
        <v>127</v>
      </c>
      <c r="F131" s="8" t="s">
        <v>145</v>
      </c>
      <c r="G131" s="8">
        <v>1</v>
      </c>
      <c r="H131" s="9">
        <v>46269</v>
      </c>
      <c r="I131" s="9">
        <v>46227</v>
      </c>
      <c r="J131" s="9">
        <v>46325</v>
      </c>
      <c r="K131" s="16"/>
      <c r="L131" s="8" t="s">
        <v>56</v>
      </c>
      <c r="M131" s="8" t="s">
        <v>56</v>
      </c>
      <c r="N131" s="10">
        <f ca="1">Tabela3[[#This Row],[Prazo
Entrega]]-TODAY()</f>
        <v>95</v>
      </c>
      <c r="O131" s="8" t="str">
        <f t="shared" ca="1" si="3"/>
        <v>NO PRAZO</v>
      </c>
      <c r="P131" s="8" t="s">
        <v>32</v>
      </c>
      <c r="Q131" s="96" t="s">
        <v>495</v>
      </c>
      <c r="R131" s="96" t="s">
        <v>496</v>
      </c>
      <c r="S131" s="96" t="s">
        <v>231</v>
      </c>
      <c r="T131" s="96" t="s">
        <v>374</v>
      </c>
      <c r="U131" s="96"/>
      <c r="V131" s="8" t="s">
        <v>202</v>
      </c>
      <c r="W131" s="8"/>
    </row>
    <row r="132" spans="1:23" hidden="1" x14ac:dyDescent="0.25">
      <c r="A132" s="8">
        <v>2335</v>
      </c>
      <c r="B132" s="8">
        <v>1</v>
      </c>
      <c r="C132" s="8">
        <v>190014</v>
      </c>
      <c r="D132" s="8">
        <v>3</v>
      </c>
      <c r="E132" s="8" t="s">
        <v>78</v>
      </c>
      <c r="F132" s="8" t="s">
        <v>306</v>
      </c>
      <c r="G132" s="8">
        <v>1</v>
      </c>
      <c r="H132" s="9">
        <v>46219</v>
      </c>
      <c r="I132" s="9">
        <v>46205</v>
      </c>
      <c r="J132" s="9">
        <v>46220</v>
      </c>
      <c r="K132" s="16">
        <v>46220</v>
      </c>
      <c r="L132" s="9" t="s">
        <v>56</v>
      </c>
      <c r="M132" s="8" t="s">
        <v>56</v>
      </c>
      <c r="N132" s="10">
        <f ca="1">Tabela3[[#This Row],[Prazo
Entrega]]-TODAY()</f>
        <v>-10</v>
      </c>
      <c r="O132" s="8" t="s">
        <v>56</v>
      </c>
      <c r="P132" s="8" t="s">
        <v>32</v>
      </c>
      <c r="Q132" s="93" t="s">
        <v>495</v>
      </c>
      <c r="R132" s="93" t="s">
        <v>496</v>
      </c>
      <c r="S132" s="93" t="s">
        <v>231</v>
      </c>
      <c r="T132" s="93" t="s">
        <v>374</v>
      </c>
      <c r="U132" s="96"/>
      <c r="V132" s="8" t="s">
        <v>305</v>
      </c>
      <c r="W132" s="8"/>
    </row>
    <row r="133" spans="1:23" hidden="1" x14ac:dyDescent="0.25">
      <c r="A133" s="8">
        <v>2335</v>
      </c>
      <c r="B133" s="8">
        <v>2</v>
      </c>
      <c r="C133" s="8">
        <v>190014</v>
      </c>
      <c r="D133" s="8">
        <v>4</v>
      </c>
      <c r="E133" s="8" t="s">
        <v>78</v>
      </c>
      <c r="F133" s="8" t="s">
        <v>306</v>
      </c>
      <c r="G133" s="8">
        <v>1</v>
      </c>
      <c r="H133" s="9">
        <v>46219</v>
      </c>
      <c r="I133" s="9">
        <v>46205</v>
      </c>
      <c r="J133" s="9">
        <v>46220</v>
      </c>
      <c r="K133" s="16">
        <v>46220</v>
      </c>
      <c r="L133" s="9" t="s">
        <v>56</v>
      </c>
      <c r="M133" s="8" t="s">
        <v>56</v>
      </c>
      <c r="N133" s="10">
        <f ca="1">Tabela3[[#This Row],[Prazo
Entrega]]-TODAY()</f>
        <v>-10</v>
      </c>
      <c r="O133" s="8" t="s">
        <v>56</v>
      </c>
      <c r="P133" s="8" t="s">
        <v>32</v>
      </c>
      <c r="Q133" s="93" t="s">
        <v>495</v>
      </c>
      <c r="R133" s="93" t="s">
        <v>496</v>
      </c>
      <c r="S133" s="93" t="s">
        <v>231</v>
      </c>
      <c r="T133" s="93" t="s">
        <v>374</v>
      </c>
      <c r="U133" s="96"/>
      <c r="V133" s="8" t="s">
        <v>305</v>
      </c>
      <c r="W133" s="8"/>
    </row>
    <row r="134" spans="1:23" hidden="1" x14ac:dyDescent="0.25">
      <c r="A134" s="8">
        <v>2335</v>
      </c>
      <c r="B134" s="8">
        <v>3</v>
      </c>
      <c r="C134" s="8">
        <v>190014</v>
      </c>
      <c r="D134" s="8">
        <v>8</v>
      </c>
      <c r="E134" s="8" t="s">
        <v>78</v>
      </c>
      <c r="F134" s="8" t="s">
        <v>306</v>
      </c>
      <c r="G134" s="8">
        <v>1</v>
      </c>
      <c r="H134" s="9">
        <v>46219</v>
      </c>
      <c r="I134" s="9">
        <v>46205</v>
      </c>
      <c r="J134" s="9">
        <v>46220</v>
      </c>
      <c r="K134" s="16">
        <v>46220</v>
      </c>
      <c r="L134" s="9" t="s">
        <v>56</v>
      </c>
      <c r="M134" s="8" t="s">
        <v>56</v>
      </c>
      <c r="N134" s="10">
        <f ca="1">Tabela3[[#This Row],[Prazo
Entrega]]-TODAY()</f>
        <v>-10</v>
      </c>
      <c r="O134" s="8" t="s">
        <v>56</v>
      </c>
      <c r="P134" s="8" t="s">
        <v>32</v>
      </c>
      <c r="Q134" s="93" t="s">
        <v>495</v>
      </c>
      <c r="R134" s="93" t="s">
        <v>496</v>
      </c>
      <c r="S134" s="93" t="s">
        <v>231</v>
      </c>
      <c r="T134" s="93" t="s">
        <v>374</v>
      </c>
      <c r="U134" s="96"/>
      <c r="V134" s="8" t="s">
        <v>305</v>
      </c>
      <c r="W134" s="8"/>
    </row>
    <row r="135" spans="1:23" hidden="1" x14ac:dyDescent="0.25">
      <c r="A135" s="8">
        <v>2335</v>
      </c>
      <c r="B135" s="8">
        <v>4</v>
      </c>
      <c r="C135" s="8">
        <v>190014</v>
      </c>
      <c r="D135" s="8">
        <v>9</v>
      </c>
      <c r="E135" s="8" t="s">
        <v>78</v>
      </c>
      <c r="F135" s="8" t="s">
        <v>307</v>
      </c>
      <c r="G135" s="8">
        <v>1</v>
      </c>
      <c r="H135" s="9">
        <v>46219</v>
      </c>
      <c r="I135" s="9">
        <v>46205</v>
      </c>
      <c r="J135" s="9">
        <v>46220</v>
      </c>
      <c r="K135" s="16">
        <v>46220</v>
      </c>
      <c r="L135" s="9" t="s">
        <v>56</v>
      </c>
      <c r="M135" s="8" t="s">
        <v>56</v>
      </c>
      <c r="N135" s="10">
        <f ca="1">Tabela3[[#This Row],[Prazo
Entrega]]-TODAY()</f>
        <v>-10</v>
      </c>
      <c r="O135" s="8" t="s">
        <v>56</v>
      </c>
      <c r="P135" s="8" t="s">
        <v>32</v>
      </c>
      <c r="Q135" s="93" t="s">
        <v>495</v>
      </c>
      <c r="R135" s="93" t="s">
        <v>496</v>
      </c>
      <c r="S135" s="93" t="s">
        <v>231</v>
      </c>
      <c r="T135" s="93" t="s">
        <v>374</v>
      </c>
      <c r="U135" s="96"/>
      <c r="V135" s="8" t="s">
        <v>305</v>
      </c>
      <c r="W135" s="8"/>
    </row>
    <row r="136" spans="1:23" hidden="1" x14ac:dyDescent="0.25">
      <c r="A136" s="8">
        <v>2335</v>
      </c>
      <c r="B136" s="8">
        <v>5</v>
      </c>
      <c r="C136" s="8">
        <v>190014</v>
      </c>
      <c r="D136" s="8">
        <v>13</v>
      </c>
      <c r="E136" s="8" t="s">
        <v>78</v>
      </c>
      <c r="F136" s="8" t="s">
        <v>307</v>
      </c>
      <c r="G136" s="8">
        <v>1</v>
      </c>
      <c r="H136" s="9">
        <v>46219</v>
      </c>
      <c r="I136" s="9">
        <v>46205</v>
      </c>
      <c r="J136" s="9">
        <v>46220</v>
      </c>
      <c r="K136" s="16">
        <v>46220</v>
      </c>
      <c r="L136" s="9" t="s">
        <v>56</v>
      </c>
      <c r="M136" s="8" t="s">
        <v>56</v>
      </c>
      <c r="N136" s="10">
        <f ca="1">Tabela3[[#This Row],[Prazo
Entrega]]-TODAY()</f>
        <v>-10</v>
      </c>
      <c r="O136" s="8" t="s">
        <v>56</v>
      </c>
      <c r="P136" s="8" t="s">
        <v>32</v>
      </c>
      <c r="Q136" s="93" t="s">
        <v>495</v>
      </c>
      <c r="R136" s="93" t="s">
        <v>496</v>
      </c>
      <c r="S136" s="93" t="s">
        <v>231</v>
      </c>
      <c r="T136" s="93" t="s">
        <v>374</v>
      </c>
      <c r="U136" s="96"/>
      <c r="V136" s="8" t="s">
        <v>305</v>
      </c>
      <c r="W136" s="8"/>
    </row>
    <row r="137" spans="1:23" hidden="1" x14ac:dyDescent="0.25">
      <c r="A137" s="8">
        <v>2335</v>
      </c>
      <c r="B137" s="8">
        <v>6</v>
      </c>
      <c r="C137" s="8">
        <v>1127018</v>
      </c>
      <c r="D137" s="8">
        <v>13</v>
      </c>
      <c r="E137" s="8" t="s">
        <v>78</v>
      </c>
      <c r="F137" s="8" t="s">
        <v>218</v>
      </c>
      <c r="G137" s="8">
        <v>1</v>
      </c>
      <c r="H137" s="9">
        <v>46219</v>
      </c>
      <c r="I137" s="9">
        <v>46227</v>
      </c>
      <c r="J137" s="9">
        <v>46233</v>
      </c>
      <c r="K137" s="16"/>
      <c r="L137" s="9" t="s">
        <v>56</v>
      </c>
      <c r="M137" s="8" t="s">
        <v>56</v>
      </c>
      <c r="N137" s="10">
        <f ca="1">Tabela3[[#This Row],[Prazo
Entrega]]-TODAY()</f>
        <v>3</v>
      </c>
      <c r="O137" s="8" t="str">
        <f t="shared" ref="O137:O143" ca="1" si="4">IF(N137&lt;0,"ATRASADO",IF(N137&lt;=15,"ATENÇÃO","NO PRAZO"))</f>
        <v>ATENÇÃO</v>
      </c>
      <c r="P137" s="8" t="s">
        <v>32</v>
      </c>
      <c r="Q137" s="93" t="s">
        <v>495</v>
      </c>
      <c r="R137" s="96" t="s">
        <v>496</v>
      </c>
      <c r="S137" s="96" t="s">
        <v>231</v>
      </c>
      <c r="T137" s="96" t="s">
        <v>374</v>
      </c>
      <c r="U137" s="96"/>
      <c r="V137" s="8" t="s">
        <v>202</v>
      </c>
      <c r="W137" s="8" t="s">
        <v>601</v>
      </c>
    </row>
    <row r="138" spans="1:23" hidden="1" x14ac:dyDescent="0.25">
      <c r="A138" s="8">
        <v>2335</v>
      </c>
      <c r="B138" s="8">
        <v>7</v>
      </c>
      <c r="C138" s="8">
        <v>1127018</v>
      </c>
      <c r="D138" s="8">
        <v>2</v>
      </c>
      <c r="E138" s="8" t="s">
        <v>78</v>
      </c>
      <c r="F138" s="8" t="s">
        <v>218</v>
      </c>
      <c r="G138" s="8">
        <v>1</v>
      </c>
      <c r="H138" s="9">
        <v>46219</v>
      </c>
      <c r="I138" s="8"/>
      <c r="J138" s="9">
        <v>46248</v>
      </c>
      <c r="K138" s="16"/>
      <c r="L138" s="9" t="s">
        <v>56</v>
      </c>
      <c r="M138" s="8" t="s">
        <v>56</v>
      </c>
      <c r="N138" s="10">
        <f ca="1">Tabela3[[#This Row],[Prazo
Entrega]]-TODAY()</f>
        <v>18</v>
      </c>
      <c r="O138" s="8" t="str">
        <f t="shared" ca="1" si="4"/>
        <v>NO PRAZO</v>
      </c>
      <c r="P138" s="8" t="s">
        <v>32</v>
      </c>
      <c r="Q138" s="96" t="s">
        <v>495</v>
      </c>
      <c r="R138" s="96" t="s">
        <v>496</v>
      </c>
      <c r="S138" s="96" t="s">
        <v>231</v>
      </c>
      <c r="T138" s="96" t="s">
        <v>374</v>
      </c>
      <c r="U138" s="96"/>
      <c r="V138" s="8" t="s">
        <v>48</v>
      </c>
      <c r="W138" s="8"/>
    </row>
    <row r="139" spans="1:23" hidden="1" x14ac:dyDescent="0.25">
      <c r="A139" s="8">
        <v>2335</v>
      </c>
      <c r="B139" s="8">
        <v>8</v>
      </c>
      <c r="C139" s="8">
        <v>1127018</v>
      </c>
      <c r="D139" s="8">
        <v>3</v>
      </c>
      <c r="E139" s="8" t="s">
        <v>78</v>
      </c>
      <c r="F139" s="8" t="s">
        <v>218</v>
      </c>
      <c r="G139" s="8">
        <v>1</v>
      </c>
      <c r="H139" s="9">
        <v>46219</v>
      </c>
      <c r="I139" s="8"/>
      <c r="J139" s="9">
        <v>46248</v>
      </c>
      <c r="K139" s="16"/>
      <c r="L139" s="9" t="s">
        <v>56</v>
      </c>
      <c r="M139" s="8" t="s">
        <v>56</v>
      </c>
      <c r="N139" s="10">
        <f ca="1">Tabela3[[#This Row],[Prazo
Entrega]]-TODAY()</f>
        <v>18</v>
      </c>
      <c r="O139" s="8" t="str">
        <f t="shared" ca="1" si="4"/>
        <v>NO PRAZO</v>
      </c>
      <c r="P139" s="8" t="s">
        <v>32</v>
      </c>
      <c r="Q139" s="96" t="s">
        <v>495</v>
      </c>
      <c r="R139" s="96" t="s">
        <v>496</v>
      </c>
      <c r="S139" s="96" t="s">
        <v>231</v>
      </c>
      <c r="T139" s="96" t="s">
        <v>374</v>
      </c>
      <c r="U139" s="96"/>
      <c r="V139" s="8" t="s">
        <v>48</v>
      </c>
      <c r="W139" s="8"/>
    </row>
    <row r="140" spans="1:23" hidden="1" x14ac:dyDescent="0.25">
      <c r="A140" s="8">
        <v>2335</v>
      </c>
      <c r="B140" s="8">
        <v>9</v>
      </c>
      <c r="C140" s="8">
        <v>1127018</v>
      </c>
      <c r="D140" s="8">
        <v>12</v>
      </c>
      <c r="E140" s="8" t="s">
        <v>78</v>
      </c>
      <c r="F140" s="8" t="s">
        <v>220</v>
      </c>
      <c r="G140" s="8">
        <v>1</v>
      </c>
      <c r="H140" s="9">
        <v>46219</v>
      </c>
      <c r="I140" s="9">
        <v>46227</v>
      </c>
      <c r="J140" s="9">
        <v>46233</v>
      </c>
      <c r="K140" s="16"/>
      <c r="L140" s="9" t="s">
        <v>56</v>
      </c>
      <c r="M140" s="8" t="s">
        <v>56</v>
      </c>
      <c r="N140" s="10">
        <f ca="1">Tabela3[[#This Row],[Prazo
Entrega]]-TODAY()</f>
        <v>3</v>
      </c>
      <c r="O140" s="8" t="str">
        <f t="shared" ca="1" si="4"/>
        <v>ATENÇÃO</v>
      </c>
      <c r="P140" s="8" t="s">
        <v>32</v>
      </c>
      <c r="Q140" s="93" t="s">
        <v>495</v>
      </c>
      <c r="R140" s="96" t="s">
        <v>496</v>
      </c>
      <c r="S140" s="96" t="s">
        <v>231</v>
      </c>
      <c r="T140" s="96" t="s">
        <v>374</v>
      </c>
      <c r="U140" s="96"/>
      <c r="V140" s="8" t="s">
        <v>202</v>
      </c>
      <c r="W140" s="8" t="s">
        <v>600</v>
      </c>
    </row>
    <row r="141" spans="1:23" hidden="1" x14ac:dyDescent="0.25">
      <c r="A141" s="8">
        <v>2335</v>
      </c>
      <c r="B141" s="8">
        <v>10</v>
      </c>
      <c r="C141" s="8">
        <v>1127018</v>
      </c>
      <c r="D141" s="8">
        <v>5</v>
      </c>
      <c r="E141" s="8" t="s">
        <v>78</v>
      </c>
      <c r="F141" s="8" t="s">
        <v>220</v>
      </c>
      <c r="G141" s="8">
        <v>1</v>
      </c>
      <c r="H141" s="9">
        <v>46219</v>
      </c>
      <c r="I141" s="9">
        <v>46227</v>
      </c>
      <c r="J141" s="9">
        <v>46233</v>
      </c>
      <c r="K141" s="16"/>
      <c r="L141" s="9" t="s">
        <v>56</v>
      </c>
      <c r="M141" s="8" t="s">
        <v>56</v>
      </c>
      <c r="N141" s="10">
        <f ca="1">Tabela3[[#This Row],[Prazo
Entrega]]-TODAY()</f>
        <v>3</v>
      </c>
      <c r="O141" s="8" t="str">
        <f t="shared" ca="1" si="4"/>
        <v>ATENÇÃO</v>
      </c>
      <c r="P141" s="8" t="s">
        <v>32</v>
      </c>
      <c r="Q141" s="93" t="s">
        <v>495</v>
      </c>
      <c r="R141" s="96" t="s">
        <v>496</v>
      </c>
      <c r="S141" s="96" t="s">
        <v>231</v>
      </c>
      <c r="T141" s="96" t="s">
        <v>374</v>
      </c>
      <c r="U141" s="96"/>
      <c r="V141" s="8" t="s">
        <v>202</v>
      </c>
      <c r="W141" s="8" t="s">
        <v>600</v>
      </c>
    </row>
    <row r="142" spans="1:23" hidden="1" x14ac:dyDescent="0.25">
      <c r="A142" s="8">
        <v>2335</v>
      </c>
      <c r="B142" s="8">
        <v>11</v>
      </c>
      <c r="C142" s="8">
        <v>1127018</v>
      </c>
      <c r="D142" s="8">
        <v>6</v>
      </c>
      <c r="E142" s="8" t="s">
        <v>78</v>
      </c>
      <c r="F142" s="8" t="s">
        <v>220</v>
      </c>
      <c r="G142" s="8">
        <v>1</v>
      </c>
      <c r="H142" s="9">
        <v>46219</v>
      </c>
      <c r="I142" s="8"/>
      <c r="J142" s="9">
        <v>46248</v>
      </c>
      <c r="K142" s="16"/>
      <c r="L142" s="9" t="s">
        <v>56</v>
      </c>
      <c r="M142" s="8" t="s">
        <v>56</v>
      </c>
      <c r="N142" s="10">
        <f ca="1">Tabela3[[#This Row],[Prazo
Entrega]]-TODAY()</f>
        <v>18</v>
      </c>
      <c r="O142" s="8" t="str">
        <f t="shared" ca="1" si="4"/>
        <v>NO PRAZO</v>
      </c>
      <c r="P142" s="8" t="s">
        <v>32</v>
      </c>
      <c r="Q142" s="96" t="s">
        <v>495</v>
      </c>
      <c r="R142" s="96" t="s">
        <v>496</v>
      </c>
      <c r="S142" s="96" t="s">
        <v>231</v>
      </c>
      <c r="T142" s="96" t="s">
        <v>374</v>
      </c>
      <c r="U142" s="96"/>
      <c r="V142" s="8" t="s">
        <v>48</v>
      </c>
      <c r="W142" s="8"/>
    </row>
    <row r="143" spans="1:23" hidden="1" x14ac:dyDescent="0.25">
      <c r="A143" s="8">
        <v>2335</v>
      </c>
      <c r="B143" s="8">
        <v>12</v>
      </c>
      <c r="C143" s="8">
        <v>1127018</v>
      </c>
      <c r="D143" s="8">
        <v>7</v>
      </c>
      <c r="E143" s="8" t="s">
        <v>78</v>
      </c>
      <c r="F143" s="8" t="s">
        <v>220</v>
      </c>
      <c r="G143" s="8">
        <v>1</v>
      </c>
      <c r="H143" s="9">
        <v>46219</v>
      </c>
      <c r="I143" s="8"/>
      <c r="J143" s="9">
        <v>46248</v>
      </c>
      <c r="K143" s="16"/>
      <c r="L143" s="9" t="s">
        <v>56</v>
      </c>
      <c r="M143" s="8" t="s">
        <v>56</v>
      </c>
      <c r="N143" s="10">
        <f ca="1">Tabela3[[#This Row],[Prazo
Entrega]]-TODAY()</f>
        <v>18</v>
      </c>
      <c r="O143" s="8" t="str">
        <f t="shared" ca="1" si="4"/>
        <v>NO PRAZO</v>
      </c>
      <c r="P143" s="8" t="s">
        <v>32</v>
      </c>
      <c r="Q143" s="96" t="s">
        <v>495</v>
      </c>
      <c r="R143" s="96" t="s">
        <v>496</v>
      </c>
      <c r="S143" s="96" t="s">
        <v>231</v>
      </c>
      <c r="T143" s="96" t="s">
        <v>374</v>
      </c>
      <c r="U143" s="96"/>
      <c r="V143" s="8" t="s">
        <v>48</v>
      </c>
      <c r="W143" s="8"/>
    </row>
    <row r="144" spans="1:23" hidden="1" x14ac:dyDescent="0.25">
      <c r="A144" s="8">
        <v>2342</v>
      </c>
      <c r="B144" s="8">
        <v>1</v>
      </c>
      <c r="C144" s="8" t="s">
        <v>300</v>
      </c>
      <c r="D144" s="8" t="s">
        <v>63</v>
      </c>
      <c r="E144" s="8" t="s">
        <v>299</v>
      </c>
      <c r="F144" s="8" t="s">
        <v>301</v>
      </c>
      <c r="G144" s="8">
        <v>1</v>
      </c>
      <c r="H144" s="9">
        <v>46203</v>
      </c>
      <c r="I144" s="9">
        <v>46203</v>
      </c>
      <c r="J144" s="9">
        <v>46233</v>
      </c>
      <c r="K144" s="16">
        <v>46217</v>
      </c>
      <c r="L144" s="9" t="s">
        <v>56</v>
      </c>
      <c r="M144" s="10" t="s">
        <v>56</v>
      </c>
      <c r="N144" s="10">
        <f ca="1">Tabela3[[#This Row],[Prazo
Entrega]]-TODAY()</f>
        <v>3</v>
      </c>
      <c r="O144" s="8" t="str">
        <f ca="1">IF(N144&lt;0,"ATRASADO",IF(N144&lt;=15,"ATENÇÃO","NO PRAZO"))</f>
        <v>ATENÇÃO</v>
      </c>
      <c r="P144" s="8" t="s">
        <v>32</v>
      </c>
      <c r="Q144" s="93" t="s">
        <v>495</v>
      </c>
      <c r="R144" s="93" t="s">
        <v>496</v>
      </c>
      <c r="S144" s="93" t="s">
        <v>231</v>
      </c>
      <c r="T144" s="93" t="s">
        <v>374</v>
      </c>
      <c r="U144" s="93"/>
      <c r="V144" s="8" t="s">
        <v>326</v>
      </c>
      <c r="W144" s="8" t="s">
        <v>381</v>
      </c>
    </row>
    <row r="145" spans="1:23" hidden="1" x14ac:dyDescent="0.25">
      <c r="A145" s="8">
        <v>2342</v>
      </c>
      <c r="B145" s="8">
        <v>2</v>
      </c>
      <c r="C145" s="8" t="s">
        <v>300</v>
      </c>
      <c r="D145" s="8" t="s">
        <v>63</v>
      </c>
      <c r="E145" s="8" t="s">
        <v>299</v>
      </c>
      <c r="F145" s="8" t="s">
        <v>301</v>
      </c>
      <c r="G145" s="8">
        <v>1</v>
      </c>
      <c r="H145" s="9">
        <v>46203</v>
      </c>
      <c r="I145" s="9">
        <v>46203</v>
      </c>
      <c r="J145" s="9">
        <v>46233</v>
      </c>
      <c r="K145" s="16">
        <v>46217</v>
      </c>
      <c r="L145" s="9" t="s">
        <v>56</v>
      </c>
      <c r="M145" s="10" t="s">
        <v>56</v>
      </c>
      <c r="N145" s="10">
        <f ca="1">Tabela3[[#This Row],[Prazo
Entrega]]-TODAY()</f>
        <v>3</v>
      </c>
      <c r="O145" s="8" t="str">
        <f t="shared" ref="O145:O151" ca="1" si="5">IF(N145&lt;0,"ATRASADO",IF(N145&lt;=15,"ATENÇÃO","NO PRAZO"))</f>
        <v>ATENÇÃO</v>
      </c>
      <c r="P145" s="8" t="s">
        <v>32</v>
      </c>
      <c r="Q145" s="93" t="s">
        <v>495</v>
      </c>
      <c r="R145" s="93" t="s">
        <v>496</v>
      </c>
      <c r="S145" s="93" t="s">
        <v>231</v>
      </c>
      <c r="T145" s="93" t="s">
        <v>374</v>
      </c>
      <c r="U145" s="93"/>
      <c r="V145" s="8" t="s">
        <v>326</v>
      </c>
      <c r="W145" s="8" t="s">
        <v>381</v>
      </c>
    </row>
    <row r="146" spans="1:23" hidden="1" x14ac:dyDescent="0.25">
      <c r="A146" s="8">
        <v>2342</v>
      </c>
      <c r="B146" s="8">
        <v>3</v>
      </c>
      <c r="C146" s="8" t="s">
        <v>300</v>
      </c>
      <c r="D146" s="8" t="s">
        <v>63</v>
      </c>
      <c r="E146" s="8" t="s">
        <v>299</v>
      </c>
      <c r="F146" s="8" t="s">
        <v>302</v>
      </c>
      <c r="G146" s="8">
        <v>1</v>
      </c>
      <c r="H146" s="9">
        <v>46203</v>
      </c>
      <c r="I146" s="9">
        <v>46203</v>
      </c>
      <c r="J146" s="9">
        <v>46233</v>
      </c>
      <c r="K146" s="16">
        <v>46217</v>
      </c>
      <c r="L146" s="9" t="s">
        <v>56</v>
      </c>
      <c r="M146" s="10" t="s">
        <v>56</v>
      </c>
      <c r="N146" s="10">
        <f ca="1">Tabela3[[#This Row],[Prazo
Entrega]]-TODAY()</f>
        <v>3</v>
      </c>
      <c r="O146" s="8" t="str">
        <f t="shared" ca="1" si="5"/>
        <v>ATENÇÃO</v>
      </c>
      <c r="P146" s="8" t="s">
        <v>32</v>
      </c>
      <c r="Q146" s="93" t="s">
        <v>495</v>
      </c>
      <c r="R146" s="93" t="s">
        <v>496</v>
      </c>
      <c r="S146" s="93" t="s">
        <v>231</v>
      </c>
      <c r="T146" s="93" t="s">
        <v>374</v>
      </c>
      <c r="U146" s="93"/>
      <c r="V146" s="8" t="s">
        <v>326</v>
      </c>
      <c r="W146" s="8" t="s">
        <v>381</v>
      </c>
    </row>
    <row r="147" spans="1:23" hidden="1" x14ac:dyDescent="0.25">
      <c r="A147" s="8">
        <v>2342</v>
      </c>
      <c r="B147" s="8">
        <v>4</v>
      </c>
      <c r="C147" s="8" t="s">
        <v>300</v>
      </c>
      <c r="D147" s="8" t="s">
        <v>63</v>
      </c>
      <c r="E147" s="8" t="s">
        <v>299</v>
      </c>
      <c r="F147" s="8" t="s">
        <v>302</v>
      </c>
      <c r="G147" s="8">
        <v>1</v>
      </c>
      <c r="H147" s="9">
        <v>46203</v>
      </c>
      <c r="I147" s="9">
        <v>46203</v>
      </c>
      <c r="J147" s="9">
        <v>46233</v>
      </c>
      <c r="K147" s="16">
        <v>46217</v>
      </c>
      <c r="L147" s="9" t="s">
        <v>56</v>
      </c>
      <c r="M147" s="10" t="s">
        <v>56</v>
      </c>
      <c r="N147" s="10">
        <f ca="1">Tabela3[[#This Row],[Prazo
Entrega]]-TODAY()</f>
        <v>3</v>
      </c>
      <c r="O147" s="8" t="str">
        <f t="shared" ca="1" si="5"/>
        <v>ATENÇÃO</v>
      </c>
      <c r="P147" s="8" t="s">
        <v>32</v>
      </c>
      <c r="Q147" s="93" t="s">
        <v>495</v>
      </c>
      <c r="R147" s="93" t="s">
        <v>496</v>
      </c>
      <c r="S147" s="93" t="s">
        <v>231</v>
      </c>
      <c r="T147" s="93" t="s">
        <v>374</v>
      </c>
      <c r="U147" s="93"/>
      <c r="V147" s="8" t="s">
        <v>326</v>
      </c>
      <c r="W147" s="8" t="s">
        <v>381</v>
      </c>
    </row>
    <row r="148" spans="1:23" hidden="1" x14ac:dyDescent="0.25">
      <c r="A148" s="8">
        <v>2342</v>
      </c>
      <c r="B148" s="8">
        <v>5</v>
      </c>
      <c r="C148" s="8" t="s">
        <v>63</v>
      </c>
      <c r="D148" s="8" t="s">
        <v>63</v>
      </c>
      <c r="E148" s="8" t="s">
        <v>299</v>
      </c>
      <c r="F148" s="8" t="s">
        <v>303</v>
      </c>
      <c r="G148" s="8">
        <v>1</v>
      </c>
      <c r="H148" s="9">
        <v>46203</v>
      </c>
      <c r="I148" s="9">
        <v>46203</v>
      </c>
      <c r="J148" s="9">
        <v>46233</v>
      </c>
      <c r="K148" s="16">
        <v>46217</v>
      </c>
      <c r="L148" s="9" t="s">
        <v>56</v>
      </c>
      <c r="M148" s="10" t="s">
        <v>56</v>
      </c>
      <c r="N148" s="10">
        <f ca="1">Tabela3[[#This Row],[Prazo
Entrega]]-TODAY()</f>
        <v>3</v>
      </c>
      <c r="O148" s="8" t="str">
        <f t="shared" ca="1" si="5"/>
        <v>ATENÇÃO</v>
      </c>
      <c r="P148" s="8" t="s">
        <v>32</v>
      </c>
      <c r="Q148" s="93" t="s">
        <v>495</v>
      </c>
      <c r="R148" s="93" t="s">
        <v>496</v>
      </c>
      <c r="S148" s="93" t="s">
        <v>231</v>
      </c>
      <c r="T148" s="93" t="s">
        <v>374</v>
      </c>
      <c r="U148" s="93"/>
      <c r="V148" s="8" t="s">
        <v>326</v>
      </c>
      <c r="W148" s="8" t="s">
        <v>381</v>
      </c>
    </row>
    <row r="149" spans="1:23" hidden="1" x14ac:dyDescent="0.25">
      <c r="A149" s="8">
        <v>2342</v>
      </c>
      <c r="B149" s="8">
        <v>6</v>
      </c>
      <c r="C149" s="8" t="s">
        <v>63</v>
      </c>
      <c r="D149" s="8" t="s">
        <v>63</v>
      </c>
      <c r="E149" s="8" t="s">
        <v>299</v>
      </c>
      <c r="F149" s="8" t="s">
        <v>303</v>
      </c>
      <c r="G149" s="8">
        <v>1</v>
      </c>
      <c r="H149" s="9">
        <v>46203</v>
      </c>
      <c r="I149" s="9">
        <v>46203</v>
      </c>
      <c r="J149" s="9">
        <v>46233</v>
      </c>
      <c r="K149" s="16">
        <v>46217</v>
      </c>
      <c r="L149" s="9" t="s">
        <v>56</v>
      </c>
      <c r="M149" s="10" t="s">
        <v>56</v>
      </c>
      <c r="N149" s="10">
        <f ca="1">Tabela3[[#This Row],[Prazo
Entrega]]-TODAY()</f>
        <v>3</v>
      </c>
      <c r="O149" s="8" t="str">
        <f t="shared" ca="1" si="5"/>
        <v>ATENÇÃO</v>
      </c>
      <c r="P149" s="8" t="s">
        <v>32</v>
      </c>
      <c r="Q149" s="93" t="s">
        <v>495</v>
      </c>
      <c r="R149" s="93" t="s">
        <v>496</v>
      </c>
      <c r="S149" s="93" t="s">
        <v>231</v>
      </c>
      <c r="T149" s="93" t="s">
        <v>374</v>
      </c>
      <c r="U149" s="93"/>
      <c r="V149" s="8" t="s">
        <v>326</v>
      </c>
      <c r="W149" s="8" t="s">
        <v>381</v>
      </c>
    </row>
    <row r="150" spans="1:23" hidden="1" x14ac:dyDescent="0.25">
      <c r="A150" s="8">
        <v>2342</v>
      </c>
      <c r="B150" s="8">
        <v>7</v>
      </c>
      <c r="C150" s="8" t="s">
        <v>63</v>
      </c>
      <c r="D150" s="8" t="s">
        <v>63</v>
      </c>
      <c r="E150" s="8" t="s">
        <v>299</v>
      </c>
      <c r="F150" s="8" t="s">
        <v>304</v>
      </c>
      <c r="G150" s="8">
        <v>1</v>
      </c>
      <c r="H150" s="9">
        <v>46203</v>
      </c>
      <c r="I150" s="9">
        <v>46203</v>
      </c>
      <c r="J150" s="9">
        <v>46233</v>
      </c>
      <c r="K150" s="16">
        <v>46217</v>
      </c>
      <c r="L150" s="9" t="s">
        <v>56</v>
      </c>
      <c r="M150" s="10" t="s">
        <v>56</v>
      </c>
      <c r="N150" s="10">
        <f ca="1">Tabela3[[#This Row],[Prazo
Entrega]]-TODAY()</f>
        <v>3</v>
      </c>
      <c r="O150" s="8" t="str">
        <f t="shared" ca="1" si="5"/>
        <v>ATENÇÃO</v>
      </c>
      <c r="P150" s="8" t="s">
        <v>32</v>
      </c>
      <c r="Q150" s="93" t="s">
        <v>495</v>
      </c>
      <c r="R150" s="93" t="s">
        <v>496</v>
      </c>
      <c r="S150" s="93" t="s">
        <v>231</v>
      </c>
      <c r="T150" s="93" t="s">
        <v>374</v>
      </c>
      <c r="U150" s="93"/>
      <c r="V150" s="8" t="s">
        <v>326</v>
      </c>
      <c r="W150" s="8" t="s">
        <v>381</v>
      </c>
    </row>
    <row r="151" spans="1:23" hidden="1" x14ac:dyDescent="0.25">
      <c r="A151" s="8">
        <v>2342</v>
      </c>
      <c r="B151" s="8">
        <v>8</v>
      </c>
      <c r="C151" s="8" t="s">
        <v>63</v>
      </c>
      <c r="D151" s="8" t="s">
        <v>63</v>
      </c>
      <c r="E151" s="8" t="s">
        <v>299</v>
      </c>
      <c r="F151" s="8" t="s">
        <v>304</v>
      </c>
      <c r="G151" s="8">
        <v>1</v>
      </c>
      <c r="H151" s="9">
        <v>46203</v>
      </c>
      <c r="I151" s="9">
        <v>46203</v>
      </c>
      <c r="J151" s="9">
        <v>46233</v>
      </c>
      <c r="K151" s="16">
        <v>46217</v>
      </c>
      <c r="L151" s="9" t="s">
        <v>56</v>
      </c>
      <c r="M151" s="10" t="s">
        <v>56</v>
      </c>
      <c r="N151" s="10">
        <f ca="1">Tabela3[[#This Row],[Prazo
Entrega]]-TODAY()</f>
        <v>3</v>
      </c>
      <c r="O151" s="8" t="str">
        <f t="shared" ca="1" si="5"/>
        <v>ATENÇÃO</v>
      </c>
      <c r="P151" s="8" t="s">
        <v>32</v>
      </c>
      <c r="Q151" s="93" t="s">
        <v>495</v>
      </c>
      <c r="R151" s="93" t="s">
        <v>496</v>
      </c>
      <c r="S151" s="93" t="s">
        <v>231</v>
      </c>
      <c r="T151" s="93" t="s">
        <v>374</v>
      </c>
      <c r="U151" s="93"/>
      <c r="V151" s="8" t="s">
        <v>326</v>
      </c>
      <c r="W151" s="8" t="s">
        <v>381</v>
      </c>
    </row>
    <row r="152" spans="1:23" hidden="1" x14ac:dyDescent="0.25">
      <c r="A152" s="8">
        <v>2335</v>
      </c>
      <c r="B152" s="8">
        <v>13</v>
      </c>
      <c r="C152" s="8">
        <v>1127018</v>
      </c>
      <c r="D152" s="8">
        <v>8</v>
      </c>
      <c r="E152" s="8" t="s">
        <v>78</v>
      </c>
      <c r="F152" s="8" t="s">
        <v>220</v>
      </c>
      <c r="G152" s="8">
        <v>1</v>
      </c>
      <c r="H152" s="9">
        <v>46219</v>
      </c>
      <c r="I152" s="8"/>
      <c r="J152" s="9">
        <v>46248</v>
      </c>
      <c r="K152" s="16"/>
      <c r="L152" s="9" t="s">
        <v>56</v>
      </c>
      <c r="M152" s="10" t="s">
        <v>56</v>
      </c>
      <c r="N152" s="10">
        <f ca="1">Tabela3[[#This Row],[Prazo
Entrega]]-TODAY()</f>
        <v>18</v>
      </c>
      <c r="O152" s="8" t="str">
        <f t="shared" ref="O152:O156" ca="1" si="6">IF(N152&lt;0,"ATRASADO",IF(N152&lt;=15,"ATENÇÃO","NO PRAZO"))</f>
        <v>NO PRAZO</v>
      </c>
      <c r="P152" s="8" t="s">
        <v>32</v>
      </c>
      <c r="Q152" s="96" t="s">
        <v>495</v>
      </c>
      <c r="R152" s="96" t="s">
        <v>496</v>
      </c>
      <c r="S152" s="96" t="s">
        <v>231</v>
      </c>
      <c r="T152" s="96" t="s">
        <v>374</v>
      </c>
      <c r="U152" s="96"/>
      <c r="V152" s="8" t="s">
        <v>48</v>
      </c>
      <c r="W152" s="8"/>
    </row>
    <row r="153" spans="1:23" hidden="1" x14ac:dyDescent="0.25">
      <c r="A153" s="8">
        <v>2335</v>
      </c>
      <c r="B153" s="8">
        <v>14</v>
      </c>
      <c r="C153" s="8">
        <v>1127018</v>
      </c>
      <c r="D153" s="8">
        <v>9</v>
      </c>
      <c r="E153" s="8" t="s">
        <v>78</v>
      </c>
      <c r="F153" s="8" t="s">
        <v>219</v>
      </c>
      <c r="G153" s="8">
        <v>1</v>
      </c>
      <c r="H153" s="9">
        <v>46219</v>
      </c>
      <c r="I153" s="9">
        <v>46227</v>
      </c>
      <c r="J153" s="9">
        <v>46233</v>
      </c>
      <c r="K153" s="16"/>
      <c r="L153" s="9" t="s">
        <v>56</v>
      </c>
      <c r="M153" s="10" t="s">
        <v>56</v>
      </c>
      <c r="N153" s="10">
        <f ca="1">Tabela3[[#This Row],[Prazo
Entrega]]-TODAY()</f>
        <v>3</v>
      </c>
      <c r="O153" s="8" t="str">
        <f t="shared" ca="1" si="6"/>
        <v>ATENÇÃO</v>
      </c>
      <c r="P153" s="8" t="s">
        <v>32</v>
      </c>
      <c r="Q153" s="93" t="s">
        <v>495</v>
      </c>
      <c r="R153" s="96" t="s">
        <v>496</v>
      </c>
      <c r="S153" s="96" t="s">
        <v>231</v>
      </c>
      <c r="T153" s="96" t="s">
        <v>374</v>
      </c>
      <c r="U153" s="96"/>
      <c r="V153" s="8" t="s">
        <v>202</v>
      </c>
      <c r="W153" s="8" t="s">
        <v>601</v>
      </c>
    </row>
    <row r="154" spans="1:23" hidden="1" x14ac:dyDescent="0.25">
      <c r="A154" s="8">
        <v>2335</v>
      </c>
      <c r="B154" s="8">
        <v>15</v>
      </c>
      <c r="C154" s="8">
        <v>1127018</v>
      </c>
      <c r="D154" s="8">
        <v>10</v>
      </c>
      <c r="E154" s="8" t="s">
        <v>78</v>
      </c>
      <c r="F154" s="8" t="s">
        <v>219</v>
      </c>
      <c r="G154" s="8">
        <v>1</v>
      </c>
      <c r="H154" s="9">
        <v>46219</v>
      </c>
      <c r="I154" s="9">
        <v>46227</v>
      </c>
      <c r="J154" s="9">
        <v>46233</v>
      </c>
      <c r="K154" s="16"/>
      <c r="L154" s="9" t="s">
        <v>56</v>
      </c>
      <c r="M154" s="10" t="s">
        <v>56</v>
      </c>
      <c r="N154" s="10">
        <f ca="1">Tabela3[[#This Row],[Prazo
Entrega]]-TODAY()</f>
        <v>3</v>
      </c>
      <c r="O154" s="8" t="str">
        <f t="shared" ca="1" si="6"/>
        <v>ATENÇÃO</v>
      </c>
      <c r="P154" s="8" t="s">
        <v>32</v>
      </c>
      <c r="Q154" s="93" t="s">
        <v>495</v>
      </c>
      <c r="R154" s="96" t="s">
        <v>496</v>
      </c>
      <c r="S154" s="96" t="s">
        <v>231</v>
      </c>
      <c r="T154" s="96" t="s">
        <v>374</v>
      </c>
      <c r="U154" s="96"/>
      <c r="V154" s="8" t="s">
        <v>202</v>
      </c>
      <c r="W154" s="8" t="s">
        <v>601</v>
      </c>
    </row>
    <row r="155" spans="1:23" hidden="1" x14ac:dyDescent="0.25">
      <c r="A155" s="8">
        <v>2335</v>
      </c>
      <c r="B155" s="8">
        <v>16</v>
      </c>
      <c r="C155" s="8">
        <v>1127018</v>
      </c>
      <c r="D155" s="8">
        <v>11</v>
      </c>
      <c r="E155" s="8" t="s">
        <v>78</v>
      </c>
      <c r="F155" s="8" t="s">
        <v>219</v>
      </c>
      <c r="G155" s="8">
        <v>1</v>
      </c>
      <c r="H155" s="9">
        <v>46219</v>
      </c>
      <c r="I155" s="8"/>
      <c r="J155" s="9">
        <v>46248</v>
      </c>
      <c r="K155" s="16"/>
      <c r="L155" s="9" t="s">
        <v>56</v>
      </c>
      <c r="M155" s="10" t="s">
        <v>56</v>
      </c>
      <c r="N155" s="10">
        <f ca="1">Tabela3[[#This Row],[Prazo
Entrega]]-TODAY()</f>
        <v>18</v>
      </c>
      <c r="O155" s="8" t="str">
        <f t="shared" ca="1" si="6"/>
        <v>NO PRAZO</v>
      </c>
      <c r="P155" s="8" t="s">
        <v>32</v>
      </c>
      <c r="Q155" s="96" t="s">
        <v>495</v>
      </c>
      <c r="R155" s="96" t="s">
        <v>496</v>
      </c>
      <c r="S155" s="96" t="s">
        <v>231</v>
      </c>
      <c r="T155" s="96" t="s">
        <v>374</v>
      </c>
      <c r="U155" s="96"/>
      <c r="V155" s="8" t="s">
        <v>48</v>
      </c>
      <c r="W155" s="8"/>
    </row>
    <row r="156" spans="1:23" hidden="1" x14ac:dyDescent="0.25">
      <c r="A156" s="8">
        <v>2335</v>
      </c>
      <c r="B156" s="8">
        <v>17</v>
      </c>
      <c r="C156" s="8">
        <v>1127018</v>
      </c>
      <c r="D156" s="8">
        <v>12</v>
      </c>
      <c r="E156" s="8" t="s">
        <v>78</v>
      </c>
      <c r="F156" s="8" t="s">
        <v>219</v>
      </c>
      <c r="G156" s="8">
        <v>1</v>
      </c>
      <c r="H156" s="9">
        <v>46219</v>
      </c>
      <c r="I156" s="9"/>
      <c r="J156" s="9">
        <v>46248</v>
      </c>
      <c r="K156" s="16"/>
      <c r="L156" s="9" t="s">
        <v>56</v>
      </c>
      <c r="M156" s="10" t="s">
        <v>56</v>
      </c>
      <c r="N156" s="10">
        <f ca="1">Tabela3[[#This Row],[Prazo
Entrega]]-TODAY()</f>
        <v>18</v>
      </c>
      <c r="O156" s="8" t="str">
        <f t="shared" ca="1" si="6"/>
        <v>NO PRAZO</v>
      </c>
      <c r="P156" s="8" t="s">
        <v>32</v>
      </c>
      <c r="Q156" s="96" t="s">
        <v>495</v>
      </c>
      <c r="R156" s="96" t="s">
        <v>496</v>
      </c>
      <c r="S156" s="96" t="s">
        <v>231</v>
      </c>
      <c r="T156" s="96" t="s">
        <v>374</v>
      </c>
      <c r="U156" s="96"/>
      <c r="V156" s="8" t="s">
        <v>48</v>
      </c>
      <c r="W156" s="8"/>
    </row>
    <row r="157" spans="1:23" hidden="1" x14ac:dyDescent="0.25">
      <c r="A157" s="8">
        <v>2352</v>
      </c>
      <c r="B157" s="8">
        <v>1</v>
      </c>
      <c r="C157" s="8">
        <v>27635</v>
      </c>
      <c r="D157" s="8">
        <v>1</v>
      </c>
      <c r="E157" s="8" t="s">
        <v>33</v>
      </c>
      <c r="F157" s="65" t="s">
        <v>325</v>
      </c>
      <c r="G157" s="8">
        <v>1</v>
      </c>
      <c r="H157" s="9">
        <v>46241</v>
      </c>
      <c r="I157" s="8"/>
      <c r="J157" s="9">
        <v>46241</v>
      </c>
      <c r="K157" s="16"/>
      <c r="L157" s="8" t="s">
        <v>56</v>
      </c>
      <c r="M157" s="8" t="s">
        <v>56</v>
      </c>
      <c r="N157" s="10">
        <f ca="1">Tabela3[[#This Row],[Prazo
Entrega]]-TODAY()</f>
        <v>11</v>
      </c>
      <c r="O157" s="8" t="str">
        <f t="shared" ref="O157:O163" ca="1" si="7">IF(N157&lt;0,"ATRASADO",IF(N157&lt;=15,"ATENÇÃO","NO PRAZO"))</f>
        <v>ATENÇÃO</v>
      </c>
      <c r="P157" s="8" t="s">
        <v>69</v>
      </c>
      <c r="Q157" s="96" t="s">
        <v>495</v>
      </c>
      <c r="R157" s="96" t="s">
        <v>496</v>
      </c>
      <c r="S157" s="96" t="s">
        <v>231</v>
      </c>
      <c r="T157" s="96" t="s">
        <v>374</v>
      </c>
      <c r="U157" s="96"/>
      <c r="V157" s="8" t="s">
        <v>48</v>
      </c>
      <c r="W157" s="8"/>
    </row>
    <row r="158" spans="1:23" hidden="1" x14ac:dyDescent="0.25">
      <c r="A158" s="8">
        <v>2352</v>
      </c>
      <c r="B158" s="8">
        <v>2</v>
      </c>
      <c r="C158" s="8">
        <v>27635</v>
      </c>
      <c r="D158" s="8">
        <v>2</v>
      </c>
      <c r="E158" s="8" t="s">
        <v>33</v>
      </c>
      <c r="F158" s="65" t="s">
        <v>325</v>
      </c>
      <c r="G158" s="8">
        <v>1</v>
      </c>
      <c r="H158" s="9">
        <v>46241</v>
      </c>
      <c r="I158" s="8"/>
      <c r="J158" s="9">
        <v>46241</v>
      </c>
      <c r="K158" s="16"/>
      <c r="L158" s="8" t="s">
        <v>56</v>
      </c>
      <c r="M158" s="8" t="s">
        <v>56</v>
      </c>
      <c r="N158" s="10">
        <f ca="1">Tabela3[[#This Row],[Prazo
Entrega]]-TODAY()</f>
        <v>11</v>
      </c>
      <c r="O158" s="8" t="str">
        <f t="shared" ca="1" si="7"/>
        <v>ATENÇÃO</v>
      </c>
      <c r="P158" s="8" t="s">
        <v>69</v>
      </c>
      <c r="Q158" s="96" t="s">
        <v>495</v>
      </c>
      <c r="R158" s="96" t="s">
        <v>496</v>
      </c>
      <c r="S158" s="96" t="s">
        <v>231</v>
      </c>
      <c r="T158" s="96" t="s">
        <v>374</v>
      </c>
      <c r="U158" s="96"/>
      <c r="V158" s="8" t="s">
        <v>48</v>
      </c>
      <c r="W158" s="8"/>
    </row>
    <row r="159" spans="1:23" hidden="1" x14ac:dyDescent="0.25">
      <c r="A159" s="8">
        <v>2352</v>
      </c>
      <c r="B159" s="8">
        <v>3</v>
      </c>
      <c r="C159" s="8">
        <v>27635</v>
      </c>
      <c r="D159" s="8">
        <v>3</v>
      </c>
      <c r="E159" s="8" t="s">
        <v>33</v>
      </c>
      <c r="F159" s="65" t="s">
        <v>325</v>
      </c>
      <c r="G159" s="8">
        <v>1</v>
      </c>
      <c r="H159" s="9">
        <v>46241</v>
      </c>
      <c r="I159" s="8"/>
      <c r="J159" s="9">
        <v>46241</v>
      </c>
      <c r="K159" s="16"/>
      <c r="L159" s="8" t="s">
        <v>56</v>
      </c>
      <c r="M159" s="8" t="s">
        <v>56</v>
      </c>
      <c r="N159" s="10">
        <f ca="1">Tabela3[[#This Row],[Prazo
Entrega]]-TODAY()</f>
        <v>11</v>
      </c>
      <c r="O159" s="8" t="str">
        <f t="shared" ca="1" si="7"/>
        <v>ATENÇÃO</v>
      </c>
      <c r="P159" s="8" t="s">
        <v>69</v>
      </c>
      <c r="Q159" s="96" t="s">
        <v>495</v>
      </c>
      <c r="R159" s="96" t="s">
        <v>496</v>
      </c>
      <c r="S159" s="96" t="s">
        <v>231</v>
      </c>
      <c r="T159" s="96" t="s">
        <v>374</v>
      </c>
      <c r="U159" s="96"/>
      <c r="V159" s="8" t="s">
        <v>48</v>
      </c>
      <c r="W159" s="8"/>
    </row>
    <row r="160" spans="1:23" hidden="1" x14ac:dyDescent="0.25">
      <c r="A160" s="8">
        <v>2352</v>
      </c>
      <c r="B160" s="8">
        <v>4</v>
      </c>
      <c r="C160" s="8">
        <v>27635</v>
      </c>
      <c r="D160" s="8">
        <v>4</v>
      </c>
      <c r="E160" s="8" t="s">
        <v>33</v>
      </c>
      <c r="F160" s="65" t="s">
        <v>325</v>
      </c>
      <c r="G160" s="8">
        <v>1</v>
      </c>
      <c r="H160" s="9">
        <v>46241</v>
      </c>
      <c r="I160" s="8"/>
      <c r="J160" s="9">
        <v>46241</v>
      </c>
      <c r="K160" s="16"/>
      <c r="L160" s="8" t="s">
        <v>56</v>
      </c>
      <c r="M160" s="8" t="s">
        <v>56</v>
      </c>
      <c r="N160" s="10">
        <f ca="1">Tabela3[[#This Row],[Prazo
Entrega]]-TODAY()</f>
        <v>11</v>
      </c>
      <c r="O160" s="8" t="str">
        <f t="shared" ca="1" si="7"/>
        <v>ATENÇÃO</v>
      </c>
      <c r="P160" s="8" t="s">
        <v>69</v>
      </c>
      <c r="Q160" s="96" t="s">
        <v>495</v>
      </c>
      <c r="R160" s="96" t="s">
        <v>496</v>
      </c>
      <c r="S160" s="96" t="s">
        <v>231</v>
      </c>
      <c r="T160" s="96" t="s">
        <v>374</v>
      </c>
      <c r="U160" s="96"/>
      <c r="V160" s="8" t="s">
        <v>48</v>
      </c>
      <c r="W160" s="8"/>
    </row>
    <row r="161" spans="1:23" hidden="1" x14ac:dyDescent="0.25">
      <c r="A161" s="8">
        <v>2352</v>
      </c>
      <c r="B161" s="8">
        <v>5</v>
      </c>
      <c r="C161" s="8">
        <v>27635</v>
      </c>
      <c r="D161" s="8">
        <v>5</v>
      </c>
      <c r="E161" s="8" t="s">
        <v>33</v>
      </c>
      <c r="F161" s="65" t="s">
        <v>325</v>
      </c>
      <c r="G161" s="8">
        <v>1</v>
      </c>
      <c r="H161" s="9">
        <v>46241</v>
      </c>
      <c r="I161" s="8"/>
      <c r="J161" s="9">
        <v>46241</v>
      </c>
      <c r="K161" s="16"/>
      <c r="L161" s="8" t="s">
        <v>56</v>
      </c>
      <c r="M161" s="8" t="s">
        <v>56</v>
      </c>
      <c r="N161" s="10">
        <f ca="1">Tabela3[[#This Row],[Prazo
Entrega]]-TODAY()</f>
        <v>11</v>
      </c>
      <c r="O161" s="8" t="str">
        <f t="shared" ca="1" si="7"/>
        <v>ATENÇÃO</v>
      </c>
      <c r="P161" s="8" t="s">
        <v>69</v>
      </c>
      <c r="Q161" s="96" t="s">
        <v>495</v>
      </c>
      <c r="R161" s="96" t="s">
        <v>496</v>
      </c>
      <c r="S161" s="96" t="s">
        <v>231</v>
      </c>
      <c r="T161" s="96" t="s">
        <v>374</v>
      </c>
      <c r="U161" s="96"/>
      <c r="V161" s="8" t="s">
        <v>48</v>
      </c>
      <c r="W161" s="8"/>
    </row>
    <row r="162" spans="1:23" hidden="1" x14ac:dyDescent="0.25">
      <c r="A162" s="8">
        <v>2352</v>
      </c>
      <c r="B162" s="8">
        <v>6</v>
      </c>
      <c r="C162" s="8">
        <v>27635</v>
      </c>
      <c r="D162" s="8">
        <v>6</v>
      </c>
      <c r="E162" s="8" t="s">
        <v>33</v>
      </c>
      <c r="F162" s="65" t="s">
        <v>325</v>
      </c>
      <c r="G162" s="8">
        <v>1</v>
      </c>
      <c r="H162" s="9">
        <v>46241</v>
      </c>
      <c r="I162" s="8"/>
      <c r="J162" s="9">
        <v>46241</v>
      </c>
      <c r="K162" s="16"/>
      <c r="L162" s="8" t="s">
        <v>56</v>
      </c>
      <c r="M162" s="8" t="s">
        <v>56</v>
      </c>
      <c r="N162" s="10">
        <f ca="1">Tabela3[[#This Row],[Prazo
Entrega]]-TODAY()</f>
        <v>11</v>
      </c>
      <c r="O162" s="8" t="str">
        <f t="shared" ca="1" si="7"/>
        <v>ATENÇÃO</v>
      </c>
      <c r="P162" s="8" t="s">
        <v>69</v>
      </c>
      <c r="Q162" s="96" t="s">
        <v>495</v>
      </c>
      <c r="R162" s="96" t="s">
        <v>496</v>
      </c>
      <c r="S162" s="96" t="s">
        <v>231</v>
      </c>
      <c r="T162" s="96" t="s">
        <v>374</v>
      </c>
      <c r="U162" s="96"/>
      <c r="V162" s="8" t="s">
        <v>48</v>
      </c>
      <c r="W162" s="8"/>
    </row>
    <row r="163" spans="1:23" hidden="1" x14ac:dyDescent="0.25">
      <c r="A163" s="8">
        <v>2352</v>
      </c>
      <c r="B163" s="8">
        <v>7</v>
      </c>
      <c r="C163" s="8">
        <v>27635</v>
      </c>
      <c r="D163" s="8">
        <v>7</v>
      </c>
      <c r="E163" s="8" t="s">
        <v>33</v>
      </c>
      <c r="F163" s="65" t="s">
        <v>324</v>
      </c>
      <c r="G163" s="8">
        <v>1</v>
      </c>
      <c r="H163" s="9">
        <v>46241</v>
      </c>
      <c r="I163" s="8"/>
      <c r="J163" s="9">
        <v>46241</v>
      </c>
      <c r="K163" s="16"/>
      <c r="L163" s="8" t="s">
        <v>56</v>
      </c>
      <c r="M163" s="8" t="s">
        <v>56</v>
      </c>
      <c r="N163" s="10">
        <f ca="1">Tabela3[[#This Row],[Prazo
Entrega]]-TODAY()</f>
        <v>11</v>
      </c>
      <c r="O163" s="8" t="str">
        <f t="shared" ca="1" si="7"/>
        <v>ATENÇÃO</v>
      </c>
      <c r="P163" s="8" t="s">
        <v>69</v>
      </c>
      <c r="Q163" s="96" t="s">
        <v>495</v>
      </c>
      <c r="R163" s="96" t="s">
        <v>496</v>
      </c>
      <c r="S163" s="96" t="s">
        <v>231</v>
      </c>
      <c r="T163" s="96" t="s">
        <v>374</v>
      </c>
      <c r="U163" s="96"/>
      <c r="V163" s="8" t="s">
        <v>48</v>
      </c>
      <c r="W163" s="8"/>
    </row>
    <row r="164" spans="1:23" hidden="1" x14ac:dyDescent="0.25">
      <c r="A164" s="8">
        <v>2335</v>
      </c>
      <c r="B164" s="8">
        <v>18</v>
      </c>
      <c r="C164" s="8">
        <v>1127018</v>
      </c>
      <c r="D164" s="8">
        <v>13</v>
      </c>
      <c r="E164" s="8" t="s">
        <v>78</v>
      </c>
      <c r="F164" s="8" t="s">
        <v>218</v>
      </c>
      <c r="G164" s="8">
        <v>1</v>
      </c>
      <c r="H164" s="9">
        <v>46219</v>
      </c>
      <c r="I164" s="9"/>
      <c r="J164" s="9">
        <v>46248</v>
      </c>
      <c r="K164" s="16"/>
      <c r="L164" s="8" t="s">
        <v>56</v>
      </c>
      <c r="M164" s="8" t="s">
        <v>56</v>
      </c>
      <c r="N164" s="10">
        <f ca="1">Tabela3[[#This Row],[Prazo
Entrega]]-TODAY()</f>
        <v>18</v>
      </c>
      <c r="O164" s="8" t="str">
        <f t="shared" ref="O164:O167" ca="1" si="8">IF(N164&lt;0,"ATRASADO",IF(N164&lt;=15,"ATENÇÃO","NO PRAZO"))</f>
        <v>NO PRAZO</v>
      </c>
      <c r="P164" s="8" t="s">
        <v>32</v>
      </c>
      <c r="Q164" s="96" t="s">
        <v>495</v>
      </c>
      <c r="R164" s="96" t="s">
        <v>496</v>
      </c>
      <c r="S164" s="96" t="s">
        <v>231</v>
      </c>
      <c r="T164" s="96" t="s">
        <v>374</v>
      </c>
      <c r="U164" s="96"/>
      <c r="V164" s="8" t="s">
        <v>48</v>
      </c>
      <c r="W164" s="8"/>
    </row>
    <row r="165" spans="1:23" hidden="1" x14ac:dyDescent="0.25">
      <c r="A165" s="8">
        <v>2335</v>
      </c>
      <c r="B165" s="8">
        <v>19</v>
      </c>
      <c r="C165" s="8">
        <v>1127018</v>
      </c>
      <c r="D165" s="8">
        <v>14</v>
      </c>
      <c r="E165" s="8" t="s">
        <v>78</v>
      </c>
      <c r="F165" s="8" t="s">
        <v>218</v>
      </c>
      <c r="G165" s="8">
        <v>1</v>
      </c>
      <c r="H165" s="9">
        <v>46219</v>
      </c>
      <c r="I165" s="9"/>
      <c r="J165" s="9">
        <v>46248</v>
      </c>
      <c r="K165" s="16"/>
      <c r="L165" s="8" t="s">
        <v>56</v>
      </c>
      <c r="M165" s="8" t="s">
        <v>56</v>
      </c>
      <c r="N165" s="10">
        <f ca="1">Tabela3[[#This Row],[Prazo
Entrega]]-TODAY()</f>
        <v>18</v>
      </c>
      <c r="O165" s="8" t="str">
        <f t="shared" ca="1" si="8"/>
        <v>NO PRAZO</v>
      </c>
      <c r="P165" s="8" t="s">
        <v>32</v>
      </c>
      <c r="Q165" s="96" t="s">
        <v>495</v>
      </c>
      <c r="R165" s="96" t="s">
        <v>496</v>
      </c>
      <c r="S165" s="96" t="s">
        <v>231</v>
      </c>
      <c r="T165" s="96" t="s">
        <v>374</v>
      </c>
      <c r="U165" s="96"/>
      <c r="V165" s="8" t="s">
        <v>48</v>
      </c>
      <c r="W165" s="8"/>
    </row>
    <row r="166" spans="1:23" hidden="1" x14ac:dyDescent="0.25">
      <c r="A166" s="8">
        <v>2335</v>
      </c>
      <c r="B166" s="8">
        <v>20</v>
      </c>
      <c r="C166" s="8">
        <v>1127018</v>
      </c>
      <c r="D166" s="8">
        <v>15</v>
      </c>
      <c r="E166" s="8" t="s">
        <v>78</v>
      </c>
      <c r="F166" s="8" t="s">
        <v>218</v>
      </c>
      <c r="G166" s="8">
        <v>1</v>
      </c>
      <c r="H166" s="9">
        <v>46219</v>
      </c>
      <c r="I166" s="9"/>
      <c r="J166" s="9">
        <v>46248</v>
      </c>
      <c r="K166" s="16"/>
      <c r="L166" s="8" t="s">
        <v>56</v>
      </c>
      <c r="M166" s="8" t="s">
        <v>56</v>
      </c>
      <c r="N166" s="10">
        <f ca="1">Tabela3[[#This Row],[Prazo
Entrega]]-TODAY()</f>
        <v>18</v>
      </c>
      <c r="O166" s="8" t="str">
        <f t="shared" ca="1" si="8"/>
        <v>NO PRAZO</v>
      </c>
      <c r="P166" s="8" t="s">
        <v>32</v>
      </c>
      <c r="Q166" s="96" t="s">
        <v>495</v>
      </c>
      <c r="R166" s="96" t="s">
        <v>496</v>
      </c>
      <c r="S166" s="96" t="s">
        <v>231</v>
      </c>
      <c r="T166" s="96" t="s">
        <v>374</v>
      </c>
      <c r="U166" s="96"/>
      <c r="V166" s="8" t="s">
        <v>48</v>
      </c>
      <c r="W166" s="8"/>
    </row>
    <row r="167" spans="1:23" hidden="1" x14ac:dyDescent="0.25">
      <c r="A167" s="8">
        <v>2335</v>
      </c>
      <c r="B167" s="8">
        <v>21</v>
      </c>
      <c r="C167" s="8">
        <v>1127018</v>
      </c>
      <c r="D167" s="8">
        <v>16</v>
      </c>
      <c r="E167" s="8" t="s">
        <v>78</v>
      </c>
      <c r="F167" s="8" t="s">
        <v>218</v>
      </c>
      <c r="G167" s="8">
        <v>1</v>
      </c>
      <c r="H167" s="9">
        <v>46219</v>
      </c>
      <c r="I167" s="9"/>
      <c r="J167" s="9">
        <v>46248</v>
      </c>
      <c r="K167" s="16"/>
      <c r="L167" s="8" t="s">
        <v>56</v>
      </c>
      <c r="M167" s="8" t="s">
        <v>56</v>
      </c>
      <c r="N167" s="10">
        <f ca="1">Tabela3[[#This Row],[Prazo
Entrega]]-TODAY()</f>
        <v>18</v>
      </c>
      <c r="O167" s="8" t="str">
        <f t="shared" ca="1" si="8"/>
        <v>NO PRAZO</v>
      </c>
      <c r="P167" s="8" t="s">
        <v>32</v>
      </c>
      <c r="Q167" s="96" t="s">
        <v>495</v>
      </c>
      <c r="R167" s="96" t="s">
        <v>496</v>
      </c>
      <c r="S167" s="96" t="s">
        <v>231</v>
      </c>
      <c r="T167" s="96" t="s">
        <v>374</v>
      </c>
      <c r="U167" s="96"/>
      <c r="V167" s="8" t="s">
        <v>48</v>
      </c>
      <c r="W167" s="8"/>
    </row>
    <row r="168" spans="1:23" hidden="1" x14ac:dyDescent="0.25">
      <c r="A168" s="8">
        <v>2358</v>
      </c>
      <c r="B168" s="113">
        <v>25</v>
      </c>
      <c r="C168" s="8">
        <v>24657</v>
      </c>
      <c r="D168" s="8">
        <v>19</v>
      </c>
      <c r="E168" s="8" t="s">
        <v>106</v>
      </c>
      <c r="F168" s="114" t="s">
        <v>515</v>
      </c>
      <c r="G168" s="8">
        <v>1</v>
      </c>
      <c r="H168" s="9">
        <v>46295</v>
      </c>
      <c r="I168" s="8"/>
      <c r="J168" s="9">
        <v>46386</v>
      </c>
      <c r="K168" s="16"/>
      <c r="L168" s="9">
        <v>46264</v>
      </c>
      <c r="M168" s="10" t="s">
        <v>58</v>
      </c>
      <c r="N168" s="10">
        <f ca="1">Tabela3[[#This Row],[Prazo
Entrega]]-TODAY()</f>
        <v>156</v>
      </c>
      <c r="O168" s="8" t="str">
        <f t="shared" ref="O168:O198" ca="1" si="9">IF(N168&lt;0,"ATRASADO",IF(N168&lt;=15,"ATENÇÃO","NO PRAZO"))</f>
        <v>NO PRAZO</v>
      </c>
      <c r="P168" s="8" t="s">
        <v>32</v>
      </c>
      <c r="Q168" s="96" t="s">
        <v>495</v>
      </c>
      <c r="R168" s="96" t="s">
        <v>496</v>
      </c>
      <c r="S168" s="96" t="s">
        <v>231</v>
      </c>
      <c r="T168" s="96" t="s">
        <v>374</v>
      </c>
      <c r="U168" s="96"/>
      <c r="V168" s="8" t="s">
        <v>48</v>
      </c>
      <c r="W168" s="8"/>
    </row>
    <row r="169" spans="1:23" hidden="1" x14ac:dyDescent="0.25">
      <c r="A169" s="8">
        <v>2358</v>
      </c>
      <c r="B169" s="113">
        <v>26</v>
      </c>
      <c r="C169" s="8">
        <v>24657</v>
      </c>
      <c r="D169" s="8">
        <v>20</v>
      </c>
      <c r="E169" s="8" t="s">
        <v>106</v>
      </c>
      <c r="F169" s="114" t="s">
        <v>515</v>
      </c>
      <c r="G169" s="8">
        <v>1</v>
      </c>
      <c r="H169" s="9">
        <v>46295</v>
      </c>
      <c r="I169" s="8"/>
      <c r="J169" s="9">
        <v>46386</v>
      </c>
      <c r="K169" s="16"/>
      <c r="L169" s="9">
        <v>46264</v>
      </c>
      <c r="M169" s="10" t="s">
        <v>58</v>
      </c>
      <c r="N169" s="10">
        <f ca="1">Tabela3[[#This Row],[Prazo
Entrega]]-TODAY()</f>
        <v>156</v>
      </c>
      <c r="O169" s="8" t="str">
        <f t="shared" ca="1" si="9"/>
        <v>NO PRAZO</v>
      </c>
      <c r="P169" s="8" t="s">
        <v>32</v>
      </c>
      <c r="Q169" s="96" t="s">
        <v>495</v>
      </c>
      <c r="R169" s="96" t="s">
        <v>496</v>
      </c>
      <c r="S169" s="96" t="s">
        <v>231</v>
      </c>
      <c r="T169" s="96" t="s">
        <v>374</v>
      </c>
      <c r="U169" s="96"/>
      <c r="V169" s="8" t="s">
        <v>48</v>
      </c>
      <c r="W169" s="8"/>
    </row>
    <row r="170" spans="1:23" hidden="1" x14ac:dyDescent="0.25">
      <c r="A170" s="8">
        <v>2358</v>
      </c>
      <c r="B170" s="113">
        <v>27</v>
      </c>
      <c r="C170" s="8">
        <v>24657</v>
      </c>
      <c r="D170" s="8">
        <v>21</v>
      </c>
      <c r="E170" s="8" t="s">
        <v>106</v>
      </c>
      <c r="F170" s="114" t="s">
        <v>515</v>
      </c>
      <c r="G170" s="8">
        <v>1</v>
      </c>
      <c r="H170" s="9">
        <v>46295</v>
      </c>
      <c r="I170" s="8"/>
      <c r="J170" s="9">
        <v>46386</v>
      </c>
      <c r="K170" s="16"/>
      <c r="L170" s="9">
        <v>46264</v>
      </c>
      <c r="M170" s="10" t="s">
        <v>58</v>
      </c>
      <c r="N170" s="10">
        <f ca="1">Tabela3[[#This Row],[Prazo
Entrega]]-TODAY()</f>
        <v>156</v>
      </c>
      <c r="O170" s="8" t="str">
        <f t="shared" ca="1" si="9"/>
        <v>NO PRAZO</v>
      </c>
      <c r="P170" s="8" t="s">
        <v>32</v>
      </c>
      <c r="Q170" s="96" t="s">
        <v>495</v>
      </c>
      <c r="R170" s="96" t="s">
        <v>496</v>
      </c>
      <c r="S170" s="96" t="s">
        <v>231</v>
      </c>
      <c r="T170" s="96" t="s">
        <v>374</v>
      </c>
      <c r="U170" s="96"/>
      <c r="V170" s="8" t="s">
        <v>48</v>
      </c>
      <c r="W170" s="8"/>
    </row>
    <row r="171" spans="1:23" hidden="1" x14ac:dyDescent="0.25">
      <c r="A171" s="8">
        <v>2358</v>
      </c>
      <c r="B171" s="113">
        <v>28</v>
      </c>
      <c r="C171" s="8">
        <v>24657</v>
      </c>
      <c r="D171" s="8">
        <v>22</v>
      </c>
      <c r="E171" s="8" t="s">
        <v>106</v>
      </c>
      <c r="F171" s="114" t="s">
        <v>515</v>
      </c>
      <c r="G171" s="8">
        <v>1</v>
      </c>
      <c r="H171" s="9">
        <v>46295</v>
      </c>
      <c r="I171" s="8"/>
      <c r="J171" s="9">
        <v>46386</v>
      </c>
      <c r="K171" s="16"/>
      <c r="L171" s="9">
        <v>46264</v>
      </c>
      <c r="M171" s="10" t="s">
        <v>58</v>
      </c>
      <c r="N171" s="10">
        <f ca="1">Tabela3[[#This Row],[Prazo
Entrega]]-TODAY()</f>
        <v>156</v>
      </c>
      <c r="O171" s="8" t="str">
        <f t="shared" ca="1" si="9"/>
        <v>NO PRAZO</v>
      </c>
      <c r="P171" s="8" t="s">
        <v>32</v>
      </c>
      <c r="Q171" s="96" t="s">
        <v>495</v>
      </c>
      <c r="R171" s="96" t="s">
        <v>496</v>
      </c>
      <c r="S171" s="96" t="s">
        <v>231</v>
      </c>
      <c r="T171" s="96" t="s">
        <v>374</v>
      </c>
      <c r="U171" s="96"/>
      <c r="V171" s="8" t="s">
        <v>48</v>
      </c>
      <c r="W171" s="8"/>
    </row>
    <row r="172" spans="1:23" hidden="1" x14ac:dyDescent="0.25">
      <c r="A172" s="8">
        <v>2358</v>
      </c>
      <c r="B172" s="113">
        <v>29</v>
      </c>
      <c r="C172" s="8">
        <v>24657</v>
      </c>
      <c r="D172" s="8">
        <v>23</v>
      </c>
      <c r="E172" s="8" t="s">
        <v>106</v>
      </c>
      <c r="F172" s="114" t="s">
        <v>515</v>
      </c>
      <c r="G172" s="8">
        <v>1</v>
      </c>
      <c r="H172" s="9">
        <v>46295</v>
      </c>
      <c r="I172" s="8"/>
      <c r="J172" s="9">
        <v>46386</v>
      </c>
      <c r="K172" s="16"/>
      <c r="L172" s="9">
        <v>46264</v>
      </c>
      <c r="M172" s="10" t="s">
        <v>58</v>
      </c>
      <c r="N172" s="10">
        <f ca="1">Tabela3[[#This Row],[Prazo
Entrega]]-TODAY()</f>
        <v>156</v>
      </c>
      <c r="O172" s="8" t="str">
        <f t="shared" ca="1" si="9"/>
        <v>NO PRAZO</v>
      </c>
      <c r="P172" s="8" t="s">
        <v>32</v>
      </c>
      <c r="Q172" s="96" t="s">
        <v>495</v>
      </c>
      <c r="R172" s="96" t="s">
        <v>496</v>
      </c>
      <c r="S172" s="96" t="s">
        <v>231</v>
      </c>
      <c r="T172" s="96" t="s">
        <v>374</v>
      </c>
      <c r="U172" s="96"/>
      <c r="V172" s="8" t="s">
        <v>48</v>
      </c>
      <c r="W172" s="8"/>
    </row>
    <row r="173" spans="1:23" hidden="1" x14ac:dyDescent="0.25">
      <c r="A173" s="8">
        <v>2358</v>
      </c>
      <c r="B173" s="113">
        <v>30</v>
      </c>
      <c r="C173" s="8">
        <v>24657</v>
      </c>
      <c r="D173" s="8">
        <v>24</v>
      </c>
      <c r="E173" s="8" t="s">
        <v>106</v>
      </c>
      <c r="F173" s="114" t="s">
        <v>516</v>
      </c>
      <c r="G173" s="8">
        <v>1</v>
      </c>
      <c r="H173" s="9">
        <v>46295</v>
      </c>
      <c r="I173" s="8"/>
      <c r="J173" s="9">
        <v>46386</v>
      </c>
      <c r="K173" s="16"/>
      <c r="L173" s="9">
        <v>46264</v>
      </c>
      <c r="M173" s="10" t="s">
        <v>58</v>
      </c>
      <c r="N173" s="10">
        <f ca="1">Tabela3[[#This Row],[Prazo
Entrega]]-TODAY()</f>
        <v>156</v>
      </c>
      <c r="O173" s="8" t="str">
        <f t="shared" ca="1" si="9"/>
        <v>NO PRAZO</v>
      </c>
      <c r="P173" s="8" t="s">
        <v>32</v>
      </c>
      <c r="Q173" s="96" t="s">
        <v>495</v>
      </c>
      <c r="R173" s="96" t="s">
        <v>496</v>
      </c>
      <c r="S173" s="96" t="s">
        <v>231</v>
      </c>
      <c r="T173" s="96" t="s">
        <v>374</v>
      </c>
      <c r="U173" s="96"/>
      <c r="V173" s="8" t="s">
        <v>48</v>
      </c>
      <c r="W173" s="8"/>
    </row>
    <row r="174" spans="1:23" hidden="1" x14ac:dyDescent="0.25">
      <c r="A174" s="8">
        <v>2358</v>
      </c>
      <c r="B174" s="113">
        <v>31</v>
      </c>
      <c r="C174" s="8">
        <v>24657</v>
      </c>
      <c r="D174" s="8">
        <v>25</v>
      </c>
      <c r="E174" s="8" t="s">
        <v>106</v>
      </c>
      <c r="F174" s="114" t="s">
        <v>517</v>
      </c>
      <c r="G174" s="8">
        <v>1</v>
      </c>
      <c r="H174" s="9">
        <v>46295</v>
      </c>
      <c r="I174" s="8"/>
      <c r="J174" s="9">
        <v>46386</v>
      </c>
      <c r="K174" s="16"/>
      <c r="L174" s="9">
        <v>46264</v>
      </c>
      <c r="M174" s="10" t="s">
        <v>58</v>
      </c>
      <c r="N174" s="10">
        <f ca="1">Tabela3[[#This Row],[Prazo
Entrega]]-TODAY()</f>
        <v>156</v>
      </c>
      <c r="O174" s="8" t="str">
        <f t="shared" ca="1" si="9"/>
        <v>NO PRAZO</v>
      </c>
      <c r="P174" s="8" t="s">
        <v>32</v>
      </c>
      <c r="Q174" s="96" t="s">
        <v>495</v>
      </c>
      <c r="R174" s="96" t="s">
        <v>496</v>
      </c>
      <c r="S174" s="96" t="s">
        <v>231</v>
      </c>
      <c r="T174" s="96" t="s">
        <v>374</v>
      </c>
      <c r="U174" s="96"/>
      <c r="V174" s="8" t="s">
        <v>48</v>
      </c>
      <c r="W174" s="8"/>
    </row>
    <row r="175" spans="1:23" hidden="1" x14ac:dyDescent="0.25">
      <c r="A175" s="8">
        <v>2358</v>
      </c>
      <c r="B175" s="113">
        <v>32</v>
      </c>
      <c r="C175" s="8">
        <v>24657</v>
      </c>
      <c r="D175" s="8">
        <v>26</v>
      </c>
      <c r="E175" s="8" t="s">
        <v>106</v>
      </c>
      <c r="F175" s="114" t="s">
        <v>518</v>
      </c>
      <c r="G175" s="8">
        <v>1</v>
      </c>
      <c r="H175" s="9">
        <v>46295</v>
      </c>
      <c r="I175" s="8"/>
      <c r="J175" s="9">
        <v>46386</v>
      </c>
      <c r="K175" s="16"/>
      <c r="L175" s="9">
        <v>46264</v>
      </c>
      <c r="M175" s="10" t="s">
        <v>58</v>
      </c>
      <c r="N175" s="10">
        <f ca="1">Tabela3[[#This Row],[Prazo
Entrega]]-TODAY()</f>
        <v>156</v>
      </c>
      <c r="O175" s="8" t="str">
        <f t="shared" ca="1" si="9"/>
        <v>NO PRAZO</v>
      </c>
      <c r="P175" s="8" t="s">
        <v>32</v>
      </c>
      <c r="Q175" s="96" t="s">
        <v>495</v>
      </c>
      <c r="R175" s="96" t="s">
        <v>496</v>
      </c>
      <c r="S175" s="96" t="s">
        <v>231</v>
      </c>
      <c r="T175" s="96" t="s">
        <v>374</v>
      </c>
      <c r="U175" s="96"/>
      <c r="V175" s="8" t="s">
        <v>48</v>
      </c>
      <c r="W175" s="8"/>
    </row>
    <row r="176" spans="1:23" hidden="1" x14ac:dyDescent="0.25">
      <c r="A176" s="8">
        <v>2358</v>
      </c>
      <c r="B176" s="113">
        <v>33</v>
      </c>
      <c r="C176" s="8">
        <v>24657</v>
      </c>
      <c r="D176" s="8">
        <v>27</v>
      </c>
      <c r="E176" s="8" t="s">
        <v>106</v>
      </c>
      <c r="F176" s="114" t="s">
        <v>518</v>
      </c>
      <c r="G176" s="8">
        <v>1</v>
      </c>
      <c r="H176" s="9">
        <v>46295</v>
      </c>
      <c r="I176" s="8"/>
      <c r="J176" s="9">
        <v>46386</v>
      </c>
      <c r="K176" s="16"/>
      <c r="L176" s="9">
        <v>46264</v>
      </c>
      <c r="M176" s="10" t="s">
        <v>58</v>
      </c>
      <c r="N176" s="10">
        <f ca="1">Tabela3[[#This Row],[Prazo
Entrega]]-TODAY()</f>
        <v>156</v>
      </c>
      <c r="O176" s="8" t="str">
        <f t="shared" ca="1" si="9"/>
        <v>NO PRAZO</v>
      </c>
      <c r="P176" s="8" t="s">
        <v>32</v>
      </c>
      <c r="Q176" s="96" t="s">
        <v>495</v>
      </c>
      <c r="R176" s="96" t="s">
        <v>496</v>
      </c>
      <c r="S176" s="96" t="s">
        <v>231</v>
      </c>
      <c r="T176" s="96" t="s">
        <v>374</v>
      </c>
      <c r="U176" s="96"/>
      <c r="V176" s="8" t="s">
        <v>48</v>
      </c>
      <c r="W176" s="8"/>
    </row>
    <row r="177" spans="1:23" hidden="1" x14ac:dyDescent="0.25">
      <c r="A177" s="8">
        <v>2358</v>
      </c>
      <c r="B177" s="113">
        <v>34</v>
      </c>
      <c r="C177" s="8">
        <v>24657</v>
      </c>
      <c r="D177" s="8">
        <v>28</v>
      </c>
      <c r="E177" s="8" t="s">
        <v>106</v>
      </c>
      <c r="F177" s="114" t="s">
        <v>519</v>
      </c>
      <c r="G177" s="8">
        <v>1</v>
      </c>
      <c r="H177" s="9">
        <v>46295</v>
      </c>
      <c r="I177" s="8"/>
      <c r="J177" s="9">
        <v>46386</v>
      </c>
      <c r="K177" s="16"/>
      <c r="L177" s="9">
        <v>46264</v>
      </c>
      <c r="M177" s="10" t="s">
        <v>58</v>
      </c>
      <c r="N177" s="10">
        <f ca="1">Tabela3[[#This Row],[Prazo
Entrega]]-TODAY()</f>
        <v>156</v>
      </c>
      <c r="O177" s="8" t="str">
        <f t="shared" ca="1" si="9"/>
        <v>NO PRAZO</v>
      </c>
      <c r="P177" s="8" t="s">
        <v>32</v>
      </c>
      <c r="Q177" s="96" t="s">
        <v>495</v>
      </c>
      <c r="R177" s="96" t="s">
        <v>496</v>
      </c>
      <c r="S177" s="96" t="s">
        <v>231</v>
      </c>
      <c r="T177" s="96" t="s">
        <v>374</v>
      </c>
      <c r="U177" s="96"/>
      <c r="V177" s="8" t="s">
        <v>48</v>
      </c>
      <c r="W177" s="8"/>
    </row>
    <row r="178" spans="1:23" hidden="1" x14ac:dyDescent="0.25">
      <c r="A178" s="8">
        <v>2358</v>
      </c>
      <c r="B178" s="113">
        <v>35</v>
      </c>
      <c r="C178" s="8">
        <v>24657</v>
      </c>
      <c r="D178" s="8">
        <v>29</v>
      </c>
      <c r="E178" s="8" t="s">
        <v>106</v>
      </c>
      <c r="F178" s="114" t="s">
        <v>519</v>
      </c>
      <c r="G178" s="8">
        <v>1</v>
      </c>
      <c r="H178" s="9">
        <v>46295</v>
      </c>
      <c r="I178" s="8"/>
      <c r="J178" s="9">
        <v>46386</v>
      </c>
      <c r="K178" s="16"/>
      <c r="L178" s="9">
        <v>46264</v>
      </c>
      <c r="M178" s="10" t="s">
        <v>58</v>
      </c>
      <c r="N178" s="10">
        <f ca="1">Tabela3[[#This Row],[Prazo
Entrega]]-TODAY()</f>
        <v>156</v>
      </c>
      <c r="O178" s="8" t="str">
        <f t="shared" ca="1" si="9"/>
        <v>NO PRAZO</v>
      </c>
      <c r="P178" s="8" t="s">
        <v>32</v>
      </c>
      <c r="Q178" s="96" t="s">
        <v>495</v>
      </c>
      <c r="R178" s="96" t="s">
        <v>496</v>
      </c>
      <c r="S178" s="96" t="s">
        <v>231</v>
      </c>
      <c r="T178" s="96" t="s">
        <v>374</v>
      </c>
      <c r="U178" s="96"/>
      <c r="V178" s="8" t="s">
        <v>48</v>
      </c>
      <c r="W178" s="8"/>
    </row>
    <row r="179" spans="1:23" hidden="1" x14ac:dyDescent="0.25">
      <c r="A179" s="8">
        <v>2358</v>
      </c>
      <c r="B179" s="113">
        <v>36</v>
      </c>
      <c r="C179" s="8">
        <v>24657</v>
      </c>
      <c r="D179" s="8">
        <v>30</v>
      </c>
      <c r="E179" s="8" t="s">
        <v>106</v>
      </c>
      <c r="F179" s="114" t="s">
        <v>519</v>
      </c>
      <c r="G179" s="8">
        <v>1</v>
      </c>
      <c r="H179" s="9">
        <v>46295</v>
      </c>
      <c r="I179" s="8"/>
      <c r="J179" s="9">
        <v>46386</v>
      </c>
      <c r="K179" s="16"/>
      <c r="L179" s="9">
        <v>46264</v>
      </c>
      <c r="M179" s="10" t="s">
        <v>58</v>
      </c>
      <c r="N179" s="10">
        <f ca="1">Tabela3[[#This Row],[Prazo
Entrega]]-TODAY()</f>
        <v>156</v>
      </c>
      <c r="O179" s="8" t="str">
        <f t="shared" ca="1" si="9"/>
        <v>NO PRAZO</v>
      </c>
      <c r="P179" s="8" t="s">
        <v>32</v>
      </c>
      <c r="Q179" s="96" t="s">
        <v>495</v>
      </c>
      <c r="R179" s="96" t="s">
        <v>496</v>
      </c>
      <c r="S179" s="96" t="s">
        <v>231</v>
      </c>
      <c r="T179" s="96" t="s">
        <v>374</v>
      </c>
      <c r="U179" s="96"/>
      <c r="V179" s="8" t="s">
        <v>48</v>
      </c>
      <c r="W179" s="8"/>
    </row>
    <row r="180" spans="1:23" hidden="1" x14ac:dyDescent="0.25">
      <c r="A180" s="8">
        <v>2358</v>
      </c>
      <c r="B180" s="113">
        <v>37</v>
      </c>
      <c r="C180" s="8">
        <v>24657</v>
      </c>
      <c r="D180" s="8">
        <v>31</v>
      </c>
      <c r="E180" s="8" t="s">
        <v>106</v>
      </c>
      <c r="F180" s="114" t="s">
        <v>519</v>
      </c>
      <c r="G180" s="8">
        <v>1</v>
      </c>
      <c r="H180" s="9">
        <v>46295</v>
      </c>
      <c r="I180" s="8"/>
      <c r="J180" s="9">
        <v>46386</v>
      </c>
      <c r="K180" s="16"/>
      <c r="L180" s="9">
        <v>46264</v>
      </c>
      <c r="M180" s="10" t="s">
        <v>58</v>
      </c>
      <c r="N180" s="10">
        <f ca="1">Tabela3[[#This Row],[Prazo
Entrega]]-TODAY()</f>
        <v>156</v>
      </c>
      <c r="O180" s="8" t="str">
        <f t="shared" ca="1" si="9"/>
        <v>NO PRAZO</v>
      </c>
      <c r="P180" s="8" t="s">
        <v>32</v>
      </c>
      <c r="Q180" s="96" t="s">
        <v>495</v>
      </c>
      <c r="R180" s="96" t="s">
        <v>496</v>
      </c>
      <c r="S180" s="96" t="s">
        <v>231</v>
      </c>
      <c r="T180" s="96" t="s">
        <v>374</v>
      </c>
      <c r="U180" s="96"/>
      <c r="V180" s="8" t="s">
        <v>48</v>
      </c>
      <c r="W180" s="8"/>
    </row>
    <row r="181" spans="1:23" hidden="1" x14ac:dyDescent="0.25">
      <c r="A181" s="8">
        <v>2358</v>
      </c>
      <c r="B181" s="113">
        <v>38</v>
      </c>
      <c r="C181" s="8">
        <v>24657</v>
      </c>
      <c r="D181" s="8">
        <v>32</v>
      </c>
      <c r="E181" s="8" t="s">
        <v>106</v>
      </c>
      <c r="F181" s="114" t="s">
        <v>519</v>
      </c>
      <c r="G181" s="8">
        <v>1</v>
      </c>
      <c r="H181" s="9">
        <v>46295</v>
      </c>
      <c r="I181" s="8"/>
      <c r="J181" s="9">
        <v>46386</v>
      </c>
      <c r="K181" s="16"/>
      <c r="L181" s="9">
        <v>46264</v>
      </c>
      <c r="M181" s="10" t="s">
        <v>58</v>
      </c>
      <c r="N181" s="10">
        <f ca="1">Tabela3[[#This Row],[Prazo
Entrega]]-TODAY()</f>
        <v>156</v>
      </c>
      <c r="O181" s="8" t="str">
        <f t="shared" ca="1" si="9"/>
        <v>NO PRAZO</v>
      </c>
      <c r="P181" s="8" t="s">
        <v>32</v>
      </c>
      <c r="Q181" s="96" t="s">
        <v>495</v>
      </c>
      <c r="R181" s="96" t="s">
        <v>496</v>
      </c>
      <c r="S181" s="96" t="s">
        <v>231</v>
      </c>
      <c r="T181" s="96" t="s">
        <v>374</v>
      </c>
      <c r="U181" s="96"/>
      <c r="V181" s="8" t="s">
        <v>48</v>
      </c>
      <c r="W181" s="8"/>
    </row>
    <row r="182" spans="1:23" hidden="1" x14ac:dyDescent="0.25">
      <c r="A182" s="8">
        <v>2358</v>
      </c>
      <c r="B182" s="113">
        <v>39</v>
      </c>
      <c r="C182" s="8">
        <v>24657</v>
      </c>
      <c r="D182" s="8">
        <v>33</v>
      </c>
      <c r="E182" s="8" t="s">
        <v>106</v>
      </c>
      <c r="F182" s="114" t="s">
        <v>517</v>
      </c>
      <c r="G182" s="8">
        <v>1</v>
      </c>
      <c r="H182" s="9">
        <v>46295</v>
      </c>
      <c r="I182" s="8"/>
      <c r="J182" s="9">
        <v>46386</v>
      </c>
      <c r="K182" s="16"/>
      <c r="L182" s="9">
        <v>46264</v>
      </c>
      <c r="M182" s="10" t="s">
        <v>58</v>
      </c>
      <c r="N182" s="10">
        <f ca="1">Tabela3[[#This Row],[Prazo
Entrega]]-TODAY()</f>
        <v>156</v>
      </c>
      <c r="O182" s="8" t="str">
        <f t="shared" ca="1" si="9"/>
        <v>NO PRAZO</v>
      </c>
      <c r="P182" s="8" t="s">
        <v>32</v>
      </c>
      <c r="Q182" s="96" t="s">
        <v>495</v>
      </c>
      <c r="R182" s="96" t="s">
        <v>496</v>
      </c>
      <c r="S182" s="96" t="s">
        <v>231</v>
      </c>
      <c r="T182" s="96" t="s">
        <v>374</v>
      </c>
      <c r="U182" s="96"/>
      <c r="V182" s="8" t="s">
        <v>48</v>
      </c>
      <c r="W182" s="8"/>
    </row>
    <row r="183" spans="1:23" hidden="1" x14ac:dyDescent="0.25">
      <c r="A183" s="8">
        <v>2358</v>
      </c>
      <c r="B183" s="113">
        <v>40</v>
      </c>
      <c r="C183" s="8">
        <v>24657</v>
      </c>
      <c r="D183" s="8">
        <v>34</v>
      </c>
      <c r="E183" s="8" t="s">
        <v>106</v>
      </c>
      <c r="F183" s="114" t="s">
        <v>518</v>
      </c>
      <c r="G183" s="8">
        <v>1</v>
      </c>
      <c r="H183" s="9">
        <v>46295</v>
      </c>
      <c r="I183" s="8"/>
      <c r="J183" s="9">
        <v>46386</v>
      </c>
      <c r="K183" s="16"/>
      <c r="L183" s="9">
        <v>46264</v>
      </c>
      <c r="M183" s="10" t="s">
        <v>58</v>
      </c>
      <c r="N183" s="10">
        <f ca="1">Tabela3[[#This Row],[Prazo
Entrega]]-TODAY()</f>
        <v>156</v>
      </c>
      <c r="O183" s="8" t="str">
        <f t="shared" ca="1" si="9"/>
        <v>NO PRAZO</v>
      </c>
      <c r="P183" s="8" t="s">
        <v>32</v>
      </c>
      <c r="Q183" s="96" t="s">
        <v>495</v>
      </c>
      <c r="R183" s="96" t="s">
        <v>496</v>
      </c>
      <c r="S183" s="96" t="s">
        <v>231</v>
      </c>
      <c r="T183" s="96" t="s">
        <v>374</v>
      </c>
      <c r="U183" s="96"/>
      <c r="V183" s="8" t="s">
        <v>48</v>
      </c>
      <c r="W183" s="8"/>
    </row>
    <row r="184" spans="1:23" hidden="1" x14ac:dyDescent="0.25">
      <c r="A184" s="8">
        <v>2358</v>
      </c>
      <c r="B184" s="113">
        <v>41</v>
      </c>
      <c r="C184" s="8" t="s">
        <v>300</v>
      </c>
      <c r="D184" s="8" t="s">
        <v>63</v>
      </c>
      <c r="E184" s="8" t="s">
        <v>106</v>
      </c>
      <c r="F184" s="114" t="s">
        <v>520</v>
      </c>
      <c r="G184" s="8">
        <v>1</v>
      </c>
      <c r="H184" s="9">
        <v>46295</v>
      </c>
      <c r="I184" s="8"/>
      <c r="J184" s="9">
        <v>46386</v>
      </c>
      <c r="K184" s="16"/>
      <c r="L184" s="9">
        <v>46264</v>
      </c>
      <c r="M184" s="10" t="s">
        <v>58</v>
      </c>
      <c r="N184" s="10">
        <f ca="1">Tabela3[[#This Row],[Prazo
Entrega]]-TODAY()</f>
        <v>156</v>
      </c>
      <c r="O184" s="8" t="str">
        <f t="shared" ca="1" si="9"/>
        <v>NO PRAZO</v>
      </c>
      <c r="P184" s="8" t="s">
        <v>32</v>
      </c>
      <c r="Q184" s="96" t="s">
        <v>495</v>
      </c>
      <c r="R184" s="96" t="s">
        <v>496</v>
      </c>
      <c r="S184" s="96" t="s">
        <v>231</v>
      </c>
      <c r="T184" s="96" t="s">
        <v>374</v>
      </c>
      <c r="U184" s="96"/>
      <c r="V184" s="8" t="s">
        <v>488</v>
      </c>
      <c r="W184" s="8" t="s">
        <v>526</v>
      </c>
    </row>
    <row r="185" spans="1:23" hidden="1" x14ac:dyDescent="0.25">
      <c r="A185" s="8">
        <v>2358</v>
      </c>
      <c r="B185" s="113">
        <v>42</v>
      </c>
      <c r="C185" s="8" t="s">
        <v>300</v>
      </c>
      <c r="D185" s="8" t="s">
        <v>63</v>
      </c>
      <c r="E185" s="8" t="s">
        <v>106</v>
      </c>
      <c r="F185" s="114" t="s">
        <v>520</v>
      </c>
      <c r="G185" s="8">
        <v>1</v>
      </c>
      <c r="H185" s="9">
        <v>46295</v>
      </c>
      <c r="I185" s="8"/>
      <c r="J185" s="9">
        <v>46386</v>
      </c>
      <c r="K185" s="16"/>
      <c r="L185" s="9">
        <v>46264</v>
      </c>
      <c r="M185" s="10" t="s">
        <v>58</v>
      </c>
      <c r="N185" s="10">
        <f ca="1">Tabela3[[#This Row],[Prazo
Entrega]]-TODAY()</f>
        <v>156</v>
      </c>
      <c r="O185" s="8" t="str">
        <f t="shared" ca="1" si="9"/>
        <v>NO PRAZO</v>
      </c>
      <c r="P185" s="8" t="s">
        <v>32</v>
      </c>
      <c r="Q185" s="96" t="s">
        <v>495</v>
      </c>
      <c r="R185" s="96" t="s">
        <v>496</v>
      </c>
      <c r="S185" s="96" t="s">
        <v>231</v>
      </c>
      <c r="T185" s="96" t="s">
        <v>374</v>
      </c>
      <c r="U185" s="96"/>
      <c r="V185" s="8" t="s">
        <v>488</v>
      </c>
      <c r="W185" s="8" t="s">
        <v>526</v>
      </c>
    </row>
    <row r="186" spans="1:23" hidden="1" x14ac:dyDescent="0.25">
      <c r="A186" s="8">
        <v>2358</v>
      </c>
      <c r="B186" s="113">
        <v>43</v>
      </c>
      <c r="C186" s="8" t="s">
        <v>300</v>
      </c>
      <c r="D186" s="8" t="s">
        <v>63</v>
      </c>
      <c r="E186" s="8" t="s">
        <v>106</v>
      </c>
      <c r="F186" s="114" t="s">
        <v>520</v>
      </c>
      <c r="G186" s="8">
        <v>1</v>
      </c>
      <c r="H186" s="9">
        <v>46295</v>
      </c>
      <c r="I186" s="8"/>
      <c r="J186" s="9">
        <v>46386</v>
      </c>
      <c r="K186" s="16"/>
      <c r="L186" s="9">
        <v>46264</v>
      </c>
      <c r="M186" s="10" t="s">
        <v>58</v>
      </c>
      <c r="N186" s="10">
        <f ca="1">Tabela3[[#This Row],[Prazo
Entrega]]-TODAY()</f>
        <v>156</v>
      </c>
      <c r="O186" s="8" t="str">
        <f t="shared" ca="1" si="9"/>
        <v>NO PRAZO</v>
      </c>
      <c r="P186" s="8" t="s">
        <v>32</v>
      </c>
      <c r="Q186" s="96" t="s">
        <v>495</v>
      </c>
      <c r="R186" s="96" t="s">
        <v>496</v>
      </c>
      <c r="S186" s="96" t="s">
        <v>231</v>
      </c>
      <c r="T186" s="96" t="s">
        <v>374</v>
      </c>
      <c r="U186" s="96"/>
      <c r="V186" s="8" t="s">
        <v>488</v>
      </c>
      <c r="W186" s="8" t="s">
        <v>526</v>
      </c>
    </row>
    <row r="187" spans="1:23" hidden="1" x14ac:dyDescent="0.25">
      <c r="A187" s="8">
        <v>2358</v>
      </c>
      <c r="B187" s="113">
        <v>44</v>
      </c>
      <c r="C187" s="8" t="s">
        <v>300</v>
      </c>
      <c r="D187" s="8" t="s">
        <v>63</v>
      </c>
      <c r="E187" s="8" t="s">
        <v>106</v>
      </c>
      <c r="F187" s="114" t="s">
        <v>520</v>
      </c>
      <c r="G187" s="8">
        <v>1</v>
      </c>
      <c r="H187" s="9">
        <v>46295</v>
      </c>
      <c r="I187" s="8"/>
      <c r="J187" s="9">
        <v>46386</v>
      </c>
      <c r="K187" s="16"/>
      <c r="L187" s="9">
        <v>46264</v>
      </c>
      <c r="M187" s="10" t="s">
        <v>58</v>
      </c>
      <c r="N187" s="10">
        <f ca="1">Tabela3[[#This Row],[Prazo
Entrega]]-TODAY()</f>
        <v>156</v>
      </c>
      <c r="O187" s="8" t="str">
        <f t="shared" ca="1" si="9"/>
        <v>NO PRAZO</v>
      </c>
      <c r="P187" s="8" t="s">
        <v>32</v>
      </c>
      <c r="Q187" s="96" t="s">
        <v>495</v>
      </c>
      <c r="R187" s="96" t="s">
        <v>496</v>
      </c>
      <c r="S187" s="96" t="s">
        <v>231</v>
      </c>
      <c r="T187" s="96" t="s">
        <v>374</v>
      </c>
      <c r="U187" s="96"/>
      <c r="V187" s="8" t="s">
        <v>488</v>
      </c>
      <c r="W187" s="8" t="s">
        <v>526</v>
      </c>
    </row>
    <row r="188" spans="1:23" hidden="1" x14ac:dyDescent="0.25">
      <c r="A188" s="8">
        <v>2358</v>
      </c>
      <c r="B188" s="113">
        <v>45</v>
      </c>
      <c r="C188" s="8" t="s">
        <v>300</v>
      </c>
      <c r="D188" s="8" t="s">
        <v>63</v>
      </c>
      <c r="E188" s="8" t="s">
        <v>106</v>
      </c>
      <c r="F188" s="114" t="s">
        <v>521</v>
      </c>
      <c r="G188" s="8">
        <v>1</v>
      </c>
      <c r="H188" s="9">
        <v>46295</v>
      </c>
      <c r="I188" s="8"/>
      <c r="J188" s="9">
        <v>46386</v>
      </c>
      <c r="K188" s="16"/>
      <c r="L188" s="9">
        <v>46264</v>
      </c>
      <c r="M188" s="10" t="s">
        <v>58</v>
      </c>
      <c r="N188" s="10">
        <f ca="1">Tabela3[[#This Row],[Prazo
Entrega]]-TODAY()</f>
        <v>156</v>
      </c>
      <c r="O188" s="8" t="str">
        <f t="shared" ca="1" si="9"/>
        <v>NO PRAZO</v>
      </c>
      <c r="P188" s="8" t="s">
        <v>32</v>
      </c>
      <c r="Q188" s="96" t="s">
        <v>495</v>
      </c>
      <c r="R188" s="96" t="s">
        <v>496</v>
      </c>
      <c r="S188" s="96" t="s">
        <v>231</v>
      </c>
      <c r="T188" s="96" t="s">
        <v>374</v>
      </c>
      <c r="U188" s="96"/>
      <c r="V188" s="8" t="s">
        <v>488</v>
      </c>
      <c r="W188" s="8" t="s">
        <v>526</v>
      </c>
    </row>
    <row r="189" spans="1:23" ht="15" hidden="1" customHeight="1" x14ac:dyDescent="0.25">
      <c r="A189" s="8">
        <v>2358</v>
      </c>
      <c r="B189" s="113">
        <v>46</v>
      </c>
      <c r="C189" s="8" t="s">
        <v>300</v>
      </c>
      <c r="D189" s="8" t="s">
        <v>63</v>
      </c>
      <c r="E189" s="8" t="s">
        <v>106</v>
      </c>
      <c r="F189" s="114" t="s">
        <v>522</v>
      </c>
      <c r="G189" s="8">
        <v>1</v>
      </c>
      <c r="H189" s="9">
        <v>46295</v>
      </c>
      <c r="I189" s="8"/>
      <c r="J189" s="9">
        <v>46386</v>
      </c>
      <c r="K189" s="16"/>
      <c r="L189" s="9">
        <v>46264</v>
      </c>
      <c r="M189" s="10" t="s">
        <v>58</v>
      </c>
      <c r="N189" s="10">
        <f ca="1">Tabela3[[#This Row],[Prazo
Entrega]]-TODAY()</f>
        <v>156</v>
      </c>
      <c r="O189" s="8" t="str">
        <f t="shared" ca="1" si="9"/>
        <v>NO PRAZO</v>
      </c>
      <c r="P189" s="8" t="s">
        <v>32</v>
      </c>
      <c r="Q189" s="96" t="s">
        <v>495</v>
      </c>
      <c r="R189" s="96" t="s">
        <v>496</v>
      </c>
      <c r="S189" s="96" t="s">
        <v>231</v>
      </c>
      <c r="T189" s="96" t="s">
        <v>374</v>
      </c>
      <c r="U189" s="96"/>
      <c r="V189" s="8" t="s">
        <v>488</v>
      </c>
      <c r="W189" s="8" t="s">
        <v>526</v>
      </c>
    </row>
    <row r="190" spans="1:23" ht="15" hidden="1" customHeight="1" x14ac:dyDescent="0.25">
      <c r="A190" s="8">
        <v>2358</v>
      </c>
      <c r="B190" s="113">
        <v>47</v>
      </c>
      <c r="C190" s="8" t="s">
        <v>300</v>
      </c>
      <c r="D190" s="8" t="s">
        <v>63</v>
      </c>
      <c r="E190" s="8" t="s">
        <v>106</v>
      </c>
      <c r="F190" s="114" t="s">
        <v>523</v>
      </c>
      <c r="G190" s="8">
        <v>1</v>
      </c>
      <c r="H190" s="9">
        <v>46295</v>
      </c>
      <c r="I190" s="8"/>
      <c r="J190" s="9">
        <v>46386</v>
      </c>
      <c r="K190" s="16"/>
      <c r="L190" s="9">
        <v>46264</v>
      </c>
      <c r="M190" s="10" t="s">
        <v>58</v>
      </c>
      <c r="N190" s="10">
        <f ca="1">Tabela3[[#This Row],[Prazo
Entrega]]-TODAY()</f>
        <v>156</v>
      </c>
      <c r="O190" s="8" t="str">
        <f t="shared" ca="1" si="9"/>
        <v>NO PRAZO</v>
      </c>
      <c r="P190" s="8" t="s">
        <v>32</v>
      </c>
      <c r="Q190" s="96" t="s">
        <v>495</v>
      </c>
      <c r="R190" s="96" t="s">
        <v>496</v>
      </c>
      <c r="S190" s="96" t="s">
        <v>231</v>
      </c>
      <c r="T190" s="96" t="s">
        <v>374</v>
      </c>
      <c r="U190" s="96"/>
      <c r="V190" s="8" t="s">
        <v>488</v>
      </c>
      <c r="W190" s="8" t="s">
        <v>526</v>
      </c>
    </row>
    <row r="191" spans="1:23" ht="15" hidden="1" customHeight="1" x14ac:dyDescent="0.25">
      <c r="A191" s="8">
        <v>2358</v>
      </c>
      <c r="B191" s="113">
        <v>48</v>
      </c>
      <c r="C191" s="8" t="s">
        <v>300</v>
      </c>
      <c r="D191" s="8" t="s">
        <v>63</v>
      </c>
      <c r="E191" s="8" t="s">
        <v>106</v>
      </c>
      <c r="F191" s="114" t="s">
        <v>524</v>
      </c>
      <c r="G191" s="8">
        <v>1</v>
      </c>
      <c r="H191" s="9">
        <v>46295</v>
      </c>
      <c r="I191" s="8"/>
      <c r="J191" s="9">
        <v>46386</v>
      </c>
      <c r="K191" s="16"/>
      <c r="L191" s="9">
        <v>46264</v>
      </c>
      <c r="M191" s="10" t="s">
        <v>58</v>
      </c>
      <c r="N191" s="10">
        <f ca="1">Tabela3[[#This Row],[Prazo
Entrega]]-TODAY()</f>
        <v>156</v>
      </c>
      <c r="O191" s="8" t="str">
        <f t="shared" ca="1" si="9"/>
        <v>NO PRAZO</v>
      </c>
      <c r="P191" s="8" t="s">
        <v>32</v>
      </c>
      <c r="Q191" s="96" t="s">
        <v>495</v>
      </c>
      <c r="R191" s="96" t="s">
        <v>496</v>
      </c>
      <c r="S191" s="96" t="s">
        <v>231</v>
      </c>
      <c r="T191" s="96" t="s">
        <v>374</v>
      </c>
      <c r="U191" s="96"/>
      <c r="V191" s="8" t="s">
        <v>488</v>
      </c>
      <c r="W191" s="8" t="s">
        <v>526</v>
      </c>
    </row>
    <row r="192" spans="1:23" ht="15" hidden="1" customHeight="1" x14ac:dyDescent="0.25">
      <c r="A192" s="8">
        <v>2358</v>
      </c>
      <c r="B192" s="113">
        <v>49</v>
      </c>
      <c r="C192" s="8" t="s">
        <v>300</v>
      </c>
      <c r="D192" s="8" t="s">
        <v>63</v>
      </c>
      <c r="E192" s="8" t="s">
        <v>106</v>
      </c>
      <c r="F192" s="114" t="s">
        <v>524</v>
      </c>
      <c r="G192" s="8">
        <v>1</v>
      </c>
      <c r="H192" s="9">
        <v>46295</v>
      </c>
      <c r="I192" s="8"/>
      <c r="J192" s="9">
        <v>46386</v>
      </c>
      <c r="K192" s="16"/>
      <c r="L192" s="9">
        <v>46264</v>
      </c>
      <c r="M192" s="10" t="s">
        <v>58</v>
      </c>
      <c r="N192" s="10">
        <f ca="1">Tabela3[[#This Row],[Prazo
Entrega]]-TODAY()</f>
        <v>156</v>
      </c>
      <c r="O192" s="8" t="str">
        <f t="shared" ca="1" si="9"/>
        <v>NO PRAZO</v>
      </c>
      <c r="P192" s="8" t="s">
        <v>32</v>
      </c>
      <c r="Q192" s="96" t="s">
        <v>495</v>
      </c>
      <c r="R192" s="96" t="s">
        <v>496</v>
      </c>
      <c r="S192" s="96" t="s">
        <v>231</v>
      </c>
      <c r="T192" s="96" t="s">
        <v>374</v>
      </c>
      <c r="U192" s="96"/>
      <c r="V192" s="8" t="s">
        <v>488</v>
      </c>
      <c r="W192" s="8" t="s">
        <v>526</v>
      </c>
    </row>
    <row r="193" spans="1:23" ht="15" hidden="1" customHeight="1" x14ac:dyDescent="0.25">
      <c r="A193" s="8">
        <v>2358</v>
      </c>
      <c r="B193" s="113">
        <v>50</v>
      </c>
      <c r="C193" s="8" t="s">
        <v>300</v>
      </c>
      <c r="D193" s="8" t="s">
        <v>63</v>
      </c>
      <c r="E193" s="8" t="s">
        <v>106</v>
      </c>
      <c r="F193" s="114" t="s">
        <v>524</v>
      </c>
      <c r="G193" s="8">
        <v>1</v>
      </c>
      <c r="H193" s="9">
        <v>46295</v>
      </c>
      <c r="I193" s="8"/>
      <c r="J193" s="9">
        <v>46386</v>
      </c>
      <c r="K193" s="16"/>
      <c r="L193" s="9">
        <v>46264</v>
      </c>
      <c r="M193" s="10" t="s">
        <v>58</v>
      </c>
      <c r="N193" s="10">
        <f ca="1">Tabela3[[#This Row],[Prazo
Entrega]]-TODAY()</f>
        <v>156</v>
      </c>
      <c r="O193" s="8" t="str">
        <f t="shared" ca="1" si="9"/>
        <v>NO PRAZO</v>
      </c>
      <c r="P193" s="8" t="s">
        <v>32</v>
      </c>
      <c r="Q193" s="96" t="s">
        <v>495</v>
      </c>
      <c r="R193" s="96" t="s">
        <v>496</v>
      </c>
      <c r="S193" s="96" t="s">
        <v>231</v>
      </c>
      <c r="T193" s="96" t="s">
        <v>374</v>
      </c>
      <c r="U193" s="96"/>
      <c r="V193" s="8" t="s">
        <v>488</v>
      </c>
      <c r="W193" s="8" t="s">
        <v>526</v>
      </c>
    </row>
    <row r="194" spans="1:23" ht="15" hidden="1" customHeight="1" x14ac:dyDescent="0.25">
      <c r="A194" s="8">
        <v>2358</v>
      </c>
      <c r="B194" s="113">
        <v>51</v>
      </c>
      <c r="C194" s="8" t="s">
        <v>300</v>
      </c>
      <c r="D194" s="8" t="s">
        <v>63</v>
      </c>
      <c r="E194" s="8" t="s">
        <v>106</v>
      </c>
      <c r="F194" s="114" t="s">
        <v>524</v>
      </c>
      <c r="G194" s="8">
        <v>1</v>
      </c>
      <c r="H194" s="9">
        <v>46295</v>
      </c>
      <c r="I194" s="8"/>
      <c r="J194" s="9">
        <v>46386</v>
      </c>
      <c r="K194" s="16"/>
      <c r="L194" s="9">
        <v>46264</v>
      </c>
      <c r="M194" s="10" t="s">
        <v>58</v>
      </c>
      <c r="N194" s="10">
        <f ca="1">Tabela3[[#This Row],[Prazo
Entrega]]-TODAY()</f>
        <v>156</v>
      </c>
      <c r="O194" s="8" t="str">
        <f t="shared" ca="1" si="9"/>
        <v>NO PRAZO</v>
      </c>
      <c r="P194" s="8" t="s">
        <v>32</v>
      </c>
      <c r="Q194" s="96" t="s">
        <v>495</v>
      </c>
      <c r="R194" s="96" t="s">
        <v>496</v>
      </c>
      <c r="S194" s="96" t="s">
        <v>231</v>
      </c>
      <c r="T194" s="96" t="s">
        <v>374</v>
      </c>
      <c r="U194" s="96"/>
      <c r="V194" s="8" t="s">
        <v>488</v>
      </c>
      <c r="W194" s="8" t="s">
        <v>526</v>
      </c>
    </row>
    <row r="195" spans="1:23" ht="15" hidden="1" customHeight="1" x14ac:dyDescent="0.25">
      <c r="A195" s="8">
        <v>2358</v>
      </c>
      <c r="B195" s="113">
        <v>52</v>
      </c>
      <c r="C195" s="8" t="s">
        <v>300</v>
      </c>
      <c r="D195" s="8" t="s">
        <v>63</v>
      </c>
      <c r="E195" s="8" t="s">
        <v>106</v>
      </c>
      <c r="F195" s="114" t="s">
        <v>524</v>
      </c>
      <c r="G195" s="8">
        <v>1</v>
      </c>
      <c r="H195" s="9">
        <v>46295</v>
      </c>
      <c r="I195" s="8"/>
      <c r="J195" s="9">
        <v>46386</v>
      </c>
      <c r="K195" s="16"/>
      <c r="L195" s="9">
        <v>46264</v>
      </c>
      <c r="M195" s="10" t="s">
        <v>58</v>
      </c>
      <c r="N195" s="10">
        <f ca="1">Tabela3[[#This Row],[Prazo
Entrega]]-TODAY()</f>
        <v>156</v>
      </c>
      <c r="O195" s="8" t="str">
        <f t="shared" ca="1" si="9"/>
        <v>NO PRAZO</v>
      </c>
      <c r="P195" s="8" t="s">
        <v>32</v>
      </c>
      <c r="Q195" s="96" t="s">
        <v>495</v>
      </c>
      <c r="R195" s="96" t="s">
        <v>496</v>
      </c>
      <c r="S195" s="96" t="s">
        <v>231</v>
      </c>
      <c r="T195" s="96" t="s">
        <v>374</v>
      </c>
      <c r="U195" s="96"/>
      <c r="V195" s="8" t="s">
        <v>488</v>
      </c>
      <c r="W195" s="8" t="s">
        <v>526</v>
      </c>
    </row>
    <row r="196" spans="1:23" ht="15" hidden="1" customHeight="1" x14ac:dyDescent="0.25">
      <c r="A196" s="8">
        <v>2358</v>
      </c>
      <c r="B196" s="113">
        <v>53</v>
      </c>
      <c r="C196" s="8" t="s">
        <v>300</v>
      </c>
      <c r="D196" s="8" t="s">
        <v>63</v>
      </c>
      <c r="E196" s="8" t="s">
        <v>106</v>
      </c>
      <c r="F196" s="114" t="s">
        <v>525</v>
      </c>
      <c r="G196" s="8">
        <v>1</v>
      </c>
      <c r="H196" s="9">
        <v>46295</v>
      </c>
      <c r="I196" s="8"/>
      <c r="J196" s="9">
        <v>46386</v>
      </c>
      <c r="K196" s="16"/>
      <c r="L196" s="9">
        <v>46264</v>
      </c>
      <c r="M196" s="10" t="s">
        <v>58</v>
      </c>
      <c r="N196" s="10">
        <f ca="1">Tabela3[[#This Row],[Prazo
Entrega]]-TODAY()</f>
        <v>156</v>
      </c>
      <c r="O196" s="8" t="str">
        <f t="shared" ca="1" si="9"/>
        <v>NO PRAZO</v>
      </c>
      <c r="P196" s="8" t="s">
        <v>32</v>
      </c>
      <c r="Q196" s="96" t="s">
        <v>495</v>
      </c>
      <c r="R196" s="96" t="s">
        <v>496</v>
      </c>
      <c r="S196" s="96" t="s">
        <v>231</v>
      </c>
      <c r="T196" s="96" t="s">
        <v>374</v>
      </c>
      <c r="U196" s="96"/>
      <c r="V196" s="8" t="s">
        <v>488</v>
      </c>
      <c r="W196" s="8" t="s">
        <v>526</v>
      </c>
    </row>
    <row r="197" spans="1:23" ht="15" hidden="1" customHeight="1" x14ac:dyDescent="0.25">
      <c r="A197" s="8">
        <v>2358</v>
      </c>
      <c r="B197" s="113">
        <v>54</v>
      </c>
      <c r="C197" s="8" t="s">
        <v>300</v>
      </c>
      <c r="D197" s="8" t="s">
        <v>63</v>
      </c>
      <c r="E197" s="8" t="s">
        <v>106</v>
      </c>
      <c r="F197" s="114" t="s">
        <v>522</v>
      </c>
      <c r="G197" s="8">
        <v>1</v>
      </c>
      <c r="H197" s="9">
        <v>46295</v>
      </c>
      <c r="I197" s="8"/>
      <c r="J197" s="9">
        <v>46386</v>
      </c>
      <c r="K197" s="16"/>
      <c r="L197" s="9">
        <v>46264</v>
      </c>
      <c r="M197" s="10" t="s">
        <v>58</v>
      </c>
      <c r="N197" s="10">
        <f ca="1">Tabela3[[#This Row],[Prazo
Entrega]]-TODAY()</f>
        <v>156</v>
      </c>
      <c r="O197" s="8" t="str">
        <f t="shared" ca="1" si="9"/>
        <v>NO PRAZO</v>
      </c>
      <c r="P197" s="8" t="s">
        <v>32</v>
      </c>
      <c r="Q197" s="96" t="s">
        <v>495</v>
      </c>
      <c r="R197" s="96" t="s">
        <v>496</v>
      </c>
      <c r="S197" s="96" t="s">
        <v>231</v>
      </c>
      <c r="T197" s="96" t="s">
        <v>374</v>
      </c>
      <c r="U197" s="96"/>
      <c r="V197" s="8" t="s">
        <v>488</v>
      </c>
      <c r="W197" s="8" t="s">
        <v>526</v>
      </c>
    </row>
    <row r="198" spans="1:23" ht="15" hidden="1" customHeight="1" x14ac:dyDescent="0.25">
      <c r="A198" s="8">
        <v>2358</v>
      </c>
      <c r="B198" s="113">
        <v>55</v>
      </c>
      <c r="C198" s="8" t="s">
        <v>300</v>
      </c>
      <c r="D198" s="8" t="s">
        <v>63</v>
      </c>
      <c r="E198" s="8" t="s">
        <v>106</v>
      </c>
      <c r="F198" s="114" t="s">
        <v>523</v>
      </c>
      <c r="G198" s="8">
        <v>1</v>
      </c>
      <c r="H198" s="9">
        <v>46295</v>
      </c>
      <c r="I198" s="8"/>
      <c r="J198" s="9">
        <v>46386</v>
      </c>
      <c r="K198" s="16"/>
      <c r="L198" s="9">
        <v>46264</v>
      </c>
      <c r="M198" s="10" t="s">
        <v>58</v>
      </c>
      <c r="N198" s="10">
        <f ca="1">Tabela3[[#This Row],[Prazo
Entrega]]-TODAY()</f>
        <v>156</v>
      </c>
      <c r="O198" s="8" t="str">
        <f t="shared" ca="1" si="9"/>
        <v>NO PRAZO</v>
      </c>
      <c r="P198" s="8" t="s">
        <v>32</v>
      </c>
      <c r="Q198" s="96" t="s">
        <v>495</v>
      </c>
      <c r="R198" s="96" t="s">
        <v>496</v>
      </c>
      <c r="S198" s="96" t="s">
        <v>231</v>
      </c>
      <c r="T198" s="96" t="s">
        <v>374</v>
      </c>
      <c r="U198" s="96"/>
      <c r="V198" s="8" t="s">
        <v>488</v>
      </c>
      <c r="W198" s="8" t="s">
        <v>526</v>
      </c>
    </row>
    <row r="199" spans="1:23" hidden="1" x14ac:dyDescent="0.25">
      <c r="A199" s="115">
        <v>2367</v>
      </c>
      <c r="B199" s="115">
        <v>1</v>
      </c>
      <c r="C199" s="115" t="s">
        <v>607</v>
      </c>
      <c r="D199" s="8" t="s">
        <v>63</v>
      </c>
      <c r="E199" s="115" t="s">
        <v>604</v>
      </c>
      <c r="F199" s="120" t="s">
        <v>605</v>
      </c>
      <c r="G199" s="115">
        <v>1</v>
      </c>
      <c r="H199" s="116">
        <v>46230</v>
      </c>
      <c r="I199" s="116">
        <v>46230</v>
      </c>
      <c r="J199" s="116">
        <v>46240</v>
      </c>
      <c r="K199" s="16"/>
      <c r="L199" s="116">
        <v>46231</v>
      </c>
      <c r="M199" s="117" t="s">
        <v>58</v>
      </c>
      <c r="N199" s="117">
        <f ca="1">Tabela3[[#This Row],[Prazo
Entrega]]-TODAY()</f>
        <v>10</v>
      </c>
      <c r="O199" s="118" t="str">
        <f ca="1">IF(N199&lt;0,"ATRASADO",IF(N199&lt;=15,"ATENÇÃO","NO PRAZO"))</f>
        <v>ATENÇÃO</v>
      </c>
      <c r="P199" s="8" t="s">
        <v>32</v>
      </c>
      <c r="Q199" s="96" t="s">
        <v>495</v>
      </c>
      <c r="R199" s="96" t="s">
        <v>496</v>
      </c>
      <c r="S199" s="96" t="s">
        <v>231</v>
      </c>
      <c r="T199" s="96" t="s">
        <v>374</v>
      </c>
      <c r="U199" s="119"/>
      <c r="V199" s="8" t="s">
        <v>488</v>
      </c>
      <c r="W199" s="118"/>
    </row>
    <row r="200" spans="1:23" hidden="1" x14ac:dyDescent="0.25">
      <c r="A200" s="115">
        <v>2367</v>
      </c>
      <c r="B200" s="115">
        <v>2</v>
      </c>
      <c r="C200" s="115" t="s">
        <v>607</v>
      </c>
      <c r="D200" s="8" t="s">
        <v>63</v>
      </c>
      <c r="E200" s="115" t="s">
        <v>604</v>
      </c>
      <c r="F200" s="120" t="s">
        <v>605</v>
      </c>
      <c r="G200" s="115">
        <v>1</v>
      </c>
      <c r="H200" s="116">
        <v>46240</v>
      </c>
      <c r="I200" s="116">
        <v>46240</v>
      </c>
      <c r="J200" s="116">
        <v>46240</v>
      </c>
      <c r="K200" s="16"/>
      <c r="L200" s="116">
        <v>46231</v>
      </c>
      <c r="M200" s="117" t="s">
        <v>58</v>
      </c>
      <c r="N200" s="117">
        <f ca="1">Tabela3[[#This Row],[Prazo
Entrega]]-TODAY()</f>
        <v>10</v>
      </c>
      <c r="O200" s="118" t="str">
        <f t="shared" ref="O200:O203" ca="1" si="10">IF(N200&lt;0,"ATRASADO",IF(N200&lt;=15,"ATENÇÃO","NO PRAZO"))</f>
        <v>ATENÇÃO</v>
      </c>
      <c r="P200" s="8" t="s">
        <v>32</v>
      </c>
      <c r="Q200" s="96" t="s">
        <v>495</v>
      </c>
      <c r="R200" s="96" t="s">
        <v>496</v>
      </c>
      <c r="S200" s="96" t="s">
        <v>231</v>
      </c>
      <c r="T200" s="96" t="s">
        <v>374</v>
      </c>
      <c r="U200" s="119"/>
      <c r="V200" s="8" t="s">
        <v>488</v>
      </c>
      <c r="W200" s="118"/>
    </row>
    <row r="201" spans="1:23" hidden="1" x14ac:dyDescent="0.25">
      <c r="A201" s="115">
        <v>2367</v>
      </c>
      <c r="B201" s="115">
        <v>3</v>
      </c>
      <c r="C201" s="115" t="s">
        <v>607</v>
      </c>
      <c r="D201" s="8" t="s">
        <v>63</v>
      </c>
      <c r="E201" s="115" t="s">
        <v>604</v>
      </c>
      <c r="F201" s="120" t="s">
        <v>605</v>
      </c>
      <c r="G201" s="115">
        <v>1</v>
      </c>
      <c r="H201" s="116">
        <v>46240</v>
      </c>
      <c r="I201" s="116">
        <v>46240</v>
      </c>
      <c r="J201" s="116">
        <v>46240</v>
      </c>
      <c r="K201" s="16"/>
      <c r="L201" s="116">
        <v>46231</v>
      </c>
      <c r="M201" s="117" t="s">
        <v>58</v>
      </c>
      <c r="N201" s="117">
        <f ca="1">Tabela3[[#This Row],[Prazo
Entrega]]-TODAY()</f>
        <v>10</v>
      </c>
      <c r="O201" s="118" t="str">
        <f t="shared" ca="1" si="10"/>
        <v>ATENÇÃO</v>
      </c>
      <c r="P201" s="8" t="s">
        <v>32</v>
      </c>
      <c r="Q201" s="96" t="s">
        <v>495</v>
      </c>
      <c r="R201" s="96" t="s">
        <v>496</v>
      </c>
      <c r="S201" s="96" t="s">
        <v>231</v>
      </c>
      <c r="T201" s="96" t="s">
        <v>374</v>
      </c>
      <c r="U201" s="119"/>
      <c r="V201" s="8" t="s">
        <v>488</v>
      </c>
      <c r="W201" s="118"/>
    </row>
    <row r="202" spans="1:23" hidden="1" x14ac:dyDescent="0.25">
      <c r="A202" s="115">
        <v>2367</v>
      </c>
      <c r="B202" s="115">
        <v>4</v>
      </c>
      <c r="C202" s="115" t="s">
        <v>607</v>
      </c>
      <c r="D202" s="8" t="s">
        <v>63</v>
      </c>
      <c r="E202" s="115" t="s">
        <v>604</v>
      </c>
      <c r="F202" s="120" t="s">
        <v>606</v>
      </c>
      <c r="G202" s="115">
        <v>1</v>
      </c>
      <c r="H202" s="116">
        <v>46240</v>
      </c>
      <c r="I202" s="116">
        <v>46240</v>
      </c>
      <c r="J202" s="116">
        <v>46240</v>
      </c>
      <c r="K202" s="16"/>
      <c r="L202" s="116">
        <v>46231</v>
      </c>
      <c r="M202" s="117" t="s">
        <v>58</v>
      </c>
      <c r="N202" s="117">
        <f ca="1">Tabela3[[#This Row],[Prazo
Entrega]]-TODAY()</f>
        <v>10</v>
      </c>
      <c r="O202" s="118" t="str">
        <f t="shared" ca="1" si="10"/>
        <v>ATENÇÃO</v>
      </c>
      <c r="P202" s="8" t="s">
        <v>32</v>
      </c>
      <c r="Q202" s="96" t="s">
        <v>495</v>
      </c>
      <c r="R202" s="96" t="s">
        <v>496</v>
      </c>
      <c r="S202" s="96" t="s">
        <v>231</v>
      </c>
      <c r="T202" s="96" t="s">
        <v>374</v>
      </c>
      <c r="U202" s="119"/>
      <c r="V202" s="8" t="s">
        <v>488</v>
      </c>
      <c r="W202" s="118"/>
    </row>
    <row r="203" spans="1:23" hidden="1" x14ac:dyDescent="0.25">
      <c r="A203" s="115">
        <v>2367</v>
      </c>
      <c r="B203" s="115">
        <v>5</v>
      </c>
      <c r="C203" s="115" t="s">
        <v>607</v>
      </c>
      <c r="D203" s="8" t="s">
        <v>63</v>
      </c>
      <c r="E203" s="115" t="s">
        <v>604</v>
      </c>
      <c r="F203" s="120" t="s">
        <v>606</v>
      </c>
      <c r="G203" s="115">
        <v>1</v>
      </c>
      <c r="H203" s="116">
        <v>46240</v>
      </c>
      <c r="I203" s="116">
        <v>46240</v>
      </c>
      <c r="J203" s="116">
        <v>46240</v>
      </c>
      <c r="K203" s="16"/>
      <c r="L203" s="116">
        <v>46231</v>
      </c>
      <c r="M203" s="117" t="s">
        <v>58</v>
      </c>
      <c r="N203" s="117">
        <f ca="1">Tabela3[[#This Row],[Prazo
Entrega]]-TODAY()</f>
        <v>10</v>
      </c>
      <c r="O203" s="118" t="str">
        <f t="shared" ca="1" si="10"/>
        <v>ATENÇÃO</v>
      </c>
      <c r="P203" s="8" t="s">
        <v>32</v>
      </c>
      <c r="Q203" s="96" t="s">
        <v>495</v>
      </c>
      <c r="R203" s="96" t="s">
        <v>496</v>
      </c>
      <c r="S203" s="96" t="s">
        <v>231</v>
      </c>
      <c r="T203" s="96" t="s">
        <v>374</v>
      </c>
      <c r="U203" s="119"/>
      <c r="V203" s="8" t="s">
        <v>488</v>
      </c>
      <c r="W203" s="118"/>
    </row>
    <row r="204" spans="1:23" x14ac:dyDescent="0.25">
      <c r="A204" s="115">
        <v>2366</v>
      </c>
      <c r="B204" s="115">
        <v>1</v>
      </c>
      <c r="C204" s="115" t="s">
        <v>63</v>
      </c>
      <c r="D204" s="115" t="s">
        <v>63</v>
      </c>
      <c r="E204" s="115" t="s">
        <v>608</v>
      </c>
      <c r="F204" s="121" t="s">
        <v>609</v>
      </c>
      <c r="G204" s="115">
        <v>1</v>
      </c>
      <c r="H204" s="116">
        <v>46230</v>
      </c>
      <c r="I204" s="116">
        <v>46230</v>
      </c>
      <c r="J204" s="116">
        <v>46237</v>
      </c>
      <c r="K204" s="116">
        <v>46237</v>
      </c>
      <c r="L204" s="116">
        <v>46231</v>
      </c>
      <c r="M204" s="117" t="s">
        <v>56</v>
      </c>
      <c r="N204" s="117">
        <f ca="1">Tabela3[[#This Row],[Prazo
Entrega]]-TODAY()</f>
        <v>7</v>
      </c>
      <c r="O204" s="118" t="str">
        <f ca="1">IF(N204&lt;0,"ATRASADO",IF(N204&lt;=15,"ATENÇÃO","NO PRAZO"))</f>
        <v>ATENÇÃO</v>
      </c>
      <c r="P204" s="8" t="s">
        <v>32</v>
      </c>
      <c r="Q204" s="93" t="s">
        <v>495</v>
      </c>
      <c r="R204" s="93" t="s">
        <v>496</v>
      </c>
      <c r="S204" s="93" t="s">
        <v>231</v>
      </c>
      <c r="T204" s="93" t="s">
        <v>374</v>
      </c>
      <c r="U204" s="119"/>
      <c r="V204" s="115" t="s">
        <v>305</v>
      </c>
      <c r="W204" s="118"/>
    </row>
    <row r="205" spans="1:23" x14ac:dyDescent="0.25">
      <c r="A205" s="115">
        <v>2366</v>
      </c>
      <c r="B205" s="115">
        <v>2</v>
      </c>
      <c r="C205" s="115" t="s">
        <v>63</v>
      </c>
      <c r="D205" s="115" t="s">
        <v>63</v>
      </c>
      <c r="E205" s="115" t="s">
        <v>608</v>
      </c>
      <c r="F205" s="121" t="s">
        <v>609</v>
      </c>
      <c r="G205" s="115">
        <v>1</v>
      </c>
      <c r="H205" s="116">
        <v>46230</v>
      </c>
      <c r="I205" s="116">
        <v>46230</v>
      </c>
      <c r="J205" s="116">
        <v>46237</v>
      </c>
      <c r="K205" s="116">
        <v>46237</v>
      </c>
      <c r="L205" s="116">
        <v>46231</v>
      </c>
      <c r="M205" s="117" t="s">
        <v>56</v>
      </c>
      <c r="N205" s="117">
        <f ca="1">Tabela3[[#This Row],[Prazo
Entrega]]-TODAY()</f>
        <v>7</v>
      </c>
      <c r="O205" s="118" t="str">
        <f t="shared" ref="O205:O214" ca="1" si="11">IF(N205&lt;0,"ATRASADO",IF(N205&lt;=15,"ATENÇÃO","NO PRAZO"))</f>
        <v>ATENÇÃO</v>
      </c>
      <c r="P205" s="8" t="s">
        <v>32</v>
      </c>
      <c r="Q205" s="93" t="s">
        <v>495</v>
      </c>
      <c r="R205" s="93" t="s">
        <v>496</v>
      </c>
      <c r="S205" s="93" t="s">
        <v>231</v>
      </c>
      <c r="T205" s="93" t="s">
        <v>374</v>
      </c>
      <c r="U205" s="119"/>
      <c r="V205" s="115" t="s">
        <v>305</v>
      </c>
      <c r="W205" s="118"/>
    </row>
    <row r="206" spans="1:23" x14ac:dyDescent="0.25">
      <c r="A206" s="115">
        <v>2366</v>
      </c>
      <c r="B206" s="115">
        <v>3</v>
      </c>
      <c r="C206" s="115" t="s">
        <v>63</v>
      </c>
      <c r="D206" s="115" t="s">
        <v>63</v>
      </c>
      <c r="E206" s="115" t="s">
        <v>608</v>
      </c>
      <c r="F206" s="121" t="s">
        <v>609</v>
      </c>
      <c r="G206" s="115">
        <v>1</v>
      </c>
      <c r="H206" s="116">
        <v>46230</v>
      </c>
      <c r="I206" s="116">
        <v>46230</v>
      </c>
      <c r="J206" s="116">
        <v>46237</v>
      </c>
      <c r="K206" s="116">
        <v>46237</v>
      </c>
      <c r="L206" s="116">
        <v>46231</v>
      </c>
      <c r="M206" s="117" t="s">
        <v>56</v>
      </c>
      <c r="N206" s="117">
        <f ca="1">Tabela3[[#This Row],[Prazo
Entrega]]-TODAY()</f>
        <v>7</v>
      </c>
      <c r="O206" s="118" t="str">
        <f t="shared" ca="1" si="11"/>
        <v>ATENÇÃO</v>
      </c>
      <c r="P206" s="8" t="s">
        <v>32</v>
      </c>
      <c r="Q206" s="93" t="s">
        <v>495</v>
      </c>
      <c r="R206" s="93" t="s">
        <v>496</v>
      </c>
      <c r="S206" s="93" t="s">
        <v>231</v>
      </c>
      <c r="T206" s="93" t="s">
        <v>374</v>
      </c>
      <c r="U206" s="119"/>
      <c r="V206" s="115" t="s">
        <v>305</v>
      </c>
      <c r="W206" s="118"/>
    </row>
    <row r="207" spans="1:23" x14ac:dyDescent="0.25">
      <c r="A207" s="115">
        <v>2366</v>
      </c>
      <c r="B207" s="115">
        <v>4</v>
      </c>
      <c r="C207" s="115" t="s">
        <v>63</v>
      </c>
      <c r="D207" s="115" t="s">
        <v>63</v>
      </c>
      <c r="E207" s="115" t="s">
        <v>608</v>
      </c>
      <c r="F207" s="121" t="s">
        <v>610</v>
      </c>
      <c r="G207" s="115">
        <v>1</v>
      </c>
      <c r="H207" s="116">
        <v>46230</v>
      </c>
      <c r="I207" s="116">
        <v>46230</v>
      </c>
      <c r="J207" s="116">
        <v>46237</v>
      </c>
      <c r="K207" s="16"/>
      <c r="L207" s="116">
        <v>46231</v>
      </c>
      <c r="M207" s="117" t="s">
        <v>58</v>
      </c>
      <c r="N207" s="117">
        <f ca="1">Tabela3[[#This Row],[Prazo
Entrega]]-TODAY()</f>
        <v>7</v>
      </c>
      <c r="O207" s="118" t="str">
        <f t="shared" ca="1" si="11"/>
        <v>ATENÇÃO</v>
      </c>
      <c r="P207" s="8" t="s">
        <v>32</v>
      </c>
      <c r="Q207" s="96" t="s">
        <v>495</v>
      </c>
      <c r="R207" s="96" t="s">
        <v>496</v>
      </c>
      <c r="S207" s="96" t="s">
        <v>231</v>
      </c>
      <c r="T207" s="96" t="s">
        <v>374</v>
      </c>
      <c r="U207" s="119"/>
      <c r="V207" s="115" t="s">
        <v>202</v>
      </c>
      <c r="W207" s="118"/>
    </row>
    <row r="208" spans="1:23" x14ac:dyDescent="0.25">
      <c r="A208" s="115">
        <v>2366</v>
      </c>
      <c r="B208" s="115">
        <v>5</v>
      </c>
      <c r="C208" s="115" t="s">
        <v>63</v>
      </c>
      <c r="D208" s="115" t="s">
        <v>63</v>
      </c>
      <c r="E208" s="115" t="s">
        <v>608</v>
      </c>
      <c r="F208" s="121" t="s">
        <v>610</v>
      </c>
      <c r="G208" s="115">
        <v>1</v>
      </c>
      <c r="H208" s="116">
        <v>46230</v>
      </c>
      <c r="I208" s="116">
        <v>46230</v>
      </c>
      <c r="J208" s="116">
        <v>46237</v>
      </c>
      <c r="K208" s="16"/>
      <c r="L208" s="116">
        <v>46231</v>
      </c>
      <c r="M208" s="117" t="s">
        <v>58</v>
      </c>
      <c r="N208" s="117">
        <f ca="1">Tabela3[[#This Row],[Prazo
Entrega]]-TODAY()</f>
        <v>7</v>
      </c>
      <c r="O208" s="118" t="str">
        <f t="shared" ca="1" si="11"/>
        <v>ATENÇÃO</v>
      </c>
      <c r="P208" s="8" t="s">
        <v>32</v>
      </c>
      <c r="Q208" s="96" t="s">
        <v>495</v>
      </c>
      <c r="R208" s="96" t="s">
        <v>496</v>
      </c>
      <c r="S208" s="96" t="s">
        <v>231</v>
      </c>
      <c r="T208" s="96" t="s">
        <v>374</v>
      </c>
      <c r="U208" s="119"/>
      <c r="V208" s="115" t="s">
        <v>202</v>
      </c>
      <c r="W208" s="118"/>
    </row>
    <row r="209" spans="1:23" x14ac:dyDescent="0.25">
      <c r="A209" s="115">
        <v>2366</v>
      </c>
      <c r="B209" s="115">
        <v>6</v>
      </c>
      <c r="C209" s="115" t="s">
        <v>63</v>
      </c>
      <c r="D209" s="115" t="s">
        <v>63</v>
      </c>
      <c r="E209" s="115" t="s">
        <v>608</v>
      </c>
      <c r="F209" s="121" t="s">
        <v>610</v>
      </c>
      <c r="G209" s="115">
        <v>1</v>
      </c>
      <c r="H209" s="116">
        <v>46230</v>
      </c>
      <c r="I209" s="116">
        <v>46230</v>
      </c>
      <c r="J209" s="116">
        <v>46237</v>
      </c>
      <c r="K209" s="16"/>
      <c r="L209" s="116">
        <v>46231</v>
      </c>
      <c r="M209" s="117" t="s">
        <v>58</v>
      </c>
      <c r="N209" s="117">
        <f ca="1">Tabela3[[#This Row],[Prazo
Entrega]]-TODAY()</f>
        <v>7</v>
      </c>
      <c r="O209" s="118" t="str">
        <f t="shared" ca="1" si="11"/>
        <v>ATENÇÃO</v>
      </c>
      <c r="P209" s="8" t="s">
        <v>32</v>
      </c>
      <c r="Q209" s="96" t="s">
        <v>495</v>
      </c>
      <c r="R209" s="96" t="s">
        <v>496</v>
      </c>
      <c r="S209" s="96" t="s">
        <v>231</v>
      </c>
      <c r="T209" s="96" t="s">
        <v>374</v>
      </c>
      <c r="U209" s="119"/>
      <c r="V209" s="115" t="s">
        <v>202</v>
      </c>
      <c r="W209" s="118"/>
    </row>
    <row r="210" spans="1:23" x14ac:dyDescent="0.25">
      <c r="A210" s="115">
        <v>2366</v>
      </c>
      <c r="B210" s="115">
        <v>7</v>
      </c>
      <c r="C210" s="115" t="s">
        <v>63</v>
      </c>
      <c r="D210" s="115" t="s">
        <v>63</v>
      </c>
      <c r="E210" s="115" t="s">
        <v>608</v>
      </c>
      <c r="F210" s="121" t="s">
        <v>611</v>
      </c>
      <c r="G210" s="115">
        <v>1</v>
      </c>
      <c r="H210" s="116">
        <v>46230</v>
      </c>
      <c r="I210" s="116">
        <v>46230</v>
      </c>
      <c r="J210" s="116">
        <v>46237</v>
      </c>
      <c r="K210" s="116">
        <v>46237</v>
      </c>
      <c r="L210" s="116">
        <v>46231</v>
      </c>
      <c r="M210" s="117" t="s">
        <v>56</v>
      </c>
      <c r="N210" s="117">
        <f ca="1">Tabela3[[#This Row],[Prazo
Entrega]]-TODAY()</f>
        <v>7</v>
      </c>
      <c r="O210" s="118" t="str">
        <f t="shared" ca="1" si="11"/>
        <v>ATENÇÃO</v>
      </c>
      <c r="P210" s="8" t="s">
        <v>32</v>
      </c>
      <c r="Q210" s="93" t="s">
        <v>495</v>
      </c>
      <c r="R210" s="93" t="s">
        <v>496</v>
      </c>
      <c r="S210" s="93" t="s">
        <v>231</v>
      </c>
      <c r="T210" s="93" t="s">
        <v>374</v>
      </c>
      <c r="U210" s="119"/>
      <c r="V210" s="115" t="s">
        <v>305</v>
      </c>
      <c r="W210" s="118"/>
    </row>
    <row r="211" spans="1:23" x14ac:dyDescent="0.25">
      <c r="A211" s="115">
        <v>2366</v>
      </c>
      <c r="B211" s="115">
        <v>8</v>
      </c>
      <c r="C211" s="115" t="s">
        <v>63</v>
      </c>
      <c r="D211" s="115" t="s">
        <v>63</v>
      </c>
      <c r="E211" s="115" t="s">
        <v>608</v>
      </c>
      <c r="F211" s="121" t="s">
        <v>611</v>
      </c>
      <c r="G211" s="115">
        <v>1</v>
      </c>
      <c r="H211" s="116">
        <v>46230</v>
      </c>
      <c r="I211" s="116">
        <v>46230</v>
      </c>
      <c r="J211" s="116">
        <v>46237</v>
      </c>
      <c r="K211" s="116">
        <v>46237</v>
      </c>
      <c r="L211" s="116">
        <v>46231</v>
      </c>
      <c r="M211" s="117" t="s">
        <v>56</v>
      </c>
      <c r="N211" s="117">
        <f ca="1">Tabela3[[#This Row],[Prazo
Entrega]]-TODAY()</f>
        <v>7</v>
      </c>
      <c r="O211" s="118" t="str">
        <f t="shared" ca="1" si="11"/>
        <v>ATENÇÃO</v>
      </c>
      <c r="P211" s="8" t="s">
        <v>32</v>
      </c>
      <c r="Q211" s="93" t="s">
        <v>495</v>
      </c>
      <c r="R211" s="93" t="s">
        <v>496</v>
      </c>
      <c r="S211" s="93" t="s">
        <v>231</v>
      </c>
      <c r="T211" s="93" t="s">
        <v>374</v>
      </c>
      <c r="U211" s="119"/>
      <c r="V211" s="115" t="s">
        <v>305</v>
      </c>
      <c r="W211" s="118"/>
    </row>
    <row r="212" spans="1:23" x14ac:dyDescent="0.25">
      <c r="A212" s="115">
        <v>2366</v>
      </c>
      <c r="B212" s="115">
        <v>9</v>
      </c>
      <c r="C212" s="115" t="s">
        <v>63</v>
      </c>
      <c r="D212" s="115" t="s">
        <v>63</v>
      </c>
      <c r="E212" s="115" t="s">
        <v>608</v>
      </c>
      <c r="F212" s="121" t="s">
        <v>611</v>
      </c>
      <c r="G212" s="115">
        <v>1</v>
      </c>
      <c r="H212" s="116">
        <v>46230</v>
      </c>
      <c r="I212" s="116">
        <v>46230</v>
      </c>
      <c r="J212" s="116">
        <v>46237</v>
      </c>
      <c r="K212" s="116">
        <v>46237</v>
      </c>
      <c r="L212" s="116">
        <v>46231</v>
      </c>
      <c r="M212" s="117" t="s">
        <v>56</v>
      </c>
      <c r="N212" s="117">
        <f ca="1">Tabela3[[#This Row],[Prazo
Entrega]]-TODAY()</f>
        <v>7</v>
      </c>
      <c r="O212" s="118" t="str">
        <f t="shared" ca="1" si="11"/>
        <v>ATENÇÃO</v>
      </c>
      <c r="P212" s="8" t="s">
        <v>32</v>
      </c>
      <c r="Q212" s="93" t="s">
        <v>495</v>
      </c>
      <c r="R212" s="93" t="s">
        <v>496</v>
      </c>
      <c r="S212" s="93" t="s">
        <v>231</v>
      </c>
      <c r="T212" s="93" t="s">
        <v>374</v>
      </c>
      <c r="U212" s="119"/>
      <c r="V212" s="115" t="s">
        <v>305</v>
      </c>
      <c r="W212" s="118"/>
    </row>
    <row r="213" spans="1:23" x14ac:dyDescent="0.25">
      <c r="A213" s="115">
        <v>2366</v>
      </c>
      <c r="B213" s="115">
        <v>10</v>
      </c>
      <c r="C213" s="115" t="s">
        <v>63</v>
      </c>
      <c r="D213" s="115" t="s">
        <v>63</v>
      </c>
      <c r="E213" s="115" t="s">
        <v>608</v>
      </c>
      <c r="F213" s="121" t="s">
        <v>611</v>
      </c>
      <c r="G213" s="115">
        <v>1</v>
      </c>
      <c r="H213" s="116">
        <v>46230</v>
      </c>
      <c r="I213" s="116">
        <v>46230</v>
      </c>
      <c r="J213" s="116">
        <v>46237</v>
      </c>
      <c r="K213" s="116">
        <v>46237</v>
      </c>
      <c r="L213" s="116">
        <v>46231</v>
      </c>
      <c r="M213" s="117" t="s">
        <v>56</v>
      </c>
      <c r="N213" s="117">
        <f ca="1">Tabela3[[#This Row],[Prazo
Entrega]]-TODAY()</f>
        <v>7</v>
      </c>
      <c r="O213" s="118" t="str">
        <f t="shared" ca="1" si="11"/>
        <v>ATENÇÃO</v>
      </c>
      <c r="P213" s="8" t="s">
        <v>32</v>
      </c>
      <c r="Q213" s="93" t="s">
        <v>495</v>
      </c>
      <c r="R213" s="93" t="s">
        <v>496</v>
      </c>
      <c r="S213" s="93" t="s">
        <v>231</v>
      </c>
      <c r="T213" s="93" t="s">
        <v>374</v>
      </c>
      <c r="U213" s="119"/>
      <c r="V213" s="115" t="s">
        <v>305</v>
      </c>
      <c r="W213" s="118"/>
    </row>
    <row r="214" spans="1:23" x14ac:dyDescent="0.25">
      <c r="A214" s="115">
        <v>2366</v>
      </c>
      <c r="B214" s="115">
        <v>11</v>
      </c>
      <c r="C214" s="115" t="s">
        <v>63</v>
      </c>
      <c r="D214" s="115" t="s">
        <v>63</v>
      </c>
      <c r="E214" s="115" t="s">
        <v>608</v>
      </c>
      <c r="F214" s="121" t="s">
        <v>611</v>
      </c>
      <c r="G214" s="115">
        <v>1</v>
      </c>
      <c r="H214" s="116">
        <v>46230</v>
      </c>
      <c r="I214" s="116">
        <v>46230</v>
      </c>
      <c r="J214" s="116">
        <v>46237</v>
      </c>
      <c r="K214" s="116">
        <v>46237</v>
      </c>
      <c r="L214" s="116">
        <v>46231</v>
      </c>
      <c r="M214" s="117" t="s">
        <v>56</v>
      </c>
      <c r="N214" s="117">
        <f ca="1">Tabela3[[#This Row],[Prazo
Entrega]]-TODAY()</f>
        <v>7</v>
      </c>
      <c r="O214" s="118" t="str">
        <f t="shared" ca="1" si="11"/>
        <v>ATENÇÃO</v>
      </c>
      <c r="P214" s="8" t="s">
        <v>32</v>
      </c>
      <c r="Q214" s="93" t="s">
        <v>495</v>
      </c>
      <c r="R214" s="93" t="s">
        <v>496</v>
      </c>
      <c r="S214" s="93" t="s">
        <v>231</v>
      </c>
      <c r="T214" s="93" t="s">
        <v>374</v>
      </c>
      <c r="U214" s="119"/>
      <c r="V214" s="115" t="s">
        <v>305</v>
      </c>
      <c r="W214" s="118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04F9-2A0E-44E2-9C2E-04E38656FF2C}">
  <dimension ref="A1:Y207"/>
  <sheetViews>
    <sheetView topLeftCell="D26" workbookViewId="0">
      <selection activeCell="H69" sqref="H69"/>
    </sheetView>
  </sheetViews>
  <sheetFormatPr defaultRowHeight="15" x14ac:dyDescent="0.25"/>
  <cols>
    <col min="5" max="5" width="21.28515625" customWidth="1"/>
    <col min="6" max="6" width="33.5703125" bestFit="1" customWidth="1"/>
    <col min="7" max="7" width="7.140625" bestFit="1" customWidth="1"/>
    <col min="8" max="8" width="13.28515625" customWidth="1"/>
    <col min="9" max="9" width="12.7109375" customWidth="1"/>
    <col min="10" max="10" width="12.5703125" customWidth="1"/>
    <col min="11" max="11" width="11.140625" customWidth="1"/>
    <col min="12" max="12" width="7.5703125" bestFit="1" customWidth="1"/>
    <col min="13" max="13" width="12.7109375" customWidth="1"/>
    <col min="14" max="15" width="11.85546875" customWidth="1"/>
    <col min="19" max="19" width="13" bestFit="1" customWidth="1"/>
    <col min="23" max="23" width="10.85546875" bestFit="1" customWidth="1"/>
    <col min="24" max="24" width="17.85546875" customWidth="1"/>
    <col min="25" max="25" width="18.28515625" customWidth="1"/>
  </cols>
  <sheetData>
    <row r="1" spans="1:25" ht="41.25" customHeight="1" x14ac:dyDescent="0.25">
      <c r="A1" t="s">
        <v>92</v>
      </c>
      <c r="B1" t="s">
        <v>1</v>
      </c>
      <c r="C1" s="26" t="s">
        <v>494</v>
      </c>
      <c r="D1" t="s">
        <v>5</v>
      </c>
      <c r="E1" t="s">
        <v>3</v>
      </c>
      <c r="F1" t="s">
        <v>6</v>
      </c>
      <c r="G1" t="s">
        <v>38</v>
      </c>
      <c r="H1" s="26" t="s">
        <v>39</v>
      </c>
      <c r="I1" s="26" t="s">
        <v>40</v>
      </c>
      <c r="J1" s="26" t="s">
        <v>41</v>
      </c>
      <c r="K1" s="26" t="s">
        <v>42</v>
      </c>
      <c r="L1" s="26" t="s">
        <v>70</v>
      </c>
      <c r="M1" s="26" t="s">
        <v>52</v>
      </c>
      <c r="N1" s="26" t="s">
        <v>46</v>
      </c>
      <c r="O1" s="27" t="s">
        <v>84</v>
      </c>
      <c r="P1" s="27" t="s">
        <v>68</v>
      </c>
      <c r="Q1" s="27" t="s">
        <v>234</v>
      </c>
      <c r="R1" s="27" t="s">
        <v>235</v>
      </c>
      <c r="S1" s="27" t="s">
        <v>236</v>
      </c>
      <c r="T1" s="27" t="s">
        <v>237</v>
      </c>
      <c r="U1" s="27" t="s">
        <v>238</v>
      </c>
      <c r="V1" s="27" t="s">
        <v>239</v>
      </c>
      <c r="W1" s="27" t="s">
        <v>240</v>
      </c>
      <c r="X1" s="27" t="s">
        <v>47</v>
      </c>
      <c r="Y1" s="26" t="s">
        <v>59</v>
      </c>
    </row>
    <row r="2" spans="1:25" x14ac:dyDescent="0.25">
      <c r="A2" s="12">
        <v>2233</v>
      </c>
      <c r="B2" s="12">
        <v>1</v>
      </c>
      <c r="C2" s="12">
        <v>250039</v>
      </c>
      <c r="D2" s="12">
        <v>1</v>
      </c>
      <c r="E2" s="6" t="s">
        <v>43</v>
      </c>
      <c r="F2" s="6" t="s">
        <v>44</v>
      </c>
      <c r="G2" s="12">
        <v>1</v>
      </c>
      <c r="H2" s="16">
        <v>46209</v>
      </c>
      <c r="I2" s="28"/>
      <c r="J2" s="16">
        <v>46269</v>
      </c>
      <c r="K2" s="28"/>
      <c r="L2" s="11">
        <f ca="1">Tabela13[[#This Row],[Data Prev.
Entrega]]-TODAY()</f>
        <v>39</v>
      </c>
      <c r="M2" s="11" t="str">
        <f t="shared" ref="M2:M16" ca="1" si="0">IF(L2&lt;0,"ATRASADO",IF(L2&lt;=15,"ATENÇÃO","NO PRAZO"))</f>
        <v>NO PRAZO</v>
      </c>
      <c r="N2" t="s">
        <v>32</v>
      </c>
      <c r="O2" s="29" t="s">
        <v>56</v>
      </c>
      <c r="P2" s="1" t="s">
        <v>56</v>
      </c>
      <c r="Q2" s="1" t="s">
        <v>498</v>
      </c>
      <c r="R2" s="1" t="s">
        <v>500</v>
      </c>
      <c r="S2" s="1" t="s">
        <v>501</v>
      </c>
      <c r="T2" s="1" t="s">
        <v>224</v>
      </c>
      <c r="U2" s="1" t="s">
        <v>499</v>
      </c>
      <c r="V2" s="1" t="s">
        <v>231</v>
      </c>
      <c r="W2" s="1" t="s">
        <v>376</v>
      </c>
      <c r="X2" t="str">
        <f t="shared" ref="X2:X25" si="1">IF(I2="","AG. FUNDIDO",IF(W2="OK","LIBERADA","EM USINAGEM"))</f>
        <v>AG. FUNDIDO</v>
      </c>
    </row>
    <row r="3" spans="1:25" x14ac:dyDescent="0.25">
      <c r="A3" s="12">
        <v>2233</v>
      </c>
      <c r="B3" s="12">
        <v>2</v>
      </c>
      <c r="C3" s="12">
        <v>250040</v>
      </c>
      <c r="D3" s="12">
        <v>1</v>
      </c>
      <c r="E3" s="6" t="s">
        <v>43</v>
      </c>
      <c r="F3" s="6" t="s">
        <v>45</v>
      </c>
      <c r="G3" s="12">
        <v>1</v>
      </c>
      <c r="H3" s="16">
        <v>46209</v>
      </c>
      <c r="I3" s="1"/>
      <c r="J3" s="16">
        <v>46269</v>
      </c>
      <c r="K3" s="28"/>
      <c r="L3" s="11">
        <f ca="1">Tabela13[[#This Row],[Data Prev.
Entrega]]-TODAY()</f>
        <v>39</v>
      </c>
      <c r="M3" s="11" t="str">
        <f t="shared" ca="1" si="0"/>
        <v>NO PRAZO</v>
      </c>
      <c r="N3" t="s">
        <v>32</v>
      </c>
      <c r="O3" s="29" t="s">
        <v>56</v>
      </c>
      <c r="P3" s="1" t="s">
        <v>56</v>
      </c>
      <c r="Q3" s="1" t="s">
        <v>498</v>
      </c>
      <c r="R3" s="1" t="s">
        <v>500</v>
      </c>
      <c r="S3" s="1" t="s">
        <v>501</v>
      </c>
      <c r="T3" s="1" t="s">
        <v>224</v>
      </c>
      <c r="U3" s="1" t="s">
        <v>499</v>
      </c>
      <c r="V3" s="1" t="s">
        <v>231</v>
      </c>
      <c r="W3" s="1" t="s">
        <v>376</v>
      </c>
      <c r="X3" t="str">
        <f t="shared" si="1"/>
        <v>AG. FUNDIDO</v>
      </c>
    </row>
    <row r="4" spans="1:25" x14ac:dyDescent="0.25">
      <c r="A4" s="12">
        <v>2284</v>
      </c>
      <c r="B4" s="12">
        <v>1</v>
      </c>
      <c r="C4" s="12">
        <v>212076</v>
      </c>
      <c r="D4" s="12">
        <v>1</v>
      </c>
      <c r="E4" s="6" t="s">
        <v>33</v>
      </c>
      <c r="F4" s="6" t="s">
        <v>71</v>
      </c>
      <c r="G4" s="12">
        <v>1</v>
      </c>
      <c r="H4" s="16">
        <v>46239</v>
      </c>
      <c r="I4" s="1"/>
      <c r="J4" s="16">
        <v>46239</v>
      </c>
      <c r="K4" s="1"/>
      <c r="L4" s="11">
        <f ca="1">Tabela13[[#This Row],[Data Prev.
Entrega]]-TODAY()</f>
        <v>9</v>
      </c>
      <c r="M4" s="11" t="str">
        <f t="shared" ca="1" si="0"/>
        <v>ATENÇÃO</v>
      </c>
      <c r="N4" t="s">
        <v>69</v>
      </c>
      <c r="O4" s="29" t="s">
        <v>63</v>
      </c>
      <c r="P4" s="8" t="s">
        <v>63</v>
      </c>
      <c r="Q4" s="8" t="s">
        <v>63</v>
      </c>
      <c r="R4" s="8" t="s">
        <v>63</v>
      </c>
      <c r="S4" s="8" t="s">
        <v>63</v>
      </c>
      <c r="T4" s="8" t="s">
        <v>63</v>
      </c>
      <c r="U4" s="8" t="s">
        <v>63</v>
      </c>
      <c r="V4" s="8" t="s">
        <v>63</v>
      </c>
      <c r="W4" s="8" t="s">
        <v>63</v>
      </c>
      <c r="X4" t="str">
        <f t="shared" si="1"/>
        <v>AG. FUNDIDO</v>
      </c>
    </row>
    <row r="5" spans="1:25" x14ac:dyDescent="0.25">
      <c r="A5" s="12">
        <v>2284</v>
      </c>
      <c r="B5" s="12">
        <v>2</v>
      </c>
      <c r="C5" s="12">
        <v>212076</v>
      </c>
      <c r="D5" s="12">
        <v>2</v>
      </c>
      <c r="E5" s="6" t="s">
        <v>33</v>
      </c>
      <c r="F5" s="6" t="s">
        <v>71</v>
      </c>
      <c r="G5" s="12">
        <v>1</v>
      </c>
      <c r="H5" s="16">
        <v>46239</v>
      </c>
      <c r="I5" s="1"/>
      <c r="J5" s="16">
        <v>46239</v>
      </c>
      <c r="K5" s="1"/>
      <c r="L5" s="11">
        <f ca="1">Tabela13[[#This Row],[Data Prev.
Entrega]]-TODAY()</f>
        <v>9</v>
      </c>
      <c r="M5" s="11" t="str">
        <f t="shared" ca="1" si="0"/>
        <v>ATENÇÃO</v>
      </c>
      <c r="N5" t="s">
        <v>69</v>
      </c>
      <c r="O5" s="29" t="s">
        <v>63</v>
      </c>
      <c r="P5" s="8" t="s">
        <v>63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63</v>
      </c>
      <c r="W5" s="8" t="s">
        <v>63</v>
      </c>
      <c r="X5" t="str">
        <f t="shared" si="1"/>
        <v>AG. FUNDIDO</v>
      </c>
    </row>
    <row r="6" spans="1:25" x14ac:dyDescent="0.25">
      <c r="A6" s="12">
        <v>2284</v>
      </c>
      <c r="B6" s="12">
        <v>3</v>
      </c>
      <c r="C6" s="12">
        <v>212076</v>
      </c>
      <c r="D6" s="12">
        <v>3</v>
      </c>
      <c r="E6" s="6" t="s">
        <v>33</v>
      </c>
      <c r="F6" s="6" t="s">
        <v>71</v>
      </c>
      <c r="G6" s="12">
        <v>1</v>
      </c>
      <c r="H6" s="16">
        <v>46239</v>
      </c>
      <c r="I6" s="1"/>
      <c r="J6" s="16">
        <v>46239</v>
      </c>
      <c r="K6" s="1"/>
      <c r="L6" s="11">
        <f ca="1">Tabela13[[#This Row],[Data Prev.
Entrega]]-TODAY()</f>
        <v>9</v>
      </c>
      <c r="M6" s="11" t="str">
        <f t="shared" ca="1" si="0"/>
        <v>ATENÇÃO</v>
      </c>
      <c r="N6" t="s">
        <v>69</v>
      </c>
      <c r="O6" s="29" t="s">
        <v>63</v>
      </c>
      <c r="P6" s="8" t="s">
        <v>63</v>
      </c>
      <c r="Q6" s="8" t="s">
        <v>63</v>
      </c>
      <c r="R6" s="8" t="s">
        <v>63</v>
      </c>
      <c r="S6" s="8" t="s">
        <v>63</v>
      </c>
      <c r="T6" s="8" t="s">
        <v>63</v>
      </c>
      <c r="U6" s="8" t="s">
        <v>63</v>
      </c>
      <c r="V6" s="8" t="s">
        <v>63</v>
      </c>
      <c r="W6" s="8" t="s">
        <v>63</v>
      </c>
      <c r="X6" t="str">
        <f t="shared" si="1"/>
        <v>AG. FUNDIDO</v>
      </c>
    </row>
    <row r="7" spans="1:25" x14ac:dyDescent="0.25">
      <c r="A7" s="12">
        <v>2284</v>
      </c>
      <c r="B7" s="12">
        <v>4</v>
      </c>
      <c r="C7" s="12">
        <v>212077</v>
      </c>
      <c r="D7" s="12">
        <v>1</v>
      </c>
      <c r="E7" s="6" t="s">
        <v>33</v>
      </c>
      <c r="F7" s="6" t="s">
        <v>71</v>
      </c>
      <c r="G7" s="12">
        <v>1</v>
      </c>
      <c r="H7" s="16">
        <v>46295</v>
      </c>
      <c r="I7" s="1"/>
      <c r="J7" s="16">
        <v>46295</v>
      </c>
      <c r="K7" s="1"/>
      <c r="L7" s="11">
        <f ca="1">Tabela13[[#This Row],[Data Prev.
Entrega]]-TODAY()</f>
        <v>65</v>
      </c>
      <c r="M7" s="11" t="str">
        <f t="shared" ca="1" si="0"/>
        <v>NO PRAZO</v>
      </c>
      <c r="N7" t="s">
        <v>69</v>
      </c>
      <c r="O7" s="29" t="s">
        <v>63</v>
      </c>
      <c r="P7" s="8" t="s">
        <v>63</v>
      </c>
      <c r="Q7" s="8" t="s">
        <v>63</v>
      </c>
      <c r="R7" s="8" t="s">
        <v>63</v>
      </c>
      <c r="S7" s="8" t="s">
        <v>63</v>
      </c>
      <c r="T7" s="8" t="s">
        <v>63</v>
      </c>
      <c r="U7" s="8" t="s">
        <v>63</v>
      </c>
      <c r="V7" s="8" t="s">
        <v>63</v>
      </c>
      <c r="W7" s="8" t="s">
        <v>63</v>
      </c>
      <c r="X7" t="str">
        <f t="shared" si="1"/>
        <v>AG. FUNDIDO</v>
      </c>
    </row>
    <row r="8" spans="1:25" x14ac:dyDescent="0.25">
      <c r="A8" s="12">
        <v>2284</v>
      </c>
      <c r="B8" s="12">
        <v>5</v>
      </c>
      <c r="C8" s="12">
        <v>212078</v>
      </c>
      <c r="D8" s="12">
        <v>1</v>
      </c>
      <c r="E8" s="6" t="s">
        <v>33</v>
      </c>
      <c r="F8" s="6" t="s">
        <v>71</v>
      </c>
      <c r="G8" s="12">
        <v>1</v>
      </c>
      <c r="H8" s="16">
        <v>46239</v>
      </c>
      <c r="I8" s="1"/>
      <c r="J8" s="16">
        <v>46239</v>
      </c>
      <c r="K8" s="1"/>
      <c r="L8" s="11">
        <f ca="1">Tabela13[[#This Row],[Data Prev.
Entrega]]-TODAY()</f>
        <v>9</v>
      </c>
      <c r="M8" s="11" t="str">
        <f t="shared" ca="1" si="0"/>
        <v>ATENÇÃO</v>
      </c>
      <c r="N8" t="s">
        <v>69</v>
      </c>
      <c r="O8" s="29" t="s">
        <v>63</v>
      </c>
      <c r="P8" s="8" t="s">
        <v>63</v>
      </c>
      <c r="Q8" s="8" t="s">
        <v>63</v>
      </c>
      <c r="R8" s="8" t="s">
        <v>63</v>
      </c>
      <c r="S8" s="8" t="s">
        <v>63</v>
      </c>
      <c r="T8" s="8" t="s">
        <v>63</v>
      </c>
      <c r="U8" s="8" t="s">
        <v>63</v>
      </c>
      <c r="V8" s="8" t="s">
        <v>63</v>
      </c>
      <c r="W8" s="8" t="s">
        <v>63</v>
      </c>
      <c r="X8" t="str">
        <f t="shared" si="1"/>
        <v>AG. FUNDIDO</v>
      </c>
    </row>
    <row r="9" spans="1:25" x14ac:dyDescent="0.25">
      <c r="A9" s="12">
        <v>2284</v>
      </c>
      <c r="B9" s="12">
        <v>6</v>
      </c>
      <c r="C9" s="12">
        <v>212079</v>
      </c>
      <c r="D9" s="12">
        <v>1</v>
      </c>
      <c r="E9" s="6" t="s">
        <v>33</v>
      </c>
      <c r="F9" s="6" t="s">
        <v>71</v>
      </c>
      <c r="G9" s="12">
        <v>1</v>
      </c>
      <c r="H9" s="16">
        <v>46266</v>
      </c>
      <c r="I9" s="1"/>
      <c r="J9" s="16">
        <v>46266</v>
      </c>
      <c r="K9" s="1"/>
      <c r="L9" s="11">
        <f ca="1">Tabela13[[#This Row],[Data Prev.
Entrega]]-TODAY()</f>
        <v>36</v>
      </c>
      <c r="M9" s="11" t="str">
        <f t="shared" ca="1" si="0"/>
        <v>NO PRAZO</v>
      </c>
      <c r="N9" t="s">
        <v>69</v>
      </c>
      <c r="O9" s="29" t="s">
        <v>63</v>
      </c>
      <c r="P9" s="8" t="s">
        <v>63</v>
      </c>
      <c r="Q9" s="8" t="s">
        <v>63</v>
      </c>
      <c r="R9" s="8" t="s">
        <v>63</v>
      </c>
      <c r="S9" s="8" t="s">
        <v>63</v>
      </c>
      <c r="T9" s="8" t="s">
        <v>63</v>
      </c>
      <c r="U9" s="8" t="s">
        <v>63</v>
      </c>
      <c r="V9" s="8" t="s">
        <v>63</v>
      </c>
      <c r="W9" s="8" t="s">
        <v>63</v>
      </c>
      <c r="X9" t="str">
        <f t="shared" si="1"/>
        <v>AG. FUNDIDO</v>
      </c>
    </row>
    <row r="10" spans="1:25" x14ac:dyDescent="0.25">
      <c r="A10" s="12">
        <v>2284</v>
      </c>
      <c r="B10" s="12">
        <v>7</v>
      </c>
      <c r="C10" s="12">
        <v>212078</v>
      </c>
      <c r="D10" s="12">
        <v>2</v>
      </c>
      <c r="E10" s="6" t="s">
        <v>33</v>
      </c>
      <c r="F10" s="6" t="s">
        <v>71</v>
      </c>
      <c r="G10" s="12">
        <v>1</v>
      </c>
      <c r="H10" s="16">
        <v>46266</v>
      </c>
      <c r="I10" s="1"/>
      <c r="J10" s="16">
        <v>46266</v>
      </c>
      <c r="K10" s="1"/>
      <c r="L10" s="11">
        <f ca="1">Tabela13[[#This Row],[Data Prev.
Entrega]]-TODAY()</f>
        <v>36</v>
      </c>
      <c r="M10" s="11" t="str">
        <f t="shared" ca="1" si="0"/>
        <v>NO PRAZO</v>
      </c>
      <c r="N10" t="s">
        <v>69</v>
      </c>
      <c r="O10" s="29" t="s">
        <v>63</v>
      </c>
      <c r="P10" s="8" t="s">
        <v>63</v>
      </c>
      <c r="Q10" s="8" t="s">
        <v>63</v>
      </c>
      <c r="R10" s="8" t="s">
        <v>63</v>
      </c>
      <c r="S10" s="8" t="s">
        <v>63</v>
      </c>
      <c r="T10" s="8" t="s">
        <v>63</v>
      </c>
      <c r="U10" s="8" t="s">
        <v>63</v>
      </c>
      <c r="V10" s="8" t="s">
        <v>63</v>
      </c>
      <c r="W10" s="8" t="s">
        <v>63</v>
      </c>
      <c r="X10" t="str">
        <f t="shared" si="1"/>
        <v>AG. FUNDIDO</v>
      </c>
    </row>
    <row r="11" spans="1:25" x14ac:dyDescent="0.25">
      <c r="A11" s="12">
        <v>2284</v>
      </c>
      <c r="B11" s="12">
        <v>8</v>
      </c>
      <c r="C11" s="12">
        <v>212080</v>
      </c>
      <c r="D11" s="12">
        <v>1</v>
      </c>
      <c r="E11" s="6" t="s">
        <v>33</v>
      </c>
      <c r="F11" s="6" t="s">
        <v>71</v>
      </c>
      <c r="G11" s="12">
        <v>1</v>
      </c>
      <c r="H11" s="16">
        <v>46266</v>
      </c>
      <c r="I11" s="1"/>
      <c r="J11" s="16">
        <v>46266</v>
      </c>
      <c r="K11" s="1"/>
      <c r="L11" s="11">
        <f ca="1">Tabela13[[#This Row],[Data Prev.
Entrega]]-TODAY()</f>
        <v>36</v>
      </c>
      <c r="M11" s="11" t="str">
        <f t="shared" ca="1" si="0"/>
        <v>NO PRAZO</v>
      </c>
      <c r="N11" t="s">
        <v>69</v>
      </c>
      <c r="O11" s="29" t="s">
        <v>63</v>
      </c>
      <c r="P11" s="8" t="s">
        <v>63</v>
      </c>
      <c r="Q11" s="8" t="s">
        <v>63</v>
      </c>
      <c r="R11" s="8" t="s">
        <v>63</v>
      </c>
      <c r="S11" s="8" t="s">
        <v>63</v>
      </c>
      <c r="T11" s="8" t="s">
        <v>63</v>
      </c>
      <c r="U11" s="8" t="s">
        <v>63</v>
      </c>
      <c r="V11" s="8" t="s">
        <v>63</v>
      </c>
      <c r="W11" s="8" t="s">
        <v>63</v>
      </c>
      <c r="X11" t="str">
        <f t="shared" si="1"/>
        <v>AG. FUNDIDO</v>
      </c>
    </row>
    <row r="12" spans="1:25" x14ac:dyDescent="0.25">
      <c r="A12" s="12">
        <v>2284</v>
      </c>
      <c r="B12" s="12">
        <v>9</v>
      </c>
      <c r="C12" s="12">
        <v>212080</v>
      </c>
      <c r="D12" s="12">
        <v>2</v>
      </c>
      <c r="E12" s="6" t="s">
        <v>33</v>
      </c>
      <c r="F12" s="6" t="s">
        <v>71</v>
      </c>
      <c r="G12" s="12">
        <v>1</v>
      </c>
      <c r="H12" s="16">
        <v>46266</v>
      </c>
      <c r="I12" s="1"/>
      <c r="J12" s="16">
        <v>46266</v>
      </c>
      <c r="K12" s="1"/>
      <c r="L12" s="11">
        <f ca="1">Tabela13[[#This Row],[Data Prev.
Entrega]]-TODAY()</f>
        <v>36</v>
      </c>
      <c r="M12" s="11" t="str">
        <f t="shared" ca="1" si="0"/>
        <v>NO PRAZO</v>
      </c>
      <c r="N12" t="s">
        <v>69</v>
      </c>
      <c r="O12" s="29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t="str">
        <f t="shared" si="1"/>
        <v>AG. FUNDIDO</v>
      </c>
    </row>
    <row r="13" spans="1:25" x14ac:dyDescent="0.25">
      <c r="A13" s="12">
        <v>2284</v>
      </c>
      <c r="B13" s="12">
        <v>10</v>
      </c>
      <c r="C13" s="12">
        <v>212080</v>
      </c>
      <c r="D13" s="12">
        <v>3</v>
      </c>
      <c r="E13" s="6" t="s">
        <v>33</v>
      </c>
      <c r="F13" s="6" t="s">
        <v>71</v>
      </c>
      <c r="G13" s="12">
        <v>1</v>
      </c>
      <c r="H13" s="16">
        <v>46266</v>
      </c>
      <c r="I13" s="1"/>
      <c r="J13" s="16">
        <v>46266</v>
      </c>
      <c r="K13" s="1"/>
      <c r="L13" s="11">
        <f ca="1">Tabela13[[#This Row],[Data Prev.
Entrega]]-TODAY()</f>
        <v>36</v>
      </c>
      <c r="M13" s="11" t="str">
        <f t="shared" ca="1" si="0"/>
        <v>NO PRAZO</v>
      </c>
      <c r="N13" t="s">
        <v>69</v>
      </c>
      <c r="O13" s="29" t="s">
        <v>63</v>
      </c>
      <c r="P13" s="8" t="s">
        <v>63</v>
      </c>
      <c r="Q13" s="8" t="s">
        <v>63</v>
      </c>
      <c r="R13" s="8" t="s">
        <v>63</v>
      </c>
      <c r="S13" s="8" t="s">
        <v>63</v>
      </c>
      <c r="T13" s="8" t="s">
        <v>63</v>
      </c>
      <c r="U13" s="8" t="s">
        <v>63</v>
      </c>
      <c r="V13" s="8" t="s">
        <v>63</v>
      </c>
      <c r="W13" s="8" t="s">
        <v>63</v>
      </c>
      <c r="X13" t="str">
        <f t="shared" si="1"/>
        <v>AG. FUNDIDO</v>
      </c>
    </row>
    <row r="14" spans="1:25" x14ac:dyDescent="0.25">
      <c r="A14" s="12">
        <v>2284</v>
      </c>
      <c r="B14" s="12">
        <v>11</v>
      </c>
      <c r="C14" s="12">
        <v>212080</v>
      </c>
      <c r="D14" s="12">
        <v>4</v>
      </c>
      <c r="E14" s="6" t="s">
        <v>33</v>
      </c>
      <c r="F14" s="6" t="s">
        <v>71</v>
      </c>
      <c r="G14" s="12">
        <v>1</v>
      </c>
      <c r="H14" s="16">
        <v>46295</v>
      </c>
      <c r="I14" s="1"/>
      <c r="J14" s="16">
        <v>46295</v>
      </c>
      <c r="K14" s="1"/>
      <c r="L14" s="11">
        <f ca="1">Tabela13[[#This Row],[Data Prev.
Entrega]]-TODAY()</f>
        <v>65</v>
      </c>
      <c r="M14" s="11" t="str">
        <f t="shared" ca="1" si="0"/>
        <v>NO PRAZO</v>
      </c>
      <c r="N14" t="s">
        <v>69</v>
      </c>
      <c r="O14" s="29" t="s">
        <v>63</v>
      </c>
      <c r="P14" s="8" t="s">
        <v>63</v>
      </c>
      <c r="Q14" s="8" t="s">
        <v>63</v>
      </c>
      <c r="R14" s="8" t="s">
        <v>63</v>
      </c>
      <c r="S14" s="8" t="s">
        <v>63</v>
      </c>
      <c r="T14" s="8" t="s">
        <v>63</v>
      </c>
      <c r="U14" s="8" t="s">
        <v>63</v>
      </c>
      <c r="V14" s="8" t="s">
        <v>63</v>
      </c>
      <c r="W14" s="8" t="s">
        <v>63</v>
      </c>
      <c r="X14" t="str">
        <f t="shared" si="1"/>
        <v>AG. FUNDIDO</v>
      </c>
    </row>
    <row r="15" spans="1:25" x14ac:dyDescent="0.25">
      <c r="A15" s="12">
        <v>2284</v>
      </c>
      <c r="B15" s="12">
        <v>12</v>
      </c>
      <c r="C15" s="12">
        <v>212080</v>
      </c>
      <c r="D15" s="12">
        <v>5</v>
      </c>
      <c r="E15" s="6" t="s">
        <v>33</v>
      </c>
      <c r="F15" s="6" t="s">
        <v>71</v>
      </c>
      <c r="G15" s="12">
        <v>1</v>
      </c>
      <c r="H15" s="16">
        <v>46295</v>
      </c>
      <c r="I15" s="1"/>
      <c r="J15" s="16">
        <v>46295</v>
      </c>
      <c r="K15" s="1"/>
      <c r="L15" s="11">
        <f ca="1">Tabela13[[#This Row],[Data Prev.
Entrega]]-TODAY()</f>
        <v>65</v>
      </c>
      <c r="M15" s="11" t="str">
        <f t="shared" ca="1" si="0"/>
        <v>NO PRAZO</v>
      </c>
      <c r="N15" t="s">
        <v>69</v>
      </c>
      <c r="O15" s="29" t="s">
        <v>63</v>
      </c>
      <c r="P15" s="8" t="s">
        <v>63</v>
      </c>
      <c r="Q15" s="8" t="s">
        <v>63</v>
      </c>
      <c r="R15" s="8" t="s">
        <v>63</v>
      </c>
      <c r="S15" s="8" t="s">
        <v>63</v>
      </c>
      <c r="T15" s="8" t="s">
        <v>63</v>
      </c>
      <c r="U15" s="8" t="s">
        <v>63</v>
      </c>
      <c r="V15" s="8" t="s">
        <v>63</v>
      </c>
      <c r="W15" s="8" t="s">
        <v>63</v>
      </c>
      <c r="X15" t="str">
        <f t="shared" si="1"/>
        <v>AG. FUNDIDO</v>
      </c>
    </row>
    <row r="16" spans="1:25" x14ac:dyDescent="0.25">
      <c r="A16" s="12">
        <v>2284</v>
      </c>
      <c r="B16" s="12">
        <v>13</v>
      </c>
      <c r="C16" s="12">
        <v>212080</v>
      </c>
      <c r="D16" s="12">
        <v>6</v>
      </c>
      <c r="E16" s="6" t="s">
        <v>33</v>
      </c>
      <c r="F16" s="6" t="s">
        <v>71</v>
      </c>
      <c r="G16" s="12">
        <v>1</v>
      </c>
      <c r="H16" s="16">
        <v>46295</v>
      </c>
      <c r="I16" s="1"/>
      <c r="J16" s="16">
        <v>46295</v>
      </c>
      <c r="K16" s="1"/>
      <c r="L16" s="11">
        <f ca="1">Tabela13[[#This Row],[Data Prev.
Entrega]]-TODAY()</f>
        <v>65</v>
      </c>
      <c r="M16" s="11" t="str">
        <f t="shared" ca="1" si="0"/>
        <v>NO PRAZO</v>
      </c>
      <c r="N16" t="s">
        <v>69</v>
      </c>
      <c r="O16" s="29" t="s">
        <v>63</v>
      </c>
      <c r="P16" s="8" t="s">
        <v>63</v>
      </c>
      <c r="Q16" s="8" t="s">
        <v>63</v>
      </c>
      <c r="R16" s="8" t="s">
        <v>63</v>
      </c>
      <c r="S16" s="8" t="s">
        <v>63</v>
      </c>
      <c r="T16" s="8" t="s">
        <v>63</v>
      </c>
      <c r="U16" s="8" t="s">
        <v>63</v>
      </c>
      <c r="V16" s="8" t="s">
        <v>63</v>
      </c>
      <c r="W16" s="8" t="s">
        <v>63</v>
      </c>
      <c r="X16" t="str">
        <f t="shared" si="1"/>
        <v>AG. FUNDIDO</v>
      </c>
    </row>
    <row r="17" spans="1:24" x14ac:dyDescent="0.25">
      <c r="A17" s="12">
        <v>2320</v>
      </c>
      <c r="B17" s="12">
        <v>1</v>
      </c>
      <c r="C17" s="12">
        <v>1127009</v>
      </c>
      <c r="D17" s="12">
        <v>1</v>
      </c>
      <c r="E17" s="6" t="s">
        <v>78</v>
      </c>
      <c r="F17" s="6" t="s">
        <v>79</v>
      </c>
      <c r="G17" s="12">
        <v>1</v>
      </c>
      <c r="H17" s="16">
        <v>46249</v>
      </c>
      <c r="I17" s="1"/>
      <c r="J17" s="16">
        <v>46280</v>
      </c>
      <c r="K17" s="28"/>
      <c r="L17" s="11">
        <f ca="1">Tabela13[[#This Row],[Data Prev.
Entrega]]-TODAY()</f>
        <v>50</v>
      </c>
      <c r="M17" s="11" t="str">
        <f ca="1">IF(L17&lt;0,"ATRASADO",IF(L17&lt;=15,"ATENÇÃO","NO PRAZO"))</f>
        <v>NO PRAZO</v>
      </c>
      <c r="N17" t="s">
        <v>32</v>
      </c>
      <c r="O17" s="29">
        <f>Tabela13[[#This Row],[Data Prev.
Fundido]]-10</f>
        <v>46239</v>
      </c>
      <c r="P17" s="1" t="s">
        <v>58</v>
      </c>
      <c r="Q17" s="1" t="s">
        <v>498</v>
      </c>
      <c r="R17" s="1" t="s">
        <v>500</v>
      </c>
      <c r="S17" s="1" t="s">
        <v>501</v>
      </c>
      <c r="T17" s="1" t="s">
        <v>224</v>
      </c>
      <c r="U17" s="1" t="s">
        <v>499</v>
      </c>
      <c r="V17" s="1" t="s">
        <v>231</v>
      </c>
      <c r="W17" s="1" t="s">
        <v>376</v>
      </c>
      <c r="X17" t="str">
        <f t="shared" si="1"/>
        <v>AG. FUNDIDO</v>
      </c>
    </row>
    <row r="18" spans="1:24" x14ac:dyDescent="0.25">
      <c r="A18" s="12">
        <v>2320</v>
      </c>
      <c r="B18" s="12">
        <v>2</v>
      </c>
      <c r="C18" s="12">
        <v>1127003</v>
      </c>
      <c r="D18" s="12">
        <v>11</v>
      </c>
      <c r="E18" s="6" t="s">
        <v>78</v>
      </c>
      <c r="F18" s="6" t="s">
        <v>80</v>
      </c>
      <c r="G18" s="12">
        <v>1</v>
      </c>
      <c r="H18" s="16">
        <v>46249</v>
      </c>
      <c r="I18" s="1"/>
      <c r="J18" s="16">
        <v>46280</v>
      </c>
      <c r="K18" s="28"/>
      <c r="L18" s="11">
        <f ca="1">Tabela13[[#This Row],[Data Prev.
Entrega]]-TODAY()</f>
        <v>50</v>
      </c>
      <c r="M18" s="11" t="str">
        <f t="shared" ref="M18:M25" ca="1" si="2">IF(L18&lt;0,"ATRASADO",IF(L18&lt;=15,"ATENÇÃO","NO PRAZO"))</f>
        <v>NO PRAZO</v>
      </c>
      <c r="N18" t="s">
        <v>32</v>
      </c>
      <c r="O18" s="29">
        <f>Tabela13[[#This Row],[Data Prev.
Fundido]]-10</f>
        <v>46239</v>
      </c>
      <c r="P18" s="1" t="s">
        <v>58</v>
      </c>
      <c r="Q18" s="1" t="s">
        <v>498</v>
      </c>
      <c r="R18" s="1" t="s">
        <v>500</v>
      </c>
      <c r="S18" s="1" t="s">
        <v>501</v>
      </c>
      <c r="T18" s="1" t="s">
        <v>224</v>
      </c>
      <c r="U18" s="1" t="s">
        <v>499</v>
      </c>
      <c r="V18" s="1" t="s">
        <v>231</v>
      </c>
      <c r="W18" s="1" t="s">
        <v>376</v>
      </c>
      <c r="X18" t="str">
        <f t="shared" si="1"/>
        <v>AG. FUNDIDO</v>
      </c>
    </row>
    <row r="19" spans="1:24" x14ac:dyDescent="0.25">
      <c r="A19" s="12">
        <v>2320</v>
      </c>
      <c r="B19" s="12">
        <v>3</v>
      </c>
      <c r="C19" s="12">
        <v>1127003</v>
      </c>
      <c r="D19" s="12">
        <v>12</v>
      </c>
      <c r="E19" s="6" t="s">
        <v>78</v>
      </c>
      <c r="F19" s="6" t="s">
        <v>81</v>
      </c>
      <c r="G19" s="12">
        <v>1</v>
      </c>
      <c r="H19" s="16">
        <v>46249</v>
      </c>
      <c r="I19" s="1"/>
      <c r="J19" s="16">
        <v>46280</v>
      </c>
      <c r="K19" s="28"/>
      <c r="L19" s="11">
        <f ca="1">Tabela13[[#This Row],[Data Prev.
Entrega]]-TODAY()</f>
        <v>50</v>
      </c>
      <c r="M19" s="11" t="str">
        <f t="shared" ca="1" si="2"/>
        <v>NO PRAZO</v>
      </c>
      <c r="N19" t="s">
        <v>32</v>
      </c>
      <c r="O19" s="29">
        <f>Tabela13[[#This Row],[Data Prev.
Fundido]]-10</f>
        <v>46239</v>
      </c>
      <c r="P19" s="1" t="s">
        <v>58</v>
      </c>
      <c r="Q19" s="1" t="s">
        <v>498</v>
      </c>
      <c r="R19" s="1" t="s">
        <v>500</v>
      </c>
      <c r="S19" s="1" t="s">
        <v>501</v>
      </c>
      <c r="T19" s="1" t="s">
        <v>224</v>
      </c>
      <c r="U19" s="1" t="s">
        <v>499</v>
      </c>
      <c r="V19" s="1" t="s">
        <v>231</v>
      </c>
      <c r="W19" s="1" t="s">
        <v>376</v>
      </c>
      <c r="X19" t="str">
        <f t="shared" si="1"/>
        <v>AG. FUNDIDO</v>
      </c>
    </row>
    <row r="20" spans="1:24" x14ac:dyDescent="0.25">
      <c r="A20" s="12">
        <v>2320</v>
      </c>
      <c r="B20" s="12">
        <v>4</v>
      </c>
      <c r="C20" s="12">
        <v>1127003</v>
      </c>
      <c r="D20" s="12">
        <v>13</v>
      </c>
      <c r="E20" s="6" t="s">
        <v>78</v>
      </c>
      <c r="F20" s="6" t="s">
        <v>81</v>
      </c>
      <c r="G20" s="12">
        <v>1</v>
      </c>
      <c r="H20" s="16">
        <v>46249</v>
      </c>
      <c r="I20" s="1"/>
      <c r="J20" s="16">
        <v>46280</v>
      </c>
      <c r="K20" s="28"/>
      <c r="L20" s="11">
        <f ca="1">Tabela13[[#This Row],[Data Prev.
Entrega]]-TODAY()</f>
        <v>50</v>
      </c>
      <c r="M20" s="11" t="str">
        <f t="shared" ca="1" si="2"/>
        <v>NO PRAZO</v>
      </c>
      <c r="N20" t="s">
        <v>32</v>
      </c>
      <c r="O20" s="29">
        <f>Tabela13[[#This Row],[Data Prev.
Fundido]]-10</f>
        <v>46239</v>
      </c>
      <c r="P20" s="1" t="s">
        <v>58</v>
      </c>
      <c r="Q20" s="1" t="s">
        <v>498</v>
      </c>
      <c r="R20" s="1" t="s">
        <v>500</v>
      </c>
      <c r="S20" s="1" t="s">
        <v>501</v>
      </c>
      <c r="T20" s="1" t="s">
        <v>224</v>
      </c>
      <c r="U20" s="1" t="s">
        <v>499</v>
      </c>
      <c r="V20" s="1" t="s">
        <v>231</v>
      </c>
      <c r="W20" s="1" t="s">
        <v>376</v>
      </c>
      <c r="X20" t="str">
        <f t="shared" si="1"/>
        <v>AG. FUNDIDO</v>
      </c>
    </row>
    <row r="21" spans="1:24" x14ac:dyDescent="0.25">
      <c r="A21" s="12">
        <v>2320</v>
      </c>
      <c r="B21" s="12">
        <v>5</v>
      </c>
      <c r="C21" s="12">
        <v>1127005</v>
      </c>
      <c r="D21" s="12">
        <v>12</v>
      </c>
      <c r="E21" s="6" t="s">
        <v>78</v>
      </c>
      <c r="F21" s="6" t="s">
        <v>81</v>
      </c>
      <c r="G21" s="12">
        <v>1</v>
      </c>
      <c r="H21" s="16">
        <v>46249</v>
      </c>
      <c r="I21" s="1"/>
      <c r="J21" s="16">
        <v>46280</v>
      </c>
      <c r="K21" s="28"/>
      <c r="L21" s="11">
        <f ca="1">Tabela13[[#This Row],[Data Prev.
Entrega]]-TODAY()</f>
        <v>50</v>
      </c>
      <c r="M21" s="11" t="str">
        <f t="shared" ca="1" si="2"/>
        <v>NO PRAZO</v>
      </c>
      <c r="N21" t="s">
        <v>32</v>
      </c>
      <c r="O21" s="29">
        <f>Tabela13[[#This Row],[Data Prev.
Fundido]]-10</f>
        <v>46239</v>
      </c>
      <c r="P21" s="1" t="s">
        <v>58</v>
      </c>
      <c r="Q21" s="1" t="s">
        <v>498</v>
      </c>
      <c r="R21" s="1" t="s">
        <v>500</v>
      </c>
      <c r="S21" s="1" t="s">
        <v>501</v>
      </c>
      <c r="T21" s="1" t="s">
        <v>224</v>
      </c>
      <c r="U21" s="1" t="s">
        <v>499</v>
      </c>
      <c r="V21" s="1" t="s">
        <v>231</v>
      </c>
      <c r="W21" s="1" t="s">
        <v>376</v>
      </c>
      <c r="X21" t="str">
        <f t="shared" si="1"/>
        <v>AG. FUNDIDO</v>
      </c>
    </row>
    <row r="22" spans="1:24" x14ac:dyDescent="0.25">
      <c r="A22" s="12">
        <v>2320</v>
      </c>
      <c r="B22" s="12">
        <v>6</v>
      </c>
      <c r="C22" s="12">
        <v>1127005</v>
      </c>
      <c r="D22" s="12">
        <v>13</v>
      </c>
      <c r="E22" s="6" t="s">
        <v>78</v>
      </c>
      <c r="F22" s="6" t="s">
        <v>81</v>
      </c>
      <c r="G22" s="12">
        <v>1</v>
      </c>
      <c r="H22" s="16">
        <v>46249</v>
      </c>
      <c r="I22" s="1"/>
      <c r="J22" s="16">
        <v>46280</v>
      </c>
      <c r="K22" s="28"/>
      <c r="L22" s="11">
        <f ca="1">Tabela13[[#This Row],[Data Prev.
Entrega]]-TODAY()</f>
        <v>50</v>
      </c>
      <c r="M22" s="11" t="str">
        <f t="shared" ca="1" si="2"/>
        <v>NO PRAZO</v>
      </c>
      <c r="N22" t="s">
        <v>32</v>
      </c>
      <c r="O22" s="29">
        <f>Tabela13[[#This Row],[Data Prev.
Fundido]]-10</f>
        <v>46239</v>
      </c>
      <c r="P22" s="1" t="s">
        <v>58</v>
      </c>
      <c r="Q22" s="1" t="s">
        <v>498</v>
      </c>
      <c r="R22" s="1" t="s">
        <v>500</v>
      </c>
      <c r="S22" s="1" t="s">
        <v>501</v>
      </c>
      <c r="T22" s="1" t="s">
        <v>224</v>
      </c>
      <c r="U22" s="1" t="s">
        <v>499</v>
      </c>
      <c r="V22" s="1" t="s">
        <v>231</v>
      </c>
      <c r="W22" s="1" t="s">
        <v>376</v>
      </c>
      <c r="X22" t="str">
        <f t="shared" si="1"/>
        <v>AG. FUNDIDO</v>
      </c>
    </row>
    <row r="23" spans="1:24" x14ac:dyDescent="0.25">
      <c r="A23" s="12">
        <v>2320</v>
      </c>
      <c r="B23" s="12">
        <v>7</v>
      </c>
      <c r="C23" s="12">
        <v>1127005</v>
      </c>
      <c r="D23" s="12">
        <v>14</v>
      </c>
      <c r="E23" s="6" t="s">
        <v>78</v>
      </c>
      <c r="F23" s="6" t="s">
        <v>81</v>
      </c>
      <c r="G23" s="12">
        <v>1</v>
      </c>
      <c r="H23" s="16">
        <v>46249</v>
      </c>
      <c r="I23" s="1"/>
      <c r="J23" s="16">
        <v>46280</v>
      </c>
      <c r="K23" s="28"/>
      <c r="L23" s="11">
        <f ca="1">Tabela13[[#This Row],[Data Prev.
Entrega]]-TODAY()</f>
        <v>50</v>
      </c>
      <c r="M23" s="11" t="str">
        <f t="shared" ca="1" si="2"/>
        <v>NO PRAZO</v>
      </c>
      <c r="N23" t="s">
        <v>32</v>
      </c>
      <c r="O23" s="29">
        <f>Tabela13[[#This Row],[Data Prev.
Fundido]]-10</f>
        <v>46239</v>
      </c>
      <c r="P23" s="1" t="s">
        <v>58</v>
      </c>
      <c r="Q23" s="1" t="s">
        <v>498</v>
      </c>
      <c r="R23" s="1" t="s">
        <v>500</v>
      </c>
      <c r="S23" s="1" t="s">
        <v>501</v>
      </c>
      <c r="T23" s="1" t="s">
        <v>224</v>
      </c>
      <c r="U23" s="1" t="s">
        <v>499</v>
      </c>
      <c r="V23" s="1" t="s">
        <v>231</v>
      </c>
      <c r="W23" s="1" t="s">
        <v>376</v>
      </c>
      <c r="X23" t="str">
        <f t="shared" si="1"/>
        <v>AG. FUNDIDO</v>
      </c>
    </row>
    <row r="24" spans="1:24" x14ac:dyDescent="0.25">
      <c r="A24" s="12">
        <v>2320</v>
      </c>
      <c r="B24" s="12">
        <v>8</v>
      </c>
      <c r="C24" s="12">
        <v>1127016</v>
      </c>
      <c r="D24" s="12">
        <v>1</v>
      </c>
      <c r="E24" s="6" t="s">
        <v>78</v>
      </c>
      <c r="F24" s="6" t="s">
        <v>82</v>
      </c>
      <c r="G24" s="12">
        <v>1</v>
      </c>
      <c r="H24" s="16">
        <v>46249</v>
      </c>
      <c r="I24" s="1"/>
      <c r="J24" s="16">
        <v>46280</v>
      </c>
      <c r="K24" s="28"/>
      <c r="L24" s="11">
        <f ca="1">Tabela13[[#This Row],[Data Prev.
Entrega]]-TODAY()</f>
        <v>50</v>
      </c>
      <c r="M24" s="11" t="str">
        <f t="shared" ca="1" si="2"/>
        <v>NO PRAZO</v>
      </c>
      <c r="N24" t="s">
        <v>32</v>
      </c>
      <c r="O24" s="29">
        <f>Tabela13[[#This Row],[Data Prev.
Fundido]]-10</f>
        <v>46239</v>
      </c>
      <c r="P24" s="1" t="s">
        <v>58</v>
      </c>
      <c r="Q24" s="1" t="s">
        <v>498</v>
      </c>
      <c r="R24" s="1" t="s">
        <v>500</v>
      </c>
      <c r="S24" s="1" t="s">
        <v>501</v>
      </c>
      <c r="T24" s="1" t="s">
        <v>224</v>
      </c>
      <c r="U24" s="1" t="s">
        <v>499</v>
      </c>
      <c r="V24" s="1" t="s">
        <v>231</v>
      </c>
      <c r="W24" s="1" t="s">
        <v>376</v>
      </c>
      <c r="X24" t="str">
        <f t="shared" si="1"/>
        <v>AG. FUNDIDO</v>
      </c>
    </row>
    <row r="25" spans="1:24" x14ac:dyDescent="0.25">
      <c r="A25" s="12">
        <v>2320</v>
      </c>
      <c r="B25" s="12">
        <v>9</v>
      </c>
      <c r="C25" s="12">
        <v>1127017</v>
      </c>
      <c r="D25" s="12">
        <v>1</v>
      </c>
      <c r="E25" s="6" t="s">
        <v>78</v>
      </c>
      <c r="F25" s="6" t="s">
        <v>83</v>
      </c>
      <c r="G25" s="12">
        <v>1</v>
      </c>
      <c r="H25" s="16">
        <v>46249</v>
      </c>
      <c r="I25" s="1"/>
      <c r="J25" s="16">
        <v>46280</v>
      </c>
      <c r="K25" s="28"/>
      <c r="L25" s="11">
        <f ca="1">Tabela13[[#This Row],[Data Prev.
Entrega]]-TODAY()</f>
        <v>50</v>
      </c>
      <c r="M25" s="11" t="str">
        <f t="shared" ca="1" si="2"/>
        <v>NO PRAZO</v>
      </c>
      <c r="N25" t="s">
        <v>32</v>
      </c>
      <c r="O25" s="29">
        <f>Tabela13[[#This Row],[Data Prev.
Fundido]]-10</f>
        <v>46239</v>
      </c>
      <c r="P25" s="1" t="s">
        <v>58</v>
      </c>
      <c r="Q25" s="1" t="s">
        <v>498</v>
      </c>
      <c r="R25" s="1" t="s">
        <v>500</v>
      </c>
      <c r="S25" s="1" t="s">
        <v>501</v>
      </c>
      <c r="T25" s="1" t="s">
        <v>224</v>
      </c>
      <c r="U25" s="1" t="s">
        <v>499</v>
      </c>
      <c r="V25" s="1" t="s">
        <v>231</v>
      </c>
      <c r="W25" s="1" t="s">
        <v>376</v>
      </c>
      <c r="X25" t="str">
        <f t="shared" si="1"/>
        <v>AG. FUNDIDO</v>
      </c>
    </row>
    <row r="26" spans="1:24" x14ac:dyDescent="0.25">
      <c r="A26" s="12">
        <v>1027</v>
      </c>
      <c r="B26" s="12">
        <v>7</v>
      </c>
      <c r="C26" s="12">
        <v>464100</v>
      </c>
      <c r="D26" s="12" t="s">
        <v>63</v>
      </c>
      <c r="E26" s="6" t="s">
        <v>89</v>
      </c>
      <c r="F26" s="6" t="s">
        <v>93</v>
      </c>
      <c r="G26" s="12">
        <v>1</v>
      </c>
      <c r="H26" s="16">
        <v>46315</v>
      </c>
      <c r="I26" s="1"/>
      <c r="J26" s="16">
        <v>46374</v>
      </c>
      <c r="K26" s="28"/>
      <c r="L26" s="11">
        <f ca="1">Tabela13[[#This Row],[Data Prev.
Entrega]]-TODAY()</f>
        <v>144</v>
      </c>
      <c r="M26" s="11" t="str">
        <f ca="1">IF(L26&lt;0,"ATRASADO",IF(L26&lt;=15,"ATENÇÃO","NO PRAZO"))</f>
        <v>NO PRAZO</v>
      </c>
      <c r="N26" t="s">
        <v>32</v>
      </c>
      <c r="O26" s="29" t="s">
        <v>56</v>
      </c>
      <c r="P26" s="1" t="s">
        <v>58</v>
      </c>
      <c r="Q26" s="1" t="s">
        <v>498</v>
      </c>
      <c r="R26" s="1" t="s">
        <v>500</v>
      </c>
      <c r="S26" s="1" t="s">
        <v>501</v>
      </c>
      <c r="T26" s="1" t="s">
        <v>224</v>
      </c>
      <c r="U26" s="1" t="s">
        <v>499</v>
      </c>
      <c r="V26" s="1" t="s">
        <v>231</v>
      </c>
      <c r="W26" s="1" t="s">
        <v>376</v>
      </c>
      <c r="X26" t="str">
        <f t="shared" ref="X26:X28" si="3">IF(I26="","AG. FUNDIDO",IF(W26="OK","LIBERADA","EM USINAGEM"))</f>
        <v>AG. FUNDIDO</v>
      </c>
    </row>
    <row r="27" spans="1:24" x14ac:dyDescent="0.25">
      <c r="A27" s="12">
        <v>1027</v>
      </c>
      <c r="B27" s="12">
        <v>8</v>
      </c>
      <c r="C27" s="12">
        <v>464100</v>
      </c>
      <c r="D27" s="12" t="s">
        <v>63</v>
      </c>
      <c r="E27" s="6" t="s">
        <v>89</v>
      </c>
      <c r="F27" s="6" t="s">
        <v>93</v>
      </c>
      <c r="G27" s="12">
        <v>1</v>
      </c>
      <c r="H27" s="16">
        <v>46315</v>
      </c>
      <c r="I27" s="1"/>
      <c r="J27" s="16">
        <v>46374</v>
      </c>
      <c r="K27" s="28"/>
      <c r="L27" s="11">
        <f ca="1">Tabela13[[#This Row],[Data Prev.
Entrega]]-TODAY()</f>
        <v>144</v>
      </c>
      <c r="M27" s="11" t="str">
        <f t="shared" ref="M27:M28" ca="1" si="4">IF(L27&lt;0,"ATRASADO",IF(L27&lt;=15,"ATENÇÃO","NO PRAZO"))</f>
        <v>NO PRAZO</v>
      </c>
      <c r="N27" t="s">
        <v>32</v>
      </c>
      <c r="O27" s="29" t="s">
        <v>56</v>
      </c>
      <c r="P27" s="1" t="s">
        <v>58</v>
      </c>
      <c r="Q27" s="1" t="s">
        <v>498</v>
      </c>
      <c r="R27" s="1" t="s">
        <v>500</v>
      </c>
      <c r="S27" s="1" t="s">
        <v>501</v>
      </c>
      <c r="T27" s="1" t="s">
        <v>224</v>
      </c>
      <c r="U27" s="1" t="s">
        <v>499</v>
      </c>
      <c r="V27" s="1" t="s">
        <v>231</v>
      </c>
      <c r="W27" s="1" t="s">
        <v>376</v>
      </c>
      <c r="X27" t="str">
        <f t="shared" si="3"/>
        <v>AG. FUNDIDO</v>
      </c>
    </row>
    <row r="28" spans="1:24" x14ac:dyDescent="0.25">
      <c r="A28" s="12">
        <v>1027</v>
      </c>
      <c r="B28" s="12">
        <v>9</v>
      </c>
      <c r="C28" s="12">
        <v>464100</v>
      </c>
      <c r="D28" s="12" t="s">
        <v>63</v>
      </c>
      <c r="E28" s="6" t="s">
        <v>89</v>
      </c>
      <c r="F28" s="6" t="s">
        <v>93</v>
      </c>
      <c r="G28" s="12">
        <v>1</v>
      </c>
      <c r="H28" s="16">
        <v>46315</v>
      </c>
      <c r="I28" s="1"/>
      <c r="J28" s="16">
        <v>46374</v>
      </c>
      <c r="K28" s="28"/>
      <c r="L28" s="11">
        <f ca="1">Tabela13[[#This Row],[Data Prev.
Entrega]]-TODAY()</f>
        <v>144</v>
      </c>
      <c r="M28" s="11" t="str">
        <f t="shared" ca="1" si="4"/>
        <v>NO PRAZO</v>
      </c>
      <c r="N28" t="s">
        <v>32</v>
      </c>
      <c r="O28" s="29" t="s">
        <v>56</v>
      </c>
      <c r="P28" s="1" t="s">
        <v>58</v>
      </c>
      <c r="Q28" s="1" t="s">
        <v>498</v>
      </c>
      <c r="R28" s="1" t="s">
        <v>500</v>
      </c>
      <c r="S28" s="1" t="s">
        <v>501</v>
      </c>
      <c r="T28" s="1" t="s">
        <v>224</v>
      </c>
      <c r="U28" s="1" t="s">
        <v>499</v>
      </c>
      <c r="V28" s="1" t="s">
        <v>231</v>
      </c>
      <c r="W28" s="1" t="s">
        <v>376</v>
      </c>
      <c r="X28" t="str">
        <f t="shared" si="3"/>
        <v>AG. FUNDIDO</v>
      </c>
    </row>
    <row r="29" spans="1:24" x14ac:dyDescent="0.25">
      <c r="A29" s="12">
        <v>2329</v>
      </c>
      <c r="B29" s="12">
        <v>1</v>
      </c>
      <c r="C29" s="12">
        <v>187095</v>
      </c>
      <c r="D29" s="12" t="s">
        <v>63</v>
      </c>
      <c r="E29" s="6" t="s">
        <v>98</v>
      </c>
      <c r="F29" s="6" t="s">
        <v>99</v>
      </c>
      <c r="G29" s="12">
        <v>1</v>
      </c>
      <c r="H29" s="16">
        <v>46256</v>
      </c>
      <c r="I29" s="1"/>
      <c r="J29" s="16">
        <v>46286</v>
      </c>
      <c r="K29" s="28"/>
      <c r="L29" s="11">
        <f ca="1">Tabela13[[#This Row],[Data Prev.
Entrega]]-TODAY()</f>
        <v>56</v>
      </c>
      <c r="M29" s="11" t="str">
        <f t="shared" ref="M29:M31" ca="1" si="5">IF(L29&lt;0,"ATRASADO",IF(L29&lt;=15,"ATENÇÃO","NO PRAZO"))</f>
        <v>NO PRAZO</v>
      </c>
      <c r="N29" t="s">
        <v>32</v>
      </c>
      <c r="O29" s="29">
        <f>Tabela13[[#This Row],[Data Prev.
Fundido]]-10</f>
        <v>46246</v>
      </c>
      <c r="P29" s="1" t="s">
        <v>58</v>
      </c>
      <c r="Q29" s="1" t="s">
        <v>498</v>
      </c>
      <c r="R29" s="1" t="s">
        <v>500</v>
      </c>
      <c r="S29" s="1" t="s">
        <v>501</v>
      </c>
      <c r="T29" s="1" t="s">
        <v>224</v>
      </c>
      <c r="U29" s="1" t="s">
        <v>499</v>
      </c>
      <c r="V29" s="1" t="s">
        <v>231</v>
      </c>
      <c r="W29" s="1" t="s">
        <v>376</v>
      </c>
      <c r="X29" t="str">
        <f t="shared" ref="X29:X31" si="6">IF(I29="","AG. FUNDIDO",IF(W29="OK","LIBERADA","EM USINAGEM"))</f>
        <v>AG. FUNDIDO</v>
      </c>
    </row>
    <row r="30" spans="1:24" x14ac:dyDescent="0.25">
      <c r="A30" s="12">
        <v>2329</v>
      </c>
      <c r="B30" s="12">
        <v>2</v>
      </c>
      <c r="C30" s="12">
        <v>187095</v>
      </c>
      <c r="D30" s="12" t="s">
        <v>63</v>
      </c>
      <c r="E30" s="6" t="s">
        <v>98</v>
      </c>
      <c r="F30" s="6" t="s">
        <v>99</v>
      </c>
      <c r="G30" s="12">
        <v>1</v>
      </c>
      <c r="H30" s="16">
        <v>46256</v>
      </c>
      <c r="I30" s="1"/>
      <c r="J30" s="16">
        <v>46286</v>
      </c>
      <c r="K30" s="28"/>
      <c r="L30" s="11">
        <f ca="1">Tabela13[[#This Row],[Data Prev.
Entrega]]-TODAY()</f>
        <v>56</v>
      </c>
      <c r="M30" s="11" t="str">
        <f t="shared" ca="1" si="5"/>
        <v>NO PRAZO</v>
      </c>
      <c r="N30" t="s">
        <v>32</v>
      </c>
      <c r="O30" s="29">
        <f>Tabela13[[#This Row],[Data Prev.
Fundido]]-10</f>
        <v>46246</v>
      </c>
      <c r="P30" s="1" t="s">
        <v>58</v>
      </c>
      <c r="Q30" s="1" t="s">
        <v>498</v>
      </c>
      <c r="R30" s="1" t="s">
        <v>500</v>
      </c>
      <c r="S30" s="1" t="s">
        <v>501</v>
      </c>
      <c r="T30" s="1" t="s">
        <v>224</v>
      </c>
      <c r="U30" s="1" t="s">
        <v>499</v>
      </c>
      <c r="V30" s="1" t="s">
        <v>231</v>
      </c>
      <c r="W30" s="1" t="s">
        <v>376</v>
      </c>
      <c r="X30" t="str">
        <f t="shared" si="6"/>
        <v>AG. FUNDIDO</v>
      </c>
    </row>
    <row r="31" spans="1:24" x14ac:dyDescent="0.25">
      <c r="A31" s="12">
        <v>2329</v>
      </c>
      <c r="B31" s="12">
        <v>3</v>
      </c>
      <c r="C31" s="12">
        <v>187095</v>
      </c>
      <c r="D31" s="12" t="s">
        <v>63</v>
      </c>
      <c r="E31" s="6" t="s">
        <v>98</v>
      </c>
      <c r="F31" s="6" t="s">
        <v>99</v>
      </c>
      <c r="G31" s="12">
        <v>1</v>
      </c>
      <c r="H31" s="16">
        <v>46256</v>
      </c>
      <c r="I31" s="1"/>
      <c r="J31" s="16">
        <v>46286</v>
      </c>
      <c r="K31" s="28"/>
      <c r="L31" s="11">
        <f ca="1">Tabela13[[#This Row],[Data Prev.
Entrega]]-TODAY()</f>
        <v>56</v>
      </c>
      <c r="M31" s="11" t="str">
        <f t="shared" ca="1" si="5"/>
        <v>NO PRAZO</v>
      </c>
      <c r="N31" t="s">
        <v>32</v>
      </c>
      <c r="O31" s="29">
        <f>Tabela13[[#This Row],[Data Prev.
Fundido]]-10</f>
        <v>46246</v>
      </c>
      <c r="P31" s="1" t="s">
        <v>58</v>
      </c>
      <c r="Q31" s="1" t="s">
        <v>498</v>
      </c>
      <c r="R31" s="1" t="s">
        <v>500</v>
      </c>
      <c r="S31" s="1" t="s">
        <v>501</v>
      </c>
      <c r="T31" s="1" t="s">
        <v>224</v>
      </c>
      <c r="U31" s="1" t="s">
        <v>499</v>
      </c>
      <c r="V31" s="1" t="s">
        <v>231</v>
      </c>
      <c r="W31" s="1" t="s">
        <v>376</v>
      </c>
      <c r="X31" t="str">
        <f t="shared" si="6"/>
        <v>AG. FUNDIDO</v>
      </c>
    </row>
    <row r="32" spans="1:24" x14ac:dyDescent="0.25">
      <c r="A32" s="12">
        <v>2331</v>
      </c>
      <c r="B32" s="12">
        <v>8</v>
      </c>
      <c r="C32" s="12">
        <v>27611</v>
      </c>
      <c r="D32" s="12">
        <v>8</v>
      </c>
      <c r="E32" s="15" t="s">
        <v>115</v>
      </c>
      <c r="F32" s="6" t="s">
        <v>99</v>
      </c>
      <c r="G32" s="12">
        <v>1</v>
      </c>
      <c r="H32" s="16">
        <v>46315</v>
      </c>
      <c r="I32" s="1"/>
      <c r="J32" s="16">
        <v>46374</v>
      </c>
      <c r="K32" s="1"/>
      <c r="L32" s="11">
        <f ca="1">Tabela13[[#This Row],[Data Prev.
Entrega]]-TODAY()</f>
        <v>144</v>
      </c>
      <c r="M32" s="11" t="str">
        <f ca="1">IF(L32&lt;0,"ATRASADO",IF(L32&lt;=15,"ATENÇÃO","NO PRAZO"))</f>
        <v>NO PRAZO</v>
      </c>
      <c r="N32" t="s">
        <v>32</v>
      </c>
      <c r="O32" s="29">
        <f>Tabela13[[#This Row],[Data Prev.
Fundido]]-10</f>
        <v>46305</v>
      </c>
      <c r="P32" s="1" t="s">
        <v>58</v>
      </c>
      <c r="Q32" s="1" t="s">
        <v>498</v>
      </c>
      <c r="R32" s="1" t="s">
        <v>500</v>
      </c>
      <c r="S32" s="1" t="s">
        <v>501</v>
      </c>
      <c r="T32" s="1" t="s">
        <v>224</v>
      </c>
      <c r="U32" s="1" t="s">
        <v>499</v>
      </c>
      <c r="V32" s="1" t="s">
        <v>231</v>
      </c>
      <c r="W32" s="1" t="s">
        <v>376</v>
      </c>
      <c r="X32" t="str">
        <f>IF(I32="","AG. FUNDIDO",IF(W32="OK","LIBERADA","EM USINAGEM"))</f>
        <v>AG. FUNDIDO</v>
      </c>
    </row>
    <row r="33" spans="1:24" x14ac:dyDescent="0.25">
      <c r="A33" s="12">
        <v>2331</v>
      </c>
      <c r="B33" s="12">
        <v>9</v>
      </c>
      <c r="C33" s="12">
        <v>27611</v>
      </c>
      <c r="D33" s="12">
        <v>9</v>
      </c>
      <c r="E33" s="15" t="s">
        <v>115</v>
      </c>
      <c r="F33" s="6" t="s">
        <v>99</v>
      </c>
      <c r="G33" s="12">
        <v>1</v>
      </c>
      <c r="H33" s="16">
        <v>46315</v>
      </c>
      <c r="I33" s="1"/>
      <c r="J33" s="16">
        <v>46374</v>
      </c>
      <c r="K33" s="1"/>
      <c r="L33" s="11">
        <f ca="1">Tabela13[[#This Row],[Data Prev.
Entrega]]-TODAY()</f>
        <v>144</v>
      </c>
      <c r="M33" s="11" t="str">
        <f t="shared" ref="M33:M35" ca="1" si="7">IF(L33&lt;0,"ATRASADO",IF(L33&lt;=15,"ATENÇÃO","NO PRAZO"))</f>
        <v>NO PRAZO</v>
      </c>
      <c r="N33" t="s">
        <v>32</v>
      </c>
      <c r="O33" s="29">
        <f>Tabela13[[#This Row],[Data Prev.
Fundido]]-10</f>
        <v>46305</v>
      </c>
      <c r="P33" s="1" t="s">
        <v>58</v>
      </c>
      <c r="Q33" s="1" t="s">
        <v>498</v>
      </c>
      <c r="R33" s="1" t="s">
        <v>500</v>
      </c>
      <c r="S33" s="1" t="s">
        <v>501</v>
      </c>
      <c r="T33" s="1" t="s">
        <v>224</v>
      </c>
      <c r="U33" s="1" t="s">
        <v>499</v>
      </c>
      <c r="V33" s="1" t="s">
        <v>231</v>
      </c>
      <c r="W33" s="1" t="s">
        <v>376</v>
      </c>
      <c r="X33" t="str">
        <f t="shared" ref="X33:X35" si="8">IF(I33="","AG. FUNDIDO",IF(W33="OK","LIBERADA","EM USINAGEM"))</f>
        <v>AG. FUNDIDO</v>
      </c>
    </row>
    <row r="34" spans="1:24" x14ac:dyDescent="0.25">
      <c r="A34" s="12">
        <v>2331</v>
      </c>
      <c r="B34" s="12">
        <v>10</v>
      </c>
      <c r="C34" s="12">
        <v>27611</v>
      </c>
      <c r="D34" s="12">
        <v>10</v>
      </c>
      <c r="E34" s="15" t="s">
        <v>115</v>
      </c>
      <c r="F34" s="6" t="s">
        <v>116</v>
      </c>
      <c r="G34" s="12">
        <v>1</v>
      </c>
      <c r="H34" s="16">
        <v>46315</v>
      </c>
      <c r="I34" s="1"/>
      <c r="J34" s="16">
        <v>46374</v>
      </c>
      <c r="K34" s="1"/>
      <c r="L34" s="11">
        <f ca="1">Tabela13[[#This Row],[Data Prev.
Entrega]]-TODAY()</f>
        <v>144</v>
      </c>
      <c r="M34" s="11" t="str">
        <f t="shared" ca="1" si="7"/>
        <v>NO PRAZO</v>
      </c>
      <c r="N34" t="s">
        <v>32</v>
      </c>
      <c r="O34" s="29">
        <f>Tabela13[[#This Row],[Data Prev.
Fundido]]-10</f>
        <v>46305</v>
      </c>
      <c r="P34" s="1" t="s">
        <v>58</v>
      </c>
      <c r="Q34" s="1" t="s">
        <v>498</v>
      </c>
      <c r="R34" s="1" t="s">
        <v>500</v>
      </c>
      <c r="S34" s="1" t="s">
        <v>501</v>
      </c>
      <c r="T34" s="1" t="s">
        <v>224</v>
      </c>
      <c r="U34" s="1" t="s">
        <v>499</v>
      </c>
      <c r="V34" s="1" t="s">
        <v>231</v>
      </c>
      <c r="W34" s="1" t="s">
        <v>376</v>
      </c>
      <c r="X34" t="str">
        <f t="shared" si="8"/>
        <v>AG. FUNDIDO</v>
      </c>
    </row>
    <row r="35" spans="1:24" x14ac:dyDescent="0.25">
      <c r="A35" s="12">
        <v>2331</v>
      </c>
      <c r="B35" s="12">
        <v>11</v>
      </c>
      <c r="C35" s="12">
        <v>27611</v>
      </c>
      <c r="D35" s="12">
        <v>11</v>
      </c>
      <c r="E35" s="15" t="s">
        <v>115</v>
      </c>
      <c r="F35" s="6" t="s">
        <v>116</v>
      </c>
      <c r="G35" s="12">
        <v>1</v>
      </c>
      <c r="H35" s="16">
        <v>46315</v>
      </c>
      <c r="I35" s="1"/>
      <c r="J35" s="16">
        <v>46374</v>
      </c>
      <c r="K35" s="1"/>
      <c r="L35" s="11">
        <f ca="1">Tabela13[[#This Row],[Data Prev.
Entrega]]-TODAY()</f>
        <v>144</v>
      </c>
      <c r="M35" s="11" t="str">
        <f t="shared" ca="1" si="7"/>
        <v>NO PRAZO</v>
      </c>
      <c r="N35" t="s">
        <v>32</v>
      </c>
      <c r="O35" s="29">
        <f>Tabela13[[#This Row],[Data Prev.
Fundido]]-10</f>
        <v>46305</v>
      </c>
      <c r="P35" s="1" t="s">
        <v>58</v>
      </c>
      <c r="Q35" s="1" t="s">
        <v>498</v>
      </c>
      <c r="R35" s="1" t="s">
        <v>500</v>
      </c>
      <c r="S35" s="1" t="s">
        <v>501</v>
      </c>
      <c r="T35" s="1" t="s">
        <v>224</v>
      </c>
      <c r="U35" s="1" t="s">
        <v>499</v>
      </c>
      <c r="V35" s="1" t="s">
        <v>231</v>
      </c>
      <c r="W35" s="1" t="s">
        <v>376</v>
      </c>
      <c r="X35" t="str">
        <f t="shared" si="8"/>
        <v>AG. FUNDIDO</v>
      </c>
    </row>
    <row r="36" spans="1:24" x14ac:dyDescent="0.25">
      <c r="A36" s="12">
        <v>2337</v>
      </c>
      <c r="B36" s="12">
        <v>1</v>
      </c>
      <c r="C36" s="12">
        <v>27620</v>
      </c>
      <c r="D36" s="12">
        <v>1</v>
      </c>
      <c r="E36" s="6" t="s">
        <v>221</v>
      </c>
      <c r="F36" s="6" t="s">
        <v>222</v>
      </c>
      <c r="G36" s="12">
        <v>1</v>
      </c>
      <c r="H36" s="16">
        <v>46265</v>
      </c>
      <c r="I36" s="1"/>
      <c r="J36" s="16">
        <v>46295</v>
      </c>
      <c r="K36" s="1"/>
      <c r="L36" s="11">
        <f ca="1">Tabela13[[#This Row],[Data Prev.
Entrega]]-TODAY()</f>
        <v>65</v>
      </c>
      <c r="M36" s="11" t="str">
        <f ca="1">IF(L36&lt;0,"ATRASADO",IF(L36&lt;=15,"ATENÇÃO","NO PRAZO"))</f>
        <v>NO PRAZO</v>
      </c>
      <c r="N36" t="s">
        <v>32</v>
      </c>
      <c r="O36" s="29">
        <v>46223</v>
      </c>
      <c r="P36" s="1" t="s">
        <v>58</v>
      </c>
      <c r="Q36" s="1" t="s">
        <v>498</v>
      </c>
      <c r="R36" s="1" t="s">
        <v>500</v>
      </c>
      <c r="S36" s="1" t="s">
        <v>501</v>
      </c>
      <c r="T36" s="1" t="s">
        <v>224</v>
      </c>
      <c r="U36" s="1" t="s">
        <v>499</v>
      </c>
      <c r="V36" s="1" t="s">
        <v>231</v>
      </c>
      <c r="W36" s="1" t="s">
        <v>376</v>
      </c>
      <c r="X36" t="str">
        <f>IF(I36="","AG. FUNDIDO",IF(W36="OK","LIBERADA","EM USINAGEM"))</f>
        <v>AG. FUNDIDO</v>
      </c>
    </row>
    <row r="37" spans="1:24" x14ac:dyDescent="0.25">
      <c r="A37" s="12">
        <v>2337</v>
      </c>
      <c r="B37" s="12">
        <v>2</v>
      </c>
      <c r="C37" s="12">
        <v>27620</v>
      </c>
      <c r="D37" s="12">
        <v>2</v>
      </c>
      <c r="E37" s="6" t="s">
        <v>221</v>
      </c>
      <c r="F37" s="6" t="s">
        <v>223</v>
      </c>
      <c r="G37" s="12">
        <v>1</v>
      </c>
      <c r="H37" s="16">
        <v>46265</v>
      </c>
      <c r="I37" s="1"/>
      <c r="J37" s="16">
        <v>46295</v>
      </c>
      <c r="K37" s="1"/>
      <c r="L37" s="11">
        <f ca="1">Tabela13[[#This Row],[Data Prev.
Entrega]]-TODAY()</f>
        <v>65</v>
      </c>
      <c r="M37" s="11" t="str">
        <f t="shared" ref="M37:M39" ca="1" si="9">IF(L37&lt;0,"ATRASADO",IF(L37&lt;=15,"ATENÇÃO","NO PRAZO"))</f>
        <v>NO PRAZO</v>
      </c>
      <c r="N37" t="s">
        <v>32</v>
      </c>
      <c r="O37" s="29">
        <v>46223</v>
      </c>
      <c r="P37" s="1" t="s">
        <v>58</v>
      </c>
      <c r="Q37" s="1" t="s">
        <v>498</v>
      </c>
      <c r="R37" s="1" t="s">
        <v>500</v>
      </c>
      <c r="S37" s="1" t="s">
        <v>501</v>
      </c>
      <c r="T37" s="1" t="s">
        <v>224</v>
      </c>
      <c r="U37" s="1" t="s">
        <v>499</v>
      </c>
      <c r="V37" s="1" t="s">
        <v>231</v>
      </c>
      <c r="W37" s="1" t="s">
        <v>376</v>
      </c>
      <c r="X37" t="str">
        <f t="shared" ref="X37:X39" si="10">IF(I37="","AG. FUNDIDO",IF(W37="OK","LIBERADA","EM USINAGEM"))</f>
        <v>AG. FUNDIDO</v>
      </c>
    </row>
    <row r="38" spans="1:24" x14ac:dyDescent="0.25">
      <c r="A38" s="12">
        <v>2337</v>
      </c>
      <c r="B38" s="12">
        <v>3</v>
      </c>
      <c r="C38" s="12">
        <v>27620</v>
      </c>
      <c r="D38" s="12">
        <v>3</v>
      </c>
      <c r="E38" s="6" t="s">
        <v>221</v>
      </c>
      <c r="F38" s="6" t="s">
        <v>99</v>
      </c>
      <c r="G38" s="12">
        <v>1</v>
      </c>
      <c r="H38" s="16">
        <v>46265</v>
      </c>
      <c r="I38" s="1"/>
      <c r="J38" s="16">
        <v>46295</v>
      </c>
      <c r="K38" s="1"/>
      <c r="L38" s="11">
        <f ca="1">Tabela13[[#This Row],[Data Prev.
Entrega]]-TODAY()</f>
        <v>65</v>
      </c>
      <c r="M38" s="11" t="str">
        <f t="shared" ca="1" si="9"/>
        <v>NO PRAZO</v>
      </c>
      <c r="N38" t="s">
        <v>32</v>
      </c>
      <c r="O38" s="29">
        <v>46223</v>
      </c>
      <c r="P38" s="1" t="s">
        <v>58</v>
      </c>
      <c r="Q38" s="1" t="s">
        <v>498</v>
      </c>
      <c r="R38" s="1" t="s">
        <v>500</v>
      </c>
      <c r="S38" s="1" t="s">
        <v>501</v>
      </c>
      <c r="T38" s="1" t="s">
        <v>224</v>
      </c>
      <c r="U38" s="1" t="s">
        <v>499</v>
      </c>
      <c r="V38" s="1" t="s">
        <v>231</v>
      </c>
      <c r="W38" s="1" t="s">
        <v>376</v>
      </c>
      <c r="X38" t="str">
        <f t="shared" si="10"/>
        <v>AG. FUNDIDO</v>
      </c>
    </row>
    <row r="39" spans="1:24" x14ac:dyDescent="0.25">
      <c r="A39" s="12">
        <v>2337</v>
      </c>
      <c r="B39" s="12">
        <v>4</v>
      </c>
      <c r="C39" s="12">
        <v>27620</v>
      </c>
      <c r="D39" s="12">
        <v>4</v>
      </c>
      <c r="E39" s="6" t="s">
        <v>221</v>
      </c>
      <c r="F39" s="6" t="s">
        <v>99</v>
      </c>
      <c r="G39" s="12">
        <v>1</v>
      </c>
      <c r="H39" s="16">
        <v>46265</v>
      </c>
      <c r="I39" s="1"/>
      <c r="J39" s="16">
        <v>46295</v>
      </c>
      <c r="K39" s="1"/>
      <c r="L39" s="11">
        <f ca="1">Tabela13[[#This Row],[Data Prev.
Entrega]]-TODAY()</f>
        <v>65</v>
      </c>
      <c r="M39" s="11" t="str">
        <f t="shared" ca="1" si="9"/>
        <v>NO PRAZO</v>
      </c>
      <c r="N39" t="s">
        <v>32</v>
      </c>
      <c r="O39" s="29">
        <v>46223</v>
      </c>
      <c r="P39" s="1" t="s">
        <v>58</v>
      </c>
      <c r="Q39" s="1" t="s">
        <v>498</v>
      </c>
      <c r="R39" s="1" t="s">
        <v>500</v>
      </c>
      <c r="S39" s="1" t="s">
        <v>501</v>
      </c>
      <c r="T39" s="1" t="s">
        <v>224</v>
      </c>
      <c r="U39" s="1" t="s">
        <v>499</v>
      </c>
      <c r="V39" s="1" t="s">
        <v>231</v>
      </c>
      <c r="W39" s="1" t="s">
        <v>376</v>
      </c>
      <c r="X39" t="str">
        <f t="shared" si="10"/>
        <v>AG. FUNDIDO</v>
      </c>
    </row>
    <row r="40" spans="1:24" x14ac:dyDescent="0.25">
      <c r="A40" s="12">
        <v>2361</v>
      </c>
      <c r="B40" s="12">
        <v>1</v>
      </c>
      <c r="C40" s="12">
        <v>27656</v>
      </c>
      <c r="D40" s="12">
        <v>1</v>
      </c>
      <c r="E40" s="6" t="s">
        <v>478</v>
      </c>
      <c r="F40" s="6" t="s">
        <v>507</v>
      </c>
      <c r="G40" s="12">
        <v>1</v>
      </c>
      <c r="H40" s="16">
        <v>46284</v>
      </c>
      <c r="I40" s="1"/>
      <c r="J40" s="16">
        <v>46329</v>
      </c>
      <c r="K40" s="1"/>
      <c r="L40" s="11">
        <f ca="1">Tabela13[[#This Row],[Data Prev.
Entrega]]-TODAY()</f>
        <v>99</v>
      </c>
      <c r="M40" s="11" t="str">
        <f ca="1">IF(L40&lt;0,"ATRASADO",IF(L40&lt;=15,"ATENÇÃO","NO PRAZO"))</f>
        <v>NO PRAZO</v>
      </c>
      <c r="N40" t="s">
        <v>32</v>
      </c>
      <c r="O40" s="29">
        <v>46274</v>
      </c>
      <c r="P40" s="1" t="s">
        <v>58</v>
      </c>
      <c r="Q40" s="1" t="s">
        <v>498</v>
      </c>
      <c r="R40" s="1" t="s">
        <v>500</v>
      </c>
      <c r="S40" s="1" t="s">
        <v>501</v>
      </c>
      <c r="T40" s="1" t="s">
        <v>224</v>
      </c>
      <c r="U40" s="1" t="s">
        <v>499</v>
      </c>
      <c r="V40" s="1" t="s">
        <v>231</v>
      </c>
      <c r="W40" s="1" t="s">
        <v>376</v>
      </c>
      <c r="X40" t="str">
        <f>IF(I40="","AG. FUNDIDO",IF(W40="OK","LIBERADA","EM USINAGEM"))</f>
        <v>AG. FUNDIDO</v>
      </c>
    </row>
    <row r="41" spans="1:24" x14ac:dyDescent="0.25">
      <c r="A41" s="12">
        <v>2361</v>
      </c>
      <c r="B41" s="12">
        <v>2</v>
      </c>
      <c r="C41" s="12">
        <v>27656</v>
      </c>
      <c r="D41" s="12">
        <v>2</v>
      </c>
      <c r="E41" s="6" t="s">
        <v>478</v>
      </c>
      <c r="F41" s="6" t="s">
        <v>507</v>
      </c>
      <c r="G41" s="12">
        <v>1</v>
      </c>
      <c r="H41" s="16">
        <v>46284</v>
      </c>
      <c r="I41" s="1"/>
      <c r="J41" s="16">
        <v>46329</v>
      </c>
      <c r="K41" s="1"/>
      <c r="L41" s="11">
        <f ca="1">Tabela13[[#This Row],[Data Prev.
Entrega]]-TODAY()</f>
        <v>99</v>
      </c>
      <c r="M41" s="11" t="str">
        <f t="shared" ref="M41:M51" ca="1" si="11">IF(L41&lt;0,"ATRASADO",IF(L41&lt;=15,"ATENÇÃO","NO PRAZO"))</f>
        <v>NO PRAZO</v>
      </c>
      <c r="N41" t="s">
        <v>32</v>
      </c>
      <c r="O41" s="29">
        <v>46274</v>
      </c>
      <c r="P41" s="1" t="s">
        <v>58</v>
      </c>
      <c r="Q41" s="1" t="s">
        <v>498</v>
      </c>
      <c r="R41" s="1" t="s">
        <v>500</v>
      </c>
      <c r="S41" s="1" t="s">
        <v>501</v>
      </c>
      <c r="T41" s="1" t="s">
        <v>224</v>
      </c>
      <c r="U41" s="1" t="s">
        <v>499</v>
      </c>
      <c r="V41" s="1" t="s">
        <v>231</v>
      </c>
      <c r="W41" s="1" t="s">
        <v>376</v>
      </c>
      <c r="X41" t="str">
        <f t="shared" ref="X41:X51" si="12">IF(I41="","AG. FUNDIDO",IF(W41="OK","LIBERADA","EM USINAGEM"))</f>
        <v>AG. FUNDIDO</v>
      </c>
    </row>
    <row r="42" spans="1:24" x14ac:dyDescent="0.25">
      <c r="A42" s="12">
        <v>2361</v>
      </c>
      <c r="B42" s="12">
        <v>3</v>
      </c>
      <c r="C42" s="12">
        <v>27656</v>
      </c>
      <c r="D42" s="12">
        <v>3</v>
      </c>
      <c r="E42" s="6" t="s">
        <v>478</v>
      </c>
      <c r="F42" s="6" t="s">
        <v>507</v>
      </c>
      <c r="G42" s="12">
        <v>1</v>
      </c>
      <c r="H42" s="16">
        <v>46284</v>
      </c>
      <c r="I42" s="1"/>
      <c r="J42" s="16">
        <v>46329</v>
      </c>
      <c r="K42" s="1"/>
      <c r="L42" s="11">
        <f ca="1">Tabela13[[#This Row],[Data Prev.
Entrega]]-TODAY()</f>
        <v>99</v>
      </c>
      <c r="M42" s="11" t="str">
        <f t="shared" ca="1" si="11"/>
        <v>NO PRAZO</v>
      </c>
      <c r="N42" t="s">
        <v>32</v>
      </c>
      <c r="O42" s="29">
        <v>46274</v>
      </c>
      <c r="P42" s="1" t="s">
        <v>58</v>
      </c>
      <c r="Q42" s="1" t="s">
        <v>498</v>
      </c>
      <c r="R42" s="1" t="s">
        <v>500</v>
      </c>
      <c r="S42" s="1" t="s">
        <v>501</v>
      </c>
      <c r="T42" s="1" t="s">
        <v>224</v>
      </c>
      <c r="U42" s="1" t="s">
        <v>499</v>
      </c>
      <c r="V42" s="1" t="s">
        <v>231</v>
      </c>
      <c r="W42" s="1" t="s">
        <v>376</v>
      </c>
      <c r="X42" t="str">
        <f t="shared" si="12"/>
        <v>AG. FUNDIDO</v>
      </c>
    </row>
    <row r="43" spans="1:24" x14ac:dyDescent="0.25">
      <c r="A43" s="12">
        <v>2361</v>
      </c>
      <c r="B43" s="12">
        <v>4</v>
      </c>
      <c r="C43" s="12">
        <v>27656</v>
      </c>
      <c r="D43" s="12">
        <v>4</v>
      </c>
      <c r="E43" s="6" t="s">
        <v>478</v>
      </c>
      <c r="F43" s="6" t="s">
        <v>507</v>
      </c>
      <c r="G43" s="12">
        <v>1</v>
      </c>
      <c r="H43" s="16">
        <v>46284</v>
      </c>
      <c r="I43" s="1"/>
      <c r="J43" s="16">
        <v>46329</v>
      </c>
      <c r="K43" s="1"/>
      <c r="L43" s="11">
        <f ca="1">Tabela13[[#This Row],[Data Prev.
Entrega]]-TODAY()</f>
        <v>99</v>
      </c>
      <c r="M43" s="11" t="str">
        <f t="shared" ca="1" si="11"/>
        <v>NO PRAZO</v>
      </c>
      <c r="N43" t="s">
        <v>32</v>
      </c>
      <c r="O43" s="29">
        <v>46274</v>
      </c>
      <c r="P43" s="1" t="s">
        <v>58</v>
      </c>
      <c r="Q43" s="1" t="s">
        <v>498</v>
      </c>
      <c r="R43" s="1" t="s">
        <v>500</v>
      </c>
      <c r="S43" s="1" t="s">
        <v>501</v>
      </c>
      <c r="T43" s="1" t="s">
        <v>224</v>
      </c>
      <c r="U43" s="1" t="s">
        <v>499</v>
      </c>
      <c r="V43" s="1" t="s">
        <v>231</v>
      </c>
      <c r="W43" s="1" t="s">
        <v>376</v>
      </c>
      <c r="X43" t="str">
        <f t="shared" si="12"/>
        <v>AG. FUNDIDO</v>
      </c>
    </row>
    <row r="44" spans="1:24" x14ac:dyDescent="0.25">
      <c r="A44" s="12">
        <v>2361</v>
      </c>
      <c r="B44" s="12">
        <v>5</v>
      </c>
      <c r="C44" s="12">
        <v>27656</v>
      </c>
      <c r="D44" s="12">
        <v>5</v>
      </c>
      <c r="E44" s="6" t="s">
        <v>478</v>
      </c>
      <c r="F44" s="6" t="s">
        <v>507</v>
      </c>
      <c r="G44" s="12">
        <v>1</v>
      </c>
      <c r="H44" s="16">
        <v>46284</v>
      </c>
      <c r="I44" s="1"/>
      <c r="J44" s="16">
        <v>46329</v>
      </c>
      <c r="K44" s="1"/>
      <c r="L44" s="11">
        <f ca="1">Tabela13[[#This Row],[Data Prev.
Entrega]]-TODAY()</f>
        <v>99</v>
      </c>
      <c r="M44" s="11" t="str">
        <f t="shared" ca="1" si="11"/>
        <v>NO PRAZO</v>
      </c>
      <c r="N44" t="s">
        <v>32</v>
      </c>
      <c r="O44" s="29">
        <v>46274</v>
      </c>
      <c r="P44" s="1" t="s">
        <v>58</v>
      </c>
      <c r="Q44" s="1" t="s">
        <v>498</v>
      </c>
      <c r="R44" s="1" t="s">
        <v>500</v>
      </c>
      <c r="S44" s="1" t="s">
        <v>501</v>
      </c>
      <c r="T44" s="1" t="s">
        <v>224</v>
      </c>
      <c r="U44" s="1" t="s">
        <v>499</v>
      </c>
      <c r="V44" s="1" t="s">
        <v>231</v>
      </c>
      <c r="W44" s="1" t="s">
        <v>376</v>
      </c>
      <c r="X44" t="str">
        <f t="shared" si="12"/>
        <v>AG. FUNDIDO</v>
      </c>
    </row>
    <row r="45" spans="1:24" x14ac:dyDescent="0.25">
      <c r="A45" s="12">
        <v>2361</v>
      </c>
      <c r="B45" s="12">
        <v>6</v>
      </c>
      <c r="C45" s="12">
        <v>27656</v>
      </c>
      <c r="D45" s="12">
        <v>6</v>
      </c>
      <c r="E45" s="6" t="s">
        <v>478</v>
      </c>
      <c r="F45" s="6" t="s">
        <v>507</v>
      </c>
      <c r="G45" s="12">
        <v>1</v>
      </c>
      <c r="H45" s="16">
        <v>46284</v>
      </c>
      <c r="I45" s="1"/>
      <c r="J45" s="16">
        <v>46329</v>
      </c>
      <c r="K45" s="1"/>
      <c r="L45" s="11">
        <f ca="1">Tabela13[[#This Row],[Data Prev.
Entrega]]-TODAY()</f>
        <v>99</v>
      </c>
      <c r="M45" s="11" t="str">
        <f t="shared" ca="1" si="11"/>
        <v>NO PRAZO</v>
      </c>
      <c r="N45" t="s">
        <v>32</v>
      </c>
      <c r="O45" s="29">
        <v>46274</v>
      </c>
      <c r="P45" s="1" t="s">
        <v>58</v>
      </c>
      <c r="Q45" s="1" t="s">
        <v>498</v>
      </c>
      <c r="R45" s="1" t="s">
        <v>500</v>
      </c>
      <c r="S45" s="1" t="s">
        <v>501</v>
      </c>
      <c r="T45" s="1" t="s">
        <v>224</v>
      </c>
      <c r="U45" s="1" t="s">
        <v>499</v>
      </c>
      <c r="V45" s="1" t="s">
        <v>231</v>
      </c>
      <c r="W45" s="1" t="s">
        <v>376</v>
      </c>
      <c r="X45" t="str">
        <f t="shared" si="12"/>
        <v>AG. FUNDIDO</v>
      </c>
    </row>
    <row r="46" spans="1:24" x14ac:dyDescent="0.25">
      <c r="A46" s="12">
        <v>2361</v>
      </c>
      <c r="B46" s="12">
        <v>7</v>
      </c>
      <c r="C46" s="12">
        <v>27656</v>
      </c>
      <c r="D46" s="12">
        <v>7</v>
      </c>
      <c r="E46" s="6" t="s">
        <v>478</v>
      </c>
      <c r="F46" s="6" t="s">
        <v>222</v>
      </c>
      <c r="G46" s="12">
        <v>1</v>
      </c>
      <c r="H46" s="16">
        <v>46284</v>
      </c>
      <c r="I46" s="1"/>
      <c r="J46" s="16">
        <v>46329</v>
      </c>
      <c r="K46" s="1"/>
      <c r="L46" s="11">
        <f ca="1">Tabela13[[#This Row],[Data Prev.
Entrega]]-TODAY()</f>
        <v>99</v>
      </c>
      <c r="M46" s="11" t="str">
        <f t="shared" ca="1" si="11"/>
        <v>NO PRAZO</v>
      </c>
      <c r="N46" t="s">
        <v>32</v>
      </c>
      <c r="O46" s="29">
        <v>46274</v>
      </c>
      <c r="P46" s="1" t="s">
        <v>58</v>
      </c>
      <c r="Q46" s="1" t="s">
        <v>498</v>
      </c>
      <c r="R46" s="1" t="s">
        <v>500</v>
      </c>
      <c r="S46" s="1" t="s">
        <v>501</v>
      </c>
      <c r="T46" s="1" t="s">
        <v>224</v>
      </c>
      <c r="U46" s="1" t="s">
        <v>499</v>
      </c>
      <c r="V46" s="1" t="s">
        <v>231</v>
      </c>
      <c r="W46" s="1" t="s">
        <v>376</v>
      </c>
      <c r="X46" t="str">
        <f t="shared" si="12"/>
        <v>AG. FUNDIDO</v>
      </c>
    </row>
    <row r="47" spans="1:24" x14ac:dyDescent="0.25">
      <c r="A47" s="12">
        <v>2361</v>
      </c>
      <c r="B47" s="12">
        <v>8</v>
      </c>
      <c r="C47" s="12">
        <v>27656</v>
      </c>
      <c r="D47" s="12">
        <v>8</v>
      </c>
      <c r="E47" s="6" t="s">
        <v>478</v>
      </c>
      <c r="F47" s="6" t="s">
        <v>222</v>
      </c>
      <c r="G47" s="12">
        <v>1</v>
      </c>
      <c r="H47" s="16">
        <v>46284</v>
      </c>
      <c r="I47" s="1"/>
      <c r="J47" s="16">
        <v>46329</v>
      </c>
      <c r="K47" s="1"/>
      <c r="L47" s="11">
        <f ca="1">Tabela13[[#This Row],[Data Prev.
Entrega]]-TODAY()</f>
        <v>99</v>
      </c>
      <c r="M47" s="11" t="str">
        <f t="shared" ca="1" si="11"/>
        <v>NO PRAZO</v>
      </c>
      <c r="N47" t="s">
        <v>32</v>
      </c>
      <c r="O47" s="29">
        <v>46274</v>
      </c>
      <c r="P47" s="1" t="s">
        <v>58</v>
      </c>
      <c r="Q47" s="1" t="s">
        <v>498</v>
      </c>
      <c r="R47" s="1" t="s">
        <v>500</v>
      </c>
      <c r="S47" s="1" t="s">
        <v>501</v>
      </c>
      <c r="T47" s="1" t="s">
        <v>224</v>
      </c>
      <c r="U47" s="1" t="s">
        <v>499</v>
      </c>
      <c r="V47" s="1" t="s">
        <v>231</v>
      </c>
      <c r="W47" s="1" t="s">
        <v>376</v>
      </c>
      <c r="X47" t="str">
        <f t="shared" si="12"/>
        <v>AG. FUNDIDO</v>
      </c>
    </row>
    <row r="48" spans="1:24" x14ac:dyDescent="0.25">
      <c r="A48" s="12">
        <v>2361</v>
      </c>
      <c r="B48" s="12">
        <v>9</v>
      </c>
      <c r="C48" s="12">
        <v>27656</v>
      </c>
      <c r="D48" s="12">
        <v>9</v>
      </c>
      <c r="E48" s="6" t="s">
        <v>478</v>
      </c>
      <c r="F48" s="6" t="s">
        <v>222</v>
      </c>
      <c r="G48" s="12">
        <v>1</v>
      </c>
      <c r="H48" s="16">
        <v>46284</v>
      </c>
      <c r="I48" s="1"/>
      <c r="J48" s="16">
        <v>46329</v>
      </c>
      <c r="K48" s="1"/>
      <c r="L48" s="11">
        <f ca="1">Tabela13[[#This Row],[Data Prev.
Entrega]]-TODAY()</f>
        <v>99</v>
      </c>
      <c r="M48" s="11" t="str">
        <f t="shared" ca="1" si="11"/>
        <v>NO PRAZO</v>
      </c>
      <c r="N48" t="s">
        <v>32</v>
      </c>
      <c r="O48" s="29">
        <v>46274</v>
      </c>
      <c r="P48" s="1" t="s">
        <v>58</v>
      </c>
      <c r="Q48" s="1" t="s">
        <v>498</v>
      </c>
      <c r="R48" s="1" t="s">
        <v>500</v>
      </c>
      <c r="S48" s="1" t="s">
        <v>501</v>
      </c>
      <c r="T48" s="1" t="s">
        <v>224</v>
      </c>
      <c r="U48" s="1" t="s">
        <v>499</v>
      </c>
      <c r="V48" s="1" t="s">
        <v>231</v>
      </c>
      <c r="W48" s="1" t="s">
        <v>376</v>
      </c>
      <c r="X48" t="str">
        <f t="shared" si="12"/>
        <v>AG. FUNDIDO</v>
      </c>
    </row>
    <row r="49" spans="1:25" x14ac:dyDescent="0.25">
      <c r="A49" s="12">
        <v>2361</v>
      </c>
      <c r="B49" s="12">
        <v>10</v>
      </c>
      <c r="C49" s="12">
        <v>27656</v>
      </c>
      <c r="D49" s="12">
        <v>10</v>
      </c>
      <c r="E49" s="6" t="s">
        <v>478</v>
      </c>
      <c r="F49" s="6" t="s">
        <v>222</v>
      </c>
      <c r="G49" s="12">
        <v>1</v>
      </c>
      <c r="H49" s="16">
        <v>46284</v>
      </c>
      <c r="I49" s="1"/>
      <c r="J49" s="16">
        <v>46329</v>
      </c>
      <c r="K49" s="1"/>
      <c r="L49" s="11">
        <f ca="1">Tabela13[[#This Row],[Data Prev.
Entrega]]-TODAY()</f>
        <v>99</v>
      </c>
      <c r="M49" s="11" t="str">
        <f t="shared" ca="1" si="11"/>
        <v>NO PRAZO</v>
      </c>
      <c r="N49" t="s">
        <v>32</v>
      </c>
      <c r="O49" s="29">
        <v>46274</v>
      </c>
      <c r="P49" s="1" t="s">
        <v>58</v>
      </c>
      <c r="Q49" s="1" t="s">
        <v>498</v>
      </c>
      <c r="R49" s="1" t="s">
        <v>500</v>
      </c>
      <c r="S49" s="1" t="s">
        <v>501</v>
      </c>
      <c r="T49" s="1" t="s">
        <v>224</v>
      </c>
      <c r="U49" s="1" t="s">
        <v>499</v>
      </c>
      <c r="V49" s="1" t="s">
        <v>231</v>
      </c>
      <c r="W49" s="1" t="s">
        <v>376</v>
      </c>
      <c r="X49" t="str">
        <f t="shared" si="12"/>
        <v>AG. FUNDIDO</v>
      </c>
    </row>
    <row r="50" spans="1:25" x14ac:dyDescent="0.25">
      <c r="A50" s="12">
        <v>2361</v>
      </c>
      <c r="B50" s="12">
        <v>11</v>
      </c>
      <c r="C50" s="12">
        <v>27656</v>
      </c>
      <c r="D50" s="12">
        <v>11</v>
      </c>
      <c r="E50" s="6" t="s">
        <v>478</v>
      </c>
      <c r="F50" s="6" t="s">
        <v>222</v>
      </c>
      <c r="G50" s="12">
        <v>1</v>
      </c>
      <c r="H50" s="16">
        <v>46284</v>
      </c>
      <c r="I50" s="1"/>
      <c r="J50" s="16">
        <v>46329</v>
      </c>
      <c r="K50" s="1"/>
      <c r="L50" s="11">
        <f ca="1">Tabela13[[#This Row],[Data Prev.
Entrega]]-TODAY()</f>
        <v>99</v>
      </c>
      <c r="M50" s="11" t="str">
        <f t="shared" ca="1" si="11"/>
        <v>NO PRAZO</v>
      </c>
      <c r="N50" t="s">
        <v>32</v>
      </c>
      <c r="O50" s="29">
        <v>46274</v>
      </c>
      <c r="P50" s="1" t="s">
        <v>58</v>
      </c>
      <c r="Q50" s="1" t="s">
        <v>498</v>
      </c>
      <c r="R50" s="1" t="s">
        <v>500</v>
      </c>
      <c r="S50" s="1" t="s">
        <v>501</v>
      </c>
      <c r="T50" s="1" t="s">
        <v>224</v>
      </c>
      <c r="U50" s="1" t="s">
        <v>499</v>
      </c>
      <c r="V50" s="1" t="s">
        <v>231</v>
      </c>
      <c r="W50" s="1" t="s">
        <v>376</v>
      </c>
      <c r="X50" t="str">
        <f t="shared" si="12"/>
        <v>AG. FUNDIDO</v>
      </c>
    </row>
    <row r="51" spans="1:25" x14ac:dyDescent="0.25">
      <c r="A51" s="12">
        <v>2361</v>
      </c>
      <c r="B51" s="12">
        <v>12</v>
      </c>
      <c r="C51" s="12">
        <v>27656</v>
      </c>
      <c r="D51" s="12">
        <v>12</v>
      </c>
      <c r="E51" s="6" t="s">
        <v>478</v>
      </c>
      <c r="F51" s="6" t="s">
        <v>222</v>
      </c>
      <c r="G51" s="12">
        <v>1</v>
      </c>
      <c r="H51" s="16">
        <v>46284</v>
      </c>
      <c r="I51" s="1"/>
      <c r="J51" s="16">
        <v>46329</v>
      </c>
      <c r="K51" s="1"/>
      <c r="L51" s="11">
        <f ca="1">Tabela13[[#This Row],[Data Prev.
Entrega]]-TODAY()</f>
        <v>99</v>
      </c>
      <c r="M51" s="11" t="str">
        <f t="shared" ca="1" si="11"/>
        <v>NO PRAZO</v>
      </c>
      <c r="N51" t="s">
        <v>32</v>
      </c>
      <c r="O51" s="29">
        <v>46274</v>
      </c>
      <c r="P51" s="1" t="s">
        <v>58</v>
      </c>
      <c r="Q51" s="1" t="s">
        <v>498</v>
      </c>
      <c r="R51" s="1" t="s">
        <v>500</v>
      </c>
      <c r="S51" s="1" t="s">
        <v>501</v>
      </c>
      <c r="T51" s="1" t="s">
        <v>224</v>
      </c>
      <c r="U51" s="1" t="s">
        <v>499</v>
      </c>
      <c r="V51" s="1" t="s">
        <v>231</v>
      </c>
      <c r="W51" s="1" t="s">
        <v>376</v>
      </c>
      <c r="X51" t="str">
        <f t="shared" si="12"/>
        <v>AG. FUNDIDO</v>
      </c>
    </row>
    <row r="52" spans="1:25" x14ac:dyDescent="0.25">
      <c r="A52" s="12">
        <v>2358</v>
      </c>
      <c r="B52" s="12">
        <v>56</v>
      </c>
      <c r="C52" s="12">
        <v>27656</v>
      </c>
      <c r="D52" s="12">
        <v>35</v>
      </c>
      <c r="E52" s="6" t="s">
        <v>106</v>
      </c>
      <c r="F52" s="6" t="s">
        <v>508</v>
      </c>
      <c r="G52" s="12">
        <v>1</v>
      </c>
      <c r="H52" s="16">
        <v>46295</v>
      </c>
      <c r="I52" s="1"/>
      <c r="J52" s="16">
        <v>46386</v>
      </c>
      <c r="K52" s="1"/>
      <c r="L52" s="11">
        <f ca="1">Tabela13[[#This Row],[Data Prev.
Entrega]]-TODAY()</f>
        <v>156</v>
      </c>
      <c r="M52" s="11" t="str">
        <f ca="1">IF(L52&lt;0,"ATRASADO",IF(L52&lt;=15,"ATENÇÃO","NO PRAZO"))</f>
        <v>NO PRAZO</v>
      </c>
      <c r="N52" t="s">
        <v>32</v>
      </c>
      <c r="O52" s="29">
        <v>46285</v>
      </c>
      <c r="P52" s="1" t="s">
        <v>58</v>
      </c>
      <c r="Q52" s="1" t="s">
        <v>498</v>
      </c>
      <c r="R52" s="1" t="s">
        <v>500</v>
      </c>
      <c r="S52" s="1" t="s">
        <v>501</v>
      </c>
      <c r="T52" s="1" t="s">
        <v>224</v>
      </c>
      <c r="U52" s="1" t="s">
        <v>499</v>
      </c>
      <c r="V52" s="1" t="s">
        <v>231</v>
      </c>
      <c r="W52" s="1" t="s">
        <v>376</v>
      </c>
      <c r="X52" t="str">
        <f>IF(I52="","AG. FUNDIDO",IF(W52="OK","LIBERADA","EM USINAGEM"))</f>
        <v>AG. FUNDIDO</v>
      </c>
      <c r="Y52" t="s">
        <v>509</v>
      </c>
    </row>
    <row r="53" spans="1:25" x14ac:dyDescent="0.25">
      <c r="A53" s="12">
        <v>2358</v>
      </c>
      <c r="B53" s="12">
        <v>57</v>
      </c>
      <c r="C53" s="12">
        <v>27656</v>
      </c>
      <c r="D53" s="12">
        <v>36</v>
      </c>
      <c r="E53" s="6" t="s">
        <v>106</v>
      </c>
      <c r="F53" s="6" t="s">
        <v>510</v>
      </c>
      <c r="G53" s="12">
        <v>1</v>
      </c>
      <c r="H53" s="16">
        <v>46295</v>
      </c>
      <c r="I53" s="1"/>
      <c r="J53" s="16">
        <v>46386</v>
      </c>
      <c r="K53" s="1"/>
      <c r="L53" s="11">
        <f ca="1">Tabela13[[#This Row],[Data Prev.
Entrega]]-TODAY()</f>
        <v>156</v>
      </c>
      <c r="M53" s="11" t="str">
        <f t="shared" ref="M53:M54" ca="1" si="13">IF(L53&lt;0,"ATRASADO",IF(L53&lt;=15,"ATENÇÃO","NO PRAZO"))</f>
        <v>NO PRAZO</v>
      </c>
      <c r="N53" t="s">
        <v>32</v>
      </c>
      <c r="O53" s="29">
        <v>46285</v>
      </c>
      <c r="P53" s="1" t="s">
        <v>58</v>
      </c>
      <c r="Q53" s="1" t="s">
        <v>498</v>
      </c>
      <c r="R53" s="1" t="s">
        <v>500</v>
      </c>
      <c r="S53" s="1" t="s">
        <v>501</v>
      </c>
      <c r="T53" s="1" t="s">
        <v>224</v>
      </c>
      <c r="U53" s="1" t="s">
        <v>499</v>
      </c>
      <c r="V53" s="1" t="s">
        <v>231</v>
      </c>
      <c r="W53" s="1" t="s">
        <v>376</v>
      </c>
      <c r="X53" t="str">
        <f t="shared" ref="X53:X54" si="14">IF(I53="","AG. FUNDIDO",IF(W53="OK","LIBERADA","EM USINAGEM"))</f>
        <v>AG. FUNDIDO</v>
      </c>
      <c r="Y53" t="s">
        <v>511</v>
      </c>
    </row>
    <row r="54" spans="1:25" x14ac:dyDescent="0.25">
      <c r="A54" s="12">
        <v>2358</v>
      </c>
      <c r="B54" s="12">
        <v>58</v>
      </c>
      <c r="C54" s="12">
        <v>27656</v>
      </c>
      <c r="D54" s="12">
        <v>37</v>
      </c>
      <c r="E54" s="6" t="s">
        <v>106</v>
      </c>
      <c r="F54" s="6" t="s">
        <v>510</v>
      </c>
      <c r="G54" s="12">
        <v>1</v>
      </c>
      <c r="H54" s="16">
        <v>46295</v>
      </c>
      <c r="I54" s="1"/>
      <c r="J54" s="16">
        <v>46386</v>
      </c>
      <c r="K54" s="1"/>
      <c r="L54" s="11">
        <f ca="1">Tabela13[[#This Row],[Data Prev.
Entrega]]-TODAY()</f>
        <v>156</v>
      </c>
      <c r="M54" s="11" t="str">
        <f t="shared" ca="1" si="13"/>
        <v>NO PRAZO</v>
      </c>
      <c r="N54" t="s">
        <v>32</v>
      </c>
      <c r="O54" s="29">
        <v>46285</v>
      </c>
      <c r="P54" s="1" t="s">
        <v>58</v>
      </c>
      <c r="Q54" s="1" t="s">
        <v>498</v>
      </c>
      <c r="R54" s="1" t="s">
        <v>500</v>
      </c>
      <c r="S54" s="1" t="s">
        <v>501</v>
      </c>
      <c r="T54" s="1" t="s">
        <v>224</v>
      </c>
      <c r="U54" s="1" t="s">
        <v>499</v>
      </c>
      <c r="V54" s="1" t="s">
        <v>231</v>
      </c>
      <c r="W54" s="1" t="s">
        <v>376</v>
      </c>
      <c r="X54" t="str">
        <f t="shared" si="14"/>
        <v>AG. FUNDIDO</v>
      </c>
      <c r="Y54" t="s">
        <v>512</v>
      </c>
    </row>
    <row r="55" spans="1:25" x14ac:dyDescent="0.25">
      <c r="A55" s="12">
        <v>2354</v>
      </c>
      <c r="B55" s="12"/>
      <c r="C55" s="12">
        <v>27639</v>
      </c>
      <c r="D55" s="12">
        <v>10</v>
      </c>
      <c r="E55" s="6" t="s">
        <v>527</v>
      </c>
      <c r="F55" s="6" t="s">
        <v>81</v>
      </c>
      <c r="G55" s="12">
        <v>1</v>
      </c>
      <c r="H55" s="16">
        <v>46295</v>
      </c>
      <c r="I55" s="1"/>
      <c r="J55" s="16">
        <v>46386</v>
      </c>
      <c r="K55" s="1"/>
      <c r="L55" s="11">
        <f ca="1">Tabela13[[#This Row],[Data Prev.
Entrega]]-TODAY()</f>
        <v>156</v>
      </c>
      <c r="M55" s="11" t="str">
        <f ca="1">IF(L55&lt;0,"ATRASADO",IF(L55&lt;=15,"ATENÇÃO","NO PRAZO"))</f>
        <v>NO PRAZO</v>
      </c>
      <c r="N55" t="s">
        <v>32</v>
      </c>
      <c r="O55" s="29">
        <v>46285</v>
      </c>
      <c r="P55" s="1" t="s">
        <v>58</v>
      </c>
      <c r="Q55" s="1" t="s">
        <v>498</v>
      </c>
      <c r="R55" s="1" t="s">
        <v>500</v>
      </c>
      <c r="S55" s="1" t="s">
        <v>501</v>
      </c>
      <c r="T55" s="1" t="s">
        <v>224</v>
      </c>
      <c r="U55" s="1" t="s">
        <v>499</v>
      </c>
      <c r="V55" s="1" t="s">
        <v>231</v>
      </c>
      <c r="W55" s="1" t="s">
        <v>376</v>
      </c>
      <c r="X55" t="str">
        <f>IF(I55="","AG. FUNDIDO",IF(W55="OK","LIBERADA","EM USINAGEM"))</f>
        <v>AG. FUNDIDO</v>
      </c>
    </row>
    <row r="56" spans="1:25" x14ac:dyDescent="0.25">
      <c r="A56" s="12">
        <v>2354</v>
      </c>
      <c r="B56" s="12"/>
      <c r="C56" s="12">
        <v>27639</v>
      </c>
      <c r="D56" s="12">
        <v>11</v>
      </c>
      <c r="E56" s="6" t="s">
        <v>527</v>
      </c>
      <c r="F56" s="6" t="s">
        <v>81</v>
      </c>
      <c r="G56" s="12">
        <v>1</v>
      </c>
      <c r="H56" s="16">
        <v>46295</v>
      </c>
      <c r="I56" s="1"/>
      <c r="J56" s="16">
        <v>46386</v>
      </c>
      <c r="K56" s="1"/>
      <c r="L56" s="11">
        <f ca="1">Tabela13[[#This Row],[Data Prev.
Entrega]]-TODAY()</f>
        <v>156</v>
      </c>
      <c r="M56" s="11" t="str">
        <f ca="1">IF(L56&lt;0,"ATRASADO",IF(L56&lt;=15,"ATENÇÃO","NO PRAZO"))</f>
        <v>NO PRAZO</v>
      </c>
      <c r="N56" t="s">
        <v>32</v>
      </c>
      <c r="O56" s="29">
        <v>46285</v>
      </c>
      <c r="P56" s="1" t="s">
        <v>58</v>
      </c>
      <c r="Q56" s="1" t="s">
        <v>498</v>
      </c>
      <c r="R56" s="1" t="s">
        <v>500</v>
      </c>
      <c r="S56" s="1" t="s">
        <v>501</v>
      </c>
      <c r="T56" s="1" t="s">
        <v>224</v>
      </c>
      <c r="U56" s="1" t="s">
        <v>499</v>
      </c>
      <c r="V56" s="1" t="s">
        <v>231</v>
      </c>
      <c r="W56" s="1" t="s">
        <v>376</v>
      </c>
      <c r="X56" t="str">
        <f>IF(I56="","AG. FUNDIDO",IF(W56="OK","LIBERADA","EM USINAGEM"))</f>
        <v>AG. FUNDIDO</v>
      </c>
    </row>
    <row r="57" spans="1:25" x14ac:dyDescent="0.25">
      <c r="L57" s="11"/>
      <c r="M57" s="11"/>
    </row>
    <row r="58" spans="1:25" x14ac:dyDescent="0.25">
      <c r="L58" s="11"/>
      <c r="M58" s="11"/>
    </row>
    <row r="59" spans="1:25" x14ac:dyDescent="0.25">
      <c r="L59" s="11"/>
      <c r="M59" s="11"/>
    </row>
    <row r="60" spans="1:25" x14ac:dyDescent="0.25">
      <c r="L60" s="11"/>
      <c r="M60" s="11"/>
    </row>
    <row r="61" spans="1:25" x14ac:dyDescent="0.25">
      <c r="L61" s="11"/>
      <c r="M61" s="11"/>
    </row>
    <row r="62" spans="1:25" x14ac:dyDescent="0.25">
      <c r="L62" s="11"/>
      <c r="M62" s="11"/>
    </row>
    <row r="63" spans="1:25" x14ac:dyDescent="0.25">
      <c r="L63" s="11"/>
      <c r="M63" s="11"/>
    </row>
    <row r="64" spans="1:25" x14ac:dyDescent="0.25">
      <c r="L64" s="11"/>
      <c r="M64" s="11"/>
    </row>
    <row r="65" spans="12:13" x14ac:dyDescent="0.25">
      <c r="L65" s="11"/>
      <c r="M65" s="11"/>
    </row>
    <row r="66" spans="12:13" x14ac:dyDescent="0.25">
      <c r="L66" s="11"/>
      <c r="M66" s="11"/>
    </row>
    <row r="67" spans="12:13" x14ac:dyDescent="0.25">
      <c r="L67" s="11"/>
      <c r="M67" s="11"/>
    </row>
    <row r="68" spans="12:13" x14ac:dyDescent="0.25">
      <c r="L68" s="11"/>
      <c r="M68" s="11"/>
    </row>
    <row r="69" spans="12:13" x14ac:dyDescent="0.25">
      <c r="L69" s="11"/>
      <c r="M69" s="11"/>
    </row>
    <row r="70" spans="12:13" x14ac:dyDescent="0.25">
      <c r="L70" s="11"/>
      <c r="M70" s="11"/>
    </row>
    <row r="71" spans="12:13" x14ac:dyDescent="0.25">
      <c r="L71" s="11"/>
      <c r="M71" s="11"/>
    </row>
    <row r="72" spans="12:13" x14ac:dyDescent="0.25">
      <c r="L72" s="11"/>
      <c r="M72" s="11"/>
    </row>
    <row r="73" spans="12:13" x14ac:dyDescent="0.25">
      <c r="L73" s="11"/>
      <c r="M73" s="11"/>
    </row>
    <row r="74" spans="12:13" x14ac:dyDescent="0.25">
      <c r="L74" s="11"/>
      <c r="M74" s="11"/>
    </row>
    <row r="75" spans="12:13" x14ac:dyDescent="0.25">
      <c r="L75" s="11"/>
      <c r="M75" s="11"/>
    </row>
    <row r="76" spans="12:13" x14ac:dyDescent="0.25">
      <c r="L76" s="11"/>
      <c r="M76" s="11"/>
    </row>
    <row r="77" spans="12:13" x14ac:dyDescent="0.25">
      <c r="L77" s="11"/>
      <c r="M77" s="11"/>
    </row>
    <row r="78" spans="12:13" x14ac:dyDescent="0.25">
      <c r="L78" s="11"/>
      <c r="M78" s="11"/>
    </row>
    <row r="79" spans="12:13" x14ac:dyDescent="0.25">
      <c r="L79" s="11"/>
      <c r="M79" s="11"/>
    </row>
    <row r="80" spans="12:13" x14ac:dyDescent="0.25">
      <c r="L80" s="11"/>
      <c r="M80" s="11"/>
    </row>
    <row r="81" spans="12:13" x14ac:dyDescent="0.25">
      <c r="L81" s="11"/>
      <c r="M81" s="11"/>
    </row>
    <row r="82" spans="12:13" x14ac:dyDescent="0.25">
      <c r="L82" s="11"/>
      <c r="M82" s="11"/>
    </row>
    <row r="83" spans="12:13" x14ac:dyDescent="0.25">
      <c r="L83" s="11"/>
      <c r="M83" s="11"/>
    </row>
    <row r="84" spans="12:13" x14ac:dyDescent="0.25">
      <c r="L84" s="11"/>
      <c r="M84" s="11"/>
    </row>
    <row r="85" spans="12:13" x14ac:dyDescent="0.25">
      <c r="L85" s="11"/>
      <c r="M85" s="11"/>
    </row>
    <row r="86" spans="12:13" x14ac:dyDescent="0.25">
      <c r="L86" s="11"/>
      <c r="M86" s="11"/>
    </row>
    <row r="87" spans="12:13" x14ac:dyDescent="0.25">
      <c r="L87" s="11"/>
      <c r="M87" s="11"/>
    </row>
    <row r="88" spans="12:13" x14ac:dyDescent="0.25">
      <c r="L88" s="11"/>
      <c r="M88" s="11"/>
    </row>
    <row r="89" spans="12:13" x14ac:dyDescent="0.25">
      <c r="L89" s="11"/>
      <c r="M89" s="11"/>
    </row>
    <row r="90" spans="12:13" x14ac:dyDescent="0.25">
      <c r="L90" s="11"/>
      <c r="M90" s="11"/>
    </row>
    <row r="91" spans="12:13" x14ac:dyDescent="0.25">
      <c r="L91" s="11"/>
      <c r="M91" s="11"/>
    </row>
    <row r="92" spans="12:13" x14ac:dyDescent="0.25">
      <c r="L92" s="11"/>
      <c r="M92" s="11"/>
    </row>
    <row r="93" spans="12:13" x14ac:dyDescent="0.25">
      <c r="L93" s="11"/>
      <c r="M93" s="11"/>
    </row>
    <row r="94" spans="12:13" x14ac:dyDescent="0.25">
      <c r="L94" s="11"/>
      <c r="M94" s="11"/>
    </row>
    <row r="95" spans="12:13" x14ac:dyDescent="0.25">
      <c r="L95" s="11"/>
      <c r="M95" s="11"/>
    </row>
    <row r="96" spans="12:13" x14ac:dyDescent="0.25">
      <c r="L96" s="11"/>
      <c r="M96" s="11"/>
    </row>
    <row r="97" spans="12:13" x14ac:dyDescent="0.25">
      <c r="L97" s="11"/>
      <c r="M97" s="11"/>
    </row>
    <row r="98" spans="12:13" x14ac:dyDescent="0.25">
      <c r="L98" s="11"/>
      <c r="M98" s="11"/>
    </row>
    <row r="99" spans="12:13" x14ac:dyDescent="0.25">
      <c r="L99" s="11"/>
      <c r="M99" s="11"/>
    </row>
    <row r="100" spans="12:13" x14ac:dyDescent="0.25">
      <c r="L100" s="11"/>
      <c r="M100" s="11"/>
    </row>
    <row r="101" spans="12:13" x14ac:dyDescent="0.25">
      <c r="L101" s="11"/>
      <c r="M101" s="11"/>
    </row>
    <row r="102" spans="12:13" x14ac:dyDescent="0.25">
      <c r="L102" s="11"/>
      <c r="M102" s="11"/>
    </row>
    <row r="103" spans="12:13" x14ac:dyDescent="0.25">
      <c r="L103" s="11"/>
      <c r="M103" s="11"/>
    </row>
    <row r="104" spans="12:13" x14ac:dyDescent="0.25">
      <c r="L104" s="11"/>
      <c r="M104" s="11"/>
    </row>
    <row r="105" spans="12:13" x14ac:dyDescent="0.25">
      <c r="L105" s="11"/>
      <c r="M105" s="11"/>
    </row>
    <row r="106" spans="12:13" x14ac:dyDescent="0.25">
      <c r="L106" s="11"/>
      <c r="M106" s="11"/>
    </row>
    <row r="107" spans="12:13" x14ac:dyDescent="0.25">
      <c r="L107" s="11"/>
      <c r="M107" s="11"/>
    </row>
    <row r="108" spans="12:13" x14ac:dyDescent="0.25">
      <c r="L108" s="11"/>
      <c r="M108" s="11"/>
    </row>
    <row r="109" spans="12:13" x14ac:dyDescent="0.25">
      <c r="L109" s="11"/>
      <c r="M109" s="11"/>
    </row>
    <row r="110" spans="12:13" x14ac:dyDescent="0.25">
      <c r="L110" s="11"/>
      <c r="M110" s="11"/>
    </row>
    <row r="111" spans="12:13" x14ac:dyDescent="0.25">
      <c r="L111" s="11"/>
      <c r="M111" s="11"/>
    </row>
    <row r="112" spans="12:13" x14ac:dyDescent="0.25">
      <c r="L112" s="11"/>
      <c r="M112" s="11"/>
    </row>
    <row r="113" spans="12:13" x14ac:dyDescent="0.25">
      <c r="L113" s="11"/>
      <c r="M113" s="11"/>
    </row>
    <row r="114" spans="12:13" x14ac:dyDescent="0.25">
      <c r="L114" s="11"/>
      <c r="M114" s="11"/>
    </row>
    <row r="115" spans="12:13" x14ac:dyDescent="0.25">
      <c r="L115" s="11"/>
      <c r="M115" s="11"/>
    </row>
    <row r="116" spans="12:13" x14ac:dyDescent="0.25">
      <c r="L116" s="11"/>
      <c r="M116" s="11"/>
    </row>
    <row r="117" spans="12:13" x14ac:dyDescent="0.25">
      <c r="L117" s="11"/>
      <c r="M117" s="11"/>
    </row>
    <row r="118" spans="12:13" x14ac:dyDescent="0.25">
      <c r="L118" s="11"/>
      <c r="M118" s="11"/>
    </row>
    <row r="119" spans="12:13" x14ac:dyDescent="0.25">
      <c r="L119" s="11"/>
      <c r="M119" s="11"/>
    </row>
    <row r="120" spans="12:13" x14ac:dyDescent="0.25">
      <c r="L120" s="11"/>
      <c r="M120" s="11"/>
    </row>
    <row r="121" spans="12:13" x14ac:dyDescent="0.25">
      <c r="L121" s="11"/>
      <c r="M121" s="11"/>
    </row>
    <row r="122" spans="12:13" x14ac:dyDescent="0.25">
      <c r="L122" s="11"/>
      <c r="M122" s="11"/>
    </row>
    <row r="123" spans="12:13" x14ac:dyDescent="0.25">
      <c r="L123" s="11"/>
      <c r="M123" s="11"/>
    </row>
    <row r="124" spans="12:13" x14ac:dyDescent="0.25">
      <c r="L124" s="11"/>
      <c r="M124" s="11"/>
    </row>
    <row r="125" spans="12:13" x14ac:dyDescent="0.25">
      <c r="L125" s="11"/>
      <c r="M125" s="11"/>
    </row>
    <row r="126" spans="12:13" x14ac:dyDescent="0.25">
      <c r="L126" s="11"/>
      <c r="M126" s="11"/>
    </row>
    <row r="127" spans="12:13" x14ac:dyDescent="0.25">
      <c r="L127" s="11"/>
      <c r="M127" s="11"/>
    </row>
    <row r="128" spans="12:13" x14ac:dyDescent="0.25">
      <c r="L128" s="11"/>
      <c r="M128" s="11"/>
    </row>
    <row r="129" spans="12:13" x14ac:dyDescent="0.25">
      <c r="L129" s="11"/>
      <c r="M129" s="11"/>
    </row>
    <row r="130" spans="12:13" x14ac:dyDescent="0.25">
      <c r="L130" s="11"/>
      <c r="M130" s="11"/>
    </row>
    <row r="131" spans="12:13" x14ac:dyDescent="0.25">
      <c r="L131" s="11"/>
      <c r="M131" s="11"/>
    </row>
    <row r="132" spans="12:13" x14ac:dyDescent="0.25">
      <c r="L132" s="11"/>
      <c r="M132" s="11"/>
    </row>
    <row r="133" spans="12:13" x14ac:dyDescent="0.25">
      <c r="L133" s="11"/>
      <c r="M133" s="11"/>
    </row>
    <row r="134" spans="12:13" x14ac:dyDescent="0.25">
      <c r="L134" s="11"/>
      <c r="M134" s="11"/>
    </row>
    <row r="135" spans="12:13" x14ac:dyDescent="0.25">
      <c r="L135" s="11"/>
      <c r="M135" s="11"/>
    </row>
    <row r="136" spans="12:13" x14ac:dyDescent="0.25">
      <c r="L136" s="11"/>
      <c r="M136" s="11"/>
    </row>
    <row r="137" spans="12:13" x14ac:dyDescent="0.25">
      <c r="L137" s="11"/>
      <c r="M137" s="11"/>
    </row>
    <row r="138" spans="12:13" x14ac:dyDescent="0.25">
      <c r="L138" s="11"/>
      <c r="M138" s="11"/>
    </row>
    <row r="139" spans="12:13" x14ac:dyDescent="0.25">
      <c r="L139" s="11"/>
      <c r="M139" s="11"/>
    </row>
    <row r="140" spans="12:13" x14ac:dyDescent="0.25">
      <c r="L140" s="11"/>
      <c r="M140" s="11"/>
    </row>
    <row r="141" spans="12:13" x14ac:dyDescent="0.25">
      <c r="L141" s="11"/>
      <c r="M141" s="11"/>
    </row>
    <row r="142" spans="12:13" x14ac:dyDescent="0.25">
      <c r="L142" s="11"/>
      <c r="M142" s="11"/>
    </row>
    <row r="143" spans="12:13" x14ac:dyDescent="0.25">
      <c r="L143" s="11"/>
      <c r="M143" s="11"/>
    </row>
    <row r="144" spans="12:13" x14ac:dyDescent="0.25">
      <c r="L144" s="11"/>
      <c r="M144" s="11"/>
    </row>
    <row r="145" spans="12:13" x14ac:dyDescent="0.25">
      <c r="L145" s="11"/>
      <c r="M145" s="11"/>
    </row>
    <row r="146" spans="12:13" x14ac:dyDescent="0.25">
      <c r="L146" s="11"/>
      <c r="M146" s="11"/>
    </row>
    <row r="147" spans="12:13" x14ac:dyDescent="0.25">
      <c r="L147" s="11"/>
      <c r="M147" s="11"/>
    </row>
    <row r="148" spans="12:13" x14ac:dyDescent="0.25">
      <c r="L148" s="11"/>
      <c r="M148" s="11"/>
    </row>
    <row r="149" spans="12:13" x14ac:dyDescent="0.25">
      <c r="L149" s="11"/>
      <c r="M149" s="11"/>
    </row>
    <row r="150" spans="12:13" x14ac:dyDescent="0.25">
      <c r="L150" s="11"/>
      <c r="M150" s="11"/>
    </row>
    <row r="151" spans="12:13" x14ac:dyDescent="0.25">
      <c r="L151" s="11"/>
      <c r="M151" s="11"/>
    </row>
    <row r="152" spans="12:13" x14ac:dyDescent="0.25">
      <c r="L152" s="11"/>
      <c r="M152" s="11"/>
    </row>
    <row r="153" spans="12:13" x14ac:dyDescent="0.25">
      <c r="L153" s="11"/>
      <c r="M153" s="11"/>
    </row>
    <row r="154" spans="12:13" x14ac:dyDescent="0.25">
      <c r="L154" s="11"/>
      <c r="M154" s="11"/>
    </row>
    <row r="155" spans="12:13" x14ac:dyDescent="0.25">
      <c r="L155" s="11"/>
      <c r="M155" s="11"/>
    </row>
    <row r="156" spans="12:13" x14ac:dyDescent="0.25">
      <c r="L156" s="11"/>
      <c r="M156" s="11"/>
    </row>
    <row r="157" spans="12:13" x14ac:dyDescent="0.25">
      <c r="L157" s="11"/>
      <c r="M157" s="11"/>
    </row>
    <row r="158" spans="12:13" x14ac:dyDescent="0.25">
      <c r="L158" s="11"/>
      <c r="M158" s="11"/>
    </row>
    <row r="159" spans="12:13" x14ac:dyDescent="0.25">
      <c r="L159" s="11"/>
      <c r="M159" s="11"/>
    </row>
    <row r="160" spans="12:13" x14ac:dyDescent="0.25">
      <c r="L160" s="11"/>
      <c r="M160" s="11"/>
    </row>
    <row r="161" spans="12:13" x14ac:dyDescent="0.25">
      <c r="L161" s="11"/>
      <c r="M161" s="11"/>
    </row>
    <row r="162" spans="12:13" x14ac:dyDescent="0.25">
      <c r="L162" s="11"/>
      <c r="M162" s="11"/>
    </row>
    <row r="163" spans="12:13" x14ac:dyDescent="0.25">
      <c r="L163" s="11"/>
      <c r="M163" s="11"/>
    </row>
    <row r="164" spans="12:13" x14ac:dyDescent="0.25">
      <c r="L164" s="11"/>
      <c r="M164" s="11"/>
    </row>
    <row r="165" spans="12:13" x14ac:dyDescent="0.25">
      <c r="L165" s="11"/>
      <c r="M165" s="11"/>
    </row>
    <row r="166" spans="12:13" x14ac:dyDescent="0.25">
      <c r="L166" s="11"/>
      <c r="M166" s="11"/>
    </row>
    <row r="167" spans="12:13" x14ac:dyDescent="0.25">
      <c r="L167" s="11"/>
      <c r="M167" s="11"/>
    </row>
    <row r="168" spans="12:13" x14ac:dyDescent="0.25">
      <c r="L168" s="11"/>
      <c r="M168" s="11"/>
    </row>
    <row r="169" spans="12:13" x14ac:dyDescent="0.25">
      <c r="L169" s="11"/>
      <c r="M169" s="11"/>
    </row>
    <row r="170" spans="12:13" x14ac:dyDescent="0.25">
      <c r="L170" s="11"/>
      <c r="M170" s="11"/>
    </row>
    <row r="171" spans="12:13" x14ac:dyDescent="0.25">
      <c r="L171" s="11"/>
      <c r="M171" s="11"/>
    </row>
    <row r="172" spans="12:13" x14ac:dyDescent="0.25">
      <c r="L172" s="11"/>
      <c r="M172" s="11"/>
    </row>
    <row r="173" spans="12:13" x14ac:dyDescent="0.25">
      <c r="L173" s="11"/>
      <c r="M173" s="11"/>
    </row>
    <row r="174" spans="12:13" x14ac:dyDescent="0.25">
      <c r="L174" s="11"/>
      <c r="M174" s="11"/>
    </row>
    <row r="175" spans="12:13" x14ac:dyDescent="0.25">
      <c r="L175" s="11"/>
      <c r="M175" s="11"/>
    </row>
    <row r="176" spans="12:13" x14ac:dyDescent="0.25">
      <c r="L176" s="11"/>
      <c r="M176" s="11"/>
    </row>
    <row r="177" spans="12:13" x14ac:dyDescent="0.25">
      <c r="L177" s="11"/>
      <c r="M177" s="11"/>
    </row>
    <row r="178" spans="12:13" x14ac:dyDescent="0.25">
      <c r="L178" s="11"/>
      <c r="M178" s="11"/>
    </row>
    <row r="179" spans="12:13" x14ac:dyDescent="0.25">
      <c r="L179" s="11"/>
      <c r="M179" s="11"/>
    </row>
    <row r="180" spans="12:13" x14ac:dyDescent="0.25">
      <c r="L180" s="11"/>
      <c r="M180" s="11"/>
    </row>
    <row r="181" spans="12:13" x14ac:dyDescent="0.25">
      <c r="L181" s="11"/>
      <c r="M181" s="11"/>
    </row>
    <row r="182" spans="12:13" x14ac:dyDescent="0.25">
      <c r="L182" s="11"/>
      <c r="M182" s="11"/>
    </row>
    <row r="183" spans="12:13" x14ac:dyDescent="0.25">
      <c r="L183" s="11"/>
      <c r="M183" s="11"/>
    </row>
    <row r="184" spans="12:13" x14ac:dyDescent="0.25">
      <c r="L184" s="11"/>
      <c r="M184" s="11"/>
    </row>
    <row r="185" spans="12:13" x14ac:dyDescent="0.25">
      <c r="L185" s="11"/>
      <c r="M185" s="11"/>
    </row>
    <row r="186" spans="12:13" x14ac:dyDescent="0.25">
      <c r="L186" s="11"/>
      <c r="M186" s="11"/>
    </row>
    <row r="187" spans="12:13" x14ac:dyDescent="0.25">
      <c r="L187" s="11"/>
      <c r="M187" s="11"/>
    </row>
    <row r="188" spans="12:13" x14ac:dyDescent="0.25">
      <c r="L188" s="11"/>
      <c r="M188" s="11"/>
    </row>
    <row r="189" spans="12:13" x14ac:dyDescent="0.25">
      <c r="L189" s="11"/>
      <c r="M189" s="11"/>
    </row>
    <row r="190" spans="12:13" x14ac:dyDescent="0.25">
      <c r="L190" s="11"/>
      <c r="M190" s="11"/>
    </row>
    <row r="191" spans="12:13" x14ac:dyDescent="0.25">
      <c r="L191" s="11"/>
      <c r="M191" s="11"/>
    </row>
    <row r="192" spans="12:13" x14ac:dyDescent="0.25">
      <c r="L192" s="11"/>
      <c r="M192" s="11"/>
    </row>
    <row r="193" spans="12:13" x14ac:dyDescent="0.25">
      <c r="L193" s="11"/>
      <c r="M193" s="11"/>
    </row>
    <row r="194" spans="12:13" x14ac:dyDescent="0.25">
      <c r="L194" s="11"/>
      <c r="M194" s="11"/>
    </row>
    <row r="195" spans="12:13" x14ac:dyDescent="0.25">
      <c r="L195" s="11"/>
      <c r="M195" s="11"/>
    </row>
    <row r="196" spans="12:13" x14ac:dyDescent="0.25">
      <c r="L196" s="11"/>
      <c r="M196" s="11"/>
    </row>
    <row r="197" spans="12:13" x14ac:dyDescent="0.25">
      <c r="L197" s="11"/>
      <c r="M197" s="11"/>
    </row>
    <row r="198" spans="12:13" x14ac:dyDescent="0.25">
      <c r="L198" s="11"/>
      <c r="M198" s="11"/>
    </row>
    <row r="199" spans="12:13" x14ac:dyDescent="0.25">
      <c r="L199" s="11"/>
      <c r="M199" s="11"/>
    </row>
    <row r="200" spans="12:13" x14ac:dyDescent="0.25">
      <c r="L200" s="11"/>
      <c r="M200" s="11"/>
    </row>
    <row r="201" spans="12:13" x14ac:dyDescent="0.25">
      <c r="L201" s="11"/>
      <c r="M201" s="11"/>
    </row>
    <row r="202" spans="12:13" x14ac:dyDescent="0.25">
      <c r="L202" s="11"/>
      <c r="M202" s="11"/>
    </row>
    <row r="203" spans="12:13" x14ac:dyDescent="0.25">
      <c r="L203" s="11"/>
      <c r="M203" s="11"/>
    </row>
    <row r="204" spans="12:13" x14ac:dyDescent="0.25">
      <c r="L204" s="11"/>
      <c r="M204" s="11"/>
    </row>
    <row r="205" spans="12:13" x14ac:dyDescent="0.25">
      <c r="L205" s="11"/>
      <c r="M205" s="11"/>
    </row>
    <row r="206" spans="12:13" x14ac:dyDescent="0.25">
      <c r="L206" s="11"/>
      <c r="M206" s="11"/>
    </row>
    <row r="207" spans="12:13" x14ac:dyDescent="0.25">
      <c r="L207" s="11"/>
      <c r="M207" s="1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338A-38F4-471C-9022-00FF17B3BD86}">
  <dimension ref="A1:U65"/>
  <sheetViews>
    <sheetView topLeftCell="A9" workbookViewId="0">
      <selection activeCell="D44" sqref="D44"/>
    </sheetView>
  </sheetViews>
  <sheetFormatPr defaultRowHeight="13.5" x14ac:dyDescent="0.25"/>
  <cols>
    <col min="1" max="1" width="7.5703125" style="80" customWidth="1"/>
    <col min="2" max="2" width="6.7109375" style="80" customWidth="1"/>
    <col min="3" max="3" width="16.85546875" style="80" customWidth="1"/>
    <col min="4" max="4" width="27.42578125" style="80" customWidth="1"/>
    <col min="5" max="5" width="9.140625" style="80"/>
    <col min="6" max="7" width="5.85546875" style="80" customWidth="1"/>
    <col min="8" max="8" width="10.140625" style="89" bestFit="1" customWidth="1"/>
    <col min="9" max="9" width="6.7109375" style="80" customWidth="1"/>
    <col min="10" max="10" width="10.140625" style="89" bestFit="1" customWidth="1"/>
    <col min="11" max="19" width="9.140625" style="80"/>
    <col min="20" max="20" width="17.7109375" style="80" customWidth="1"/>
    <col min="21" max="21" width="20" style="80" customWidth="1"/>
    <col min="22" max="16384" width="9.140625" style="80"/>
  </cols>
  <sheetData>
    <row r="1" spans="1:21" ht="27" x14ac:dyDescent="0.25">
      <c r="A1" s="48" t="s">
        <v>7</v>
      </c>
      <c r="B1" s="48" t="s">
        <v>1</v>
      </c>
      <c r="C1" s="48" t="s">
        <v>3</v>
      </c>
      <c r="D1" s="48" t="s">
        <v>6</v>
      </c>
      <c r="E1" s="48" t="s">
        <v>2</v>
      </c>
      <c r="F1" s="48" t="s">
        <v>216</v>
      </c>
      <c r="G1" s="48" t="s">
        <v>203</v>
      </c>
      <c r="H1" s="87" t="s">
        <v>84</v>
      </c>
      <c r="I1" s="49" t="s">
        <v>68</v>
      </c>
      <c r="J1" s="87" t="s">
        <v>53</v>
      </c>
      <c r="K1" s="49" t="s">
        <v>234</v>
      </c>
      <c r="L1" s="49" t="s">
        <v>235</v>
      </c>
      <c r="M1" s="49" t="s">
        <v>236</v>
      </c>
      <c r="N1" s="49" t="s">
        <v>237</v>
      </c>
      <c r="O1" s="49" t="s">
        <v>238</v>
      </c>
      <c r="P1" s="49" t="s">
        <v>239</v>
      </c>
      <c r="Q1" s="49" t="s">
        <v>240</v>
      </c>
      <c r="R1" s="49" t="s">
        <v>241</v>
      </c>
      <c r="S1" s="49" t="s">
        <v>242</v>
      </c>
      <c r="T1" s="49" t="s">
        <v>74</v>
      </c>
      <c r="U1" s="49" t="s">
        <v>59</v>
      </c>
    </row>
    <row r="2" spans="1:21" x14ac:dyDescent="0.25">
      <c r="A2" s="85">
        <v>1027</v>
      </c>
      <c r="B2" s="85" t="s">
        <v>63</v>
      </c>
      <c r="C2" s="81" t="s">
        <v>89</v>
      </c>
      <c r="D2" s="81" t="s">
        <v>375</v>
      </c>
      <c r="E2" s="81">
        <v>4</v>
      </c>
      <c r="F2" s="81" t="s">
        <v>268</v>
      </c>
      <c r="G2" s="81" t="s">
        <v>205</v>
      </c>
      <c r="H2" s="88">
        <v>46388</v>
      </c>
      <c r="I2" s="81" t="s">
        <v>58</v>
      </c>
      <c r="J2" s="88">
        <v>46423</v>
      </c>
      <c r="K2" s="81" t="s">
        <v>369</v>
      </c>
      <c r="L2" s="81" t="s">
        <v>376</v>
      </c>
      <c r="M2" s="81" t="s">
        <v>246</v>
      </c>
      <c r="N2" s="81"/>
      <c r="O2" s="81"/>
      <c r="P2" s="81"/>
      <c r="Q2" s="81"/>
      <c r="R2" s="81"/>
      <c r="S2" s="81"/>
      <c r="T2" s="81" t="s">
        <v>200</v>
      </c>
      <c r="U2" s="81"/>
    </row>
    <row r="3" spans="1:21" x14ac:dyDescent="0.25">
      <c r="A3" s="85">
        <v>1027</v>
      </c>
      <c r="B3" s="85" t="s">
        <v>63</v>
      </c>
      <c r="C3" s="81" t="s">
        <v>89</v>
      </c>
      <c r="D3" s="81" t="s">
        <v>375</v>
      </c>
      <c r="E3" s="81">
        <v>4</v>
      </c>
      <c r="F3" s="81" t="s">
        <v>268</v>
      </c>
      <c r="G3" s="81" t="s">
        <v>206</v>
      </c>
      <c r="H3" s="88">
        <v>46388</v>
      </c>
      <c r="I3" s="81" t="s">
        <v>58</v>
      </c>
      <c r="J3" s="88">
        <v>46423</v>
      </c>
      <c r="K3" s="81" t="s">
        <v>369</v>
      </c>
      <c r="L3" s="81" t="s">
        <v>376</v>
      </c>
      <c r="M3" s="81" t="s">
        <v>246</v>
      </c>
      <c r="N3" s="81"/>
      <c r="O3" s="81"/>
      <c r="P3" s="81"/>
      <c r="Q3" s="81"/>
      <c r="R3" s="81"/>
      <c r="S3" s="81"/>
      <c r="T3" s="81" t="s">
        <v>200</v>
      </c>
      <c r="U3" s="81"/>
    </row>
    <row r="4" spans="1:21" x14ac:dyDescent="0.25">
      <c r="A4" s="85">
        <v>1027</v>
      </c>
      <c r="B4" s="85" t="s">
        <v>63</v>
      </c>
      <c r="C4" s="81" t="s">
        <v>89</v>
      </c>
      <c r="D4" s="81" t="s">
        <v>377</v>
      </c>
      <c r="E4" s="81">
        <v>1</v>
      </c>
      <c r="F4" s="81" t="s">
        <v>268</v>
      </c>
      <c r="G4" s="81" t="s">
        <v>206</v>
      </c>
      <c r="H4" s="88">
        <v>46388</v>
      </c>
      <c r="I4" s="81" t="s">
        <v>58</v>
      </c>
      <c r="J4" s="88">
        <v>46414</v>
      </c>
      <c r="K4" s="81" t="s">
        <v>369</v>
      </c>
      <c r="L4" s="81" t="s">
        <v>376</v>
      </c>
      <c r="M4" s="81" t="s">
        <v>246</v>
      </c>
      <c r="N4" s="81"/>
      <c r="O4" s="81"/>
      <c r="P4" s="81"/>
      <c r="Q4" s="81"/>
      <c r="R4" s="81"/>
      <c r="S4" s="81"/>
      <c r="T4" s="81" t="s">
        <v>200</v>
      </c>
      <c r="U4" s="81"/>
    </row>
    <row r="5" spans="1:21" x14ac:dyDescent="0.25">
      <c r="A5" s="85">
        <v>1027</v>
      </c>
      <c r="B5" s="85" t="s">
        <v>63</v>
      </c>
      <c r="C5" s="81" t="s">
        <v>89</v>
      </c>
      <c r="D5" s="81" t="s">
        <v>378</v>
      </c>
      <c r="E5" s="81">
        <v>2</v>
      </c>
      <c r="F5" s="81" t="s">
        <v>268</v>
      </c>
      <c r="G5" s="81" t="s">
        <v>206</v>
      </c>
      <c r="H5" s="88">
        <v>46388</v>
      </c>
      <c r="I5" s="81" t="s">
        <v>58</v>
      </c>
      <c r="J5" s="88">
        <v>46376</v>
      </c>
      <c r="K5" s="82" t="s">
        <v>369</v>
      </c>
      <c r="L5" s="81" t="s">
        <v>376</v>
      </c>
      <c r="M5" s="81" t="s">
        <v>246</v>
      </c>
      <c r="N5" s="81"/>
      <c r="O5" s="81"/>
      <c r="P5" s="81"/>
      <c r="Q5" s="81"/>
      <c r="R5" s="81"/>
      <c r="S5" s="81"/>
      <c r="T5" s="81" t="s">
        <v>379</v>
      </c>
      <c r="U5" s="81"/>
    </row>
    <row r="6" spans="1:21" x14ac:dyDescent="0.25">
      <c r="A6" s="85">
        <v>1027</v>
      </c>
      <c r="B6" s="85" t="s">
        <v>63</v>
      </c>
      <c r="C6" s="81" t="s">
        <v>89</v>
      </c>
      <c r="D6" s="81" t="s">
        <v>378</v>
      </c>
      <c r="E6" s="81">
        <v>2</v>
      </c>
      <c r="F6" s="81" t="s">
        <v>268</v>
      </c>
      <c r="G6" s="81" t="s">
        <v>206</v>
      </c>
      <c r="H6" s="88">
        <v>46388</v>
      </c>
      <c r="I6" s="81" t="s">
        <v>58</v>
      </c>
      <c r="J6" s="88">
        <v>46407</v>
      </c>
      <c r="K6" s="81" t="s">
        <v>369</v>
      </c>
      <c r="L6" s="81" t="s">
        <v>376</v>
      </c>
      <c r="M6" s="81" t="s">
        <v>246</v>
      </c>
      <c r="N6" s="81"/>
      <c r="O6" s="81"/>
      <c r="P6" s="81"/>
      <c r="Q6" s="81"/>
      <c r="R6" s="81"/>
      <c r="S6" s="81"/>
      <c r="T6" s="81" t="s">
        <v>200</v>
      </c>
      <c r="U6" s="81"/>
    </row>
    <row r="7" spans="1:21" x14ac:dyDescent="0.25">
      <c r="A7" s="85">
        <v>1027</v>
      </c>
      <c r="B7" s="85" t="s">
        <v>63</v>
      </c>
      <c r="C7" s="81" t="s">
        <v>89</v>
      </c>
      <c r="D7" s="81" t="s">
        <v>378</v>
      </c>
      <c r="E7" s="81">
        <v>4</v>
      </c>
      <c r="F7" s="81" t="s">
        <v>268</v>
      </c>
      <c r="G7" s="81" t="s">
        <v>207</v>
      </c>
      <c r="H7" s="88">
        <v>46388</v>
      </c>
      <c r="I7" s="81" t="s">
        <v>58</v>
      </c>
      <c r="J7" s="88">
        <v>46407</v>
      </c>
      <c r="K7" s="81" t="s">
        <v>369</v>
      </c>
      <c r="L7" s="81" t="s">
        <v>376</v>
      </c>
      <c r="M7" s="81" t="s">
        <v>246</v>
      </c>
      <c r="N7" s="81"/>
      <c r="O7" s="81"/>
      <c r="P7" s="81"/>
      <c r="Q7" s="81"/>
      <c r="R7" s="81"/>
      <c r="S7" s="81"/>
      <c r="T7" s="81" t="s">
        <v>200</v>
      </c>
      <c r="U7" s="81"/>
    </row>
    <row r="8" spans="1:21" x14ac:dyDescent="0.25">
      <c r="A8" s="85">
        <v>1027</v>
      </c>
      <c r="B8" s="85" t="s">
        <v>63</v>
      </c>
      <c r="C8" s="81" t="s">
        <v>89</v>
      </c>
      <c r="D8" s="81" t="s">
        <v>378</v>
      </c>
      <c r="E8" s="81">
        <v>4</v>
      </c>
      <c r="F8" s="81" t="s">
        <v>268</v>
      </c>
      <c r="G8" s="81" t="s">
        <v>208</v>
      </c>
      <c r="H8" s="88">
        <v>46388</v>
      </c>
      <c r="I8" s="81" t="s">
        <v>58</v>
      </c>
      <c r="J8" s="88">
        <v>46407</v>
      </c>
      <c r="K8" s="81" t="s">
        <v>369</v>
      </c>
      <c r="L8" s="81" t="s">
        <v>376</v>
      </c>
      <c r="M8" s="81" t="s">
        <v>246</v>
      </c>
      <c r="N8" s="81"/>
      <c r="O8" s="81"/>
      <c r="P8" s="81"/>
      <c r="Q8" s="81"/>
      <c r="R8" s="81"/>
      <c r="S8" s="81"/>
      <c r="T8" s="81" t="s">
        <v>200</v>
      </c>
      <c r="U8" s="81"/>
    </row>
    <row r="9" spans="1:21" x14ac:dyDescent="0.25">
      <c r="A9" s="85">
        <v>1027</v>
      </c>
      <c r="B9" s="85" t="s">
        <v>63</v>
      </c>
      <c r="C9" s="81" t="s">
        <v>89</v>
      </c>
      <c r="D9" s="81" t="s">
        <v>380</v>
      </c>
      <c r="E9" s="81">
        <v>2</v>
      </c>
      <c r="F9" s="81" t="s">
        <v>268</v>
      </c>
      <c r="G9" s="81" t="s">
        <v>207</v>
      </c>
      <c r="H9" s="88" t="s">
        <v>56</v>
      </c>
      <c r="I9" s="81" t="s">
        <v>548</v>
      </c>
      <c r="J9" s="88">
        <v>46376</v>
      </c>
      <c r="K9" s="81" t="s">
        <v>489</v>
      </c>
      <c r="L9" s="81" t="s">
        <v>490</v>
      </c>
      <c r="M9" s="81" t="s">
        <v>224</v>
      </c>
      <c r="N9" s="81" t="s">
        <v>393</v>
      </c>
      <c r="O9" s="81" t="s">
        <v>491</v>
      </c>
      <c r="P9" s="81" t="s">
        <v>374</v>
      </c>
      <c r="Q9" s="81"/>
      <c r="R9" s="81"/>
      <c r="S9" s="81"/>
      <c r="T9" s="81" t="s">
        <v>202</v>
      </c>
      <c r="U9" s="81" t="s">
        <v>492</v>
      </c>
    </row>
    <row r="10" spans="1:21" x14ac:dyDescent="0.25">
      <c r="A10" s="85">
        <v>1027</v>
      </c>
      <c r="B10" s="85" t="s">
        <v>63</v>
      </c>
      <c r="C10" s="81" t="s">
        <v>89</v>
      </c>
      <c r="D10" s="81" t="s">
        <v>380</v>
      </c>
      <c r="E10" s="81">
        <v>2</v>
      </c>
      <c r="F10" s="81" t="s">
        <v>201</v>
      </c>
      <c r="G10" s="81" t="s">
        <v>208</v>
      </c>
      <c r="H10" s="88" t="s">
        <v>56</v>
      </c>
      <c r="I10" s="81" t="s">
        <v>548</v>
      </c>
      <c r="J10" s="88">
        <v>46376</v>
      </c>
      <c r="K10" s="81" t="s">
        <v>489</v>
      </c>
      <c r="L10" s="81" t="s">
        <v>490</v>
      </c>
      <c r="M10" s="81" t="s">
        <v>224</v>
      </c>
      <c r="N10" s="81" t="s">
        <v>393</v>
      </c>
      <c r="O10" s="81" t="s">
        <v>491</v>
      </c>
      <c r="P10" s="81" t="s">
        <v>374</v>
      </c>
      <c r="Q10" s="81"/>
      <c r="R10" s="81"/>
      <c r="S10" s="81"/>
      <c r="T10" s="81" t="s">
        <v>202</v>
      </c>
      <c r="U10" s="81" t="s">
        <v>493</v>
      </c>
    </row>
    <row r="11" spans="1:21" x14ac:dyDescent="0.25">
      <c r="A11" s="85">
        <v>1027</v>
      </c>
      <c r="B11" s="85" t="s">
        <v>63</v>
      </c>
      <c r="C11" s="81" t="s">
        <v>89</v>
      </c>
      <c r="D11" s="81" t="s">
        <v>391</v>
      </c>
      <c r="E11" s="81">
        <v>3</v>
      </c>
      <c r="F11" s="81" t="s">
        <v>201</v>
      </c>
      <c r="G11" s="81" t="s">
        <v>204</v>
      </c>
      <c r="H11" s="88">
        <v>46388</v>
      </c>
      <c r="I11" s="81" t="s">
        <v>58</v>
      </c>
      <c r="J11" s="88">
        <v>46408</v>
      </c>
      <c r="K11" s="81" t="s">
        <v>369</v>
      </c>
      <c r="L11" s="81" t="s">
        <v>376</v>
      </c>
      <c r="M11" s="81" t="s">
        <v>246</v>
      </c>
      <c r="N11" s="81"/>
      <c r="O11" s="81"/>
      <c r="P11" s="81"/>
      <c r="Q11" s="81"/>
      <c r="R11" s="81"/>
      <c r="S11" s="81"/>
      <c r="T11" s="81" t="s">
        <v>200</v>
      </c>
      <c r="U11" s="81"/>
    </row>
    <row r="12" spans="1:21" x14ac:dyDescent="0.25">
      <c r="A12" s="85">
        <v>1027</v>
      </c>
      <c r="B12" s="85" t="s">
        <v>63</v>
      </c>
      <c r="C12" s="81" t="s">
        <v>89</v>
      </c>
      <c r="D12" s="81" t="s">
        <v>396</v>
      </c>
      <c r="E12" s="81">
        <v>1</v>
      </c>
      <c r="F12" s="51" t="s">
        <v>201</v>
      </c>
      <c r="G12" s="51" t="s">
        <v>204</v>
      </c>
      <c r="H12" s="88">
        <v>46388</v>
      </c>
      <c r="I12" s="81" t="s">
        <v>58</v>
      </c>
      <c r="J12" s="86">
        <v>46416</v>
      </c>
      <c r="K12" s="81" t="s">
        <v>369</v>
      </c>
      <c r="L12" s="81" t="s">
        <v>411</v>
      </c>
      <c r="M12" s="81" t="s">
        <v>376</v>
      </c>
      <c r="N12" s="81" t="s">
        <v>246</v>
      </c>
      <c r="O12" s="81" t="s">
        <v>412</v>
      </c>
      <c r="P12" s="81"/>
      <c r="Q12" s="81"/>
      <c r="R12" s="81"/>
      <c r="S12" s="81"/>
      <c r="T12" s="81" t="s">
        <v>200</v>
      </c>
      <c r="U12" s="81"/>
    </row>
    <row r="13" spans="1:21" x14ac:dyDescent="0.25">
      <c r="A13" s="85">
        <v>1027</v>
      </c>
      <c r="B13" s="85" t="s">
        <v>63</v>
      </c>
      <c r="C13" s="81" t="s">
        <v>89</v>
      </c>
      <c r="D13" s="81" t="s">
        <v>397</v>
      </c>
      <c r="E13" s="81">
        <v>1</v>
      </c>
      <c r="F13" s="51" t="s">
        <v>201</v>
      </c>
      <c r="G13" s="51" t="s">
        <v>204</v>
      </c>
      <c r="H13" s="88">
        <v>46388</v>
      </c>
      <c r="I13" s="81" t="s">
        <v>58</v>
      </c>
      <c r="J13" s="86">
        <v>46417</v>
      </c>
      <c r="K13" s="81" t="s">
        <v>369</v>
      </c>
      <c r="L13" s="81" t="s">
        <v>411</v>
      </c>
      <c r="M13" s="81" t="s">
        <v>376</v>
      </c>
      <c r="N13" s="81" t="s">
        <v>246</v>
      </c>
      <c r="O13" s="81" t="s">
        <v>412</v>
      </c>
      <c r="P13" s="81"/>
      <c r="Q13" s="81"/>
      <c r="R13" s="81"/>
      <c r="S13" s="81"/>
      <c r="T13" s="81" t="s">
        <v>200</v>
      </c>
      <c r="U13" s="81"/>
    </row>
    <row r="14" spans="1:21" x14ac:dyDescent="0.25">
      <c r="A14" s="85">
        <v>1027</v>
      </c>
      <c r="B14" s="85" t="s">
        <v>63</v>
      </c>
      <c r="C14" s="81" t="s">
        <v>89</v>
      </c>
      <c r="D14" s="81" t="s">
        <v>398</v>
      </c>
      <c r="E14" s="81">
        <v>1</v>
      </c>
      <c r="F14" s="51" t="s">
        <v>201</v>
      </c>
      <c r="G14" s="51" t="s">
        <v>205</v>
      </c>
      <c r="H14" s="88">
        <v>46388</v>
      </c>
      <c r="I14" s="81" t="s">
        <v>58</v>
      </c>
      <c r="J14" s="86">
        <v>46420</v>
      </c>
      <c r="K14" s="81" t="s">
        <v>369</v>
      </c>
      <c r="L14" s="81" t="s">
        <v>411</v>
      </c>
      <c r="M14" s="81" t="s">
        <v>376</v>
      </c>
      <c r="N14" s="81" t="s">
        <v>246</v>
      </c>
      <c r="O14" s="81" t="s">
        <v>412</v>
      </c>
      <c r="P14" s="81"/>
      <c r="Q14" s="81"/>
      <c r="R14" s="81"/>
      <c r="S14" s="81"/>
      <c r="T14" s="81" t="s">
        <v>200</v>
      </c>
      <c r="U14" s="81"/>
    </row>
    <row r="15" spans="1:21" x14ac:dyDescent="0.25">
      <c r="A15" s="85">
        <v>1027</v>
      </c>
      <c r="B15" s="85" t="s">
        <v>63</v>
      </c>
      <c r="C15" s="81" t="s">
        <v>89</v>
      </c>
      <c r="D15" s="81" t="s">
        <v>399</v>
      </c>
      <c r="E15" s="81">
        <v>1</v>
      </c>
      <c r="F15" s="51">
        <v>1700</v>
      </c>
      <c r="G15" s="51" t="s">
        <v>205</v>
      </c>
      <c r="H15" s="88">
        <v>46388</v>
      </c>
      <c r="I15" s="81" t="s">
        <v>58</v>
      </c>
      <c r="J15" s="86">
        <v>46421</v>
      </c>
      <c r="K15" s="81" t="s">
        <v>369</v>
      </c>
      <c r="L15" s="81" t="s">
        <v>411</v>
      </c>
      <c r="M15" s="81" t="s">
        <v>376</v>
      </c>
      <c r="N15" s="81" t="s">
        <v>246</v>
      </c>
      <c r="O15" s="81" t="s">
        <v>412</v>
      </c>
      <c r="P15" s="81"/>
      <c r="Q15" s="81"/>
      <c r="R15" s="81"/>
      <c r="S15" s="81"/>
      <c r="T15" s="81" t="s">
        <v>200</v>
      </c>
      <c r="U15" s="81"/>
    </row>
    <row r="16" spans="1:21" x14ac:dyDescent="0.25">
      <c r="A16" s="85">
        <v>1027</v>
      </c>
      <c r="B16" s="85" t="s">
        <v>63</v>
      </c>
      <c r="C16" s="81" t="s">
        <v>89</v>
      </c>
      <c r="D16" s="81" t="s">
        <v>400</v>
      </c>
      <c r="E16" s="81">
        <v>1</v>
      </c>
      <c r="F16" s="51">
        <v>1700</v>
      </c>
      <c r="G16" s="51" t="s">
        <v>206</v>
      </c>
      <c r="H16" s="88">
        <v>46388</v>
      </c>
      <c r="I16" s="81" t="s">
        <v>58</v>
      </c>
      <c r="J16" s="86">
        <v>46423</v>
      </c>
      <c r="K16" s="81" t="s">
        <v>369</v>
      </c>
      <c r="L16" s="81" t="s">
        <v>411</v>
      </c>
      <c r="M16" s="81" t="s">
        <v>376</v>
      </c>
      <c r="N16" s="81" t="s">
        <v>246</v>
      </c>
      <c r="O16" s="81" t="s">
        <v>412</v>
      </c>
      <c r="P16" s="81"/>
      <c r="Q16" s="81"/>
      <c r="R16" s="81"/>
      <c r="S16" s="81"/>
      <c r="T16" s="81" t="s">
        <v>200</v>
      </c>
      <c r="U16" s="81"/>
    </row>
    <row r="17" spans="1:21" x14ac:dyDescent="0.25">
      <c r="A17" s="85">
        <v>1027</v>
      </c>
      <c r="B17" s="85" t="s">
        <v>63</v>
      </c>
      <c r="C17" s="81" t="s">
        <v>89</v>
      </c>
      <c r="D17" s="81" t="s">
        <v>401</v>
      </c>
      <c r="E17" s="81">
        <v>1</v>
      </c>
      <c r="F17" s="51">
        <v>1700</v>
      </c>
      <c r="G17" s="51" t="s">
        <v>206</v>
      </c>
      <c r="H17" s="88">
        <v>46388</v>
      </c>
      <c r="I17" s="81" t="s">
        <v>58</v>
      </c>
      <c r="J17" s="86">
        <v>46414</v>
      </c>
      <c r="K17" s="81" t="s">
        <v>369</v>
      </c>
      <c r="L17" s="81" t="s">
        <v>411</v>
      </c>
      <c r="M17" s="81" t="s">
        <v>376</v>
      </c>
      <c r="N17" s="81" t="s">
        <v>246</v>
      </c>
      <c r="O17" s="81" t="s">
        <v>412</v>
      </c>
      <c r="P17" s="81"/>
      <c r="Q17" s="81"/>
      <c r="R17" s="81"/>
      <c r="S17" s="81"/>
      <c r="T17" s="81" t="s">
        <v>200</v>
      </c>
      <c r="U17" s="81"/>
    </row>
    <row r="18" spans="1:21" x14ac:dyDescent="0.25">
      <c r="A18" s="85">
        <v>1027</v>
      </c>
      <c r="B18" s="85" t="s">
        <v>63</v>
      </c>
      <c r="C18" s="81" t="s">
        <v>89</v>
      </c>
      <c r="D18" s="81" t="s">
        <v>402</v>
      </c>
      <c r="E18" s="81">
        <v>1</v>
      </c>
      <c r="F18" s="51">
        <v>1700</v>
      </c>
      <c r="G18" s="51" t="s">
        <v>207</v>
      </c>
      <c r="H18" s="88">
        <v>46388</v>
      </c>
      <c r="I18" s="81" t="s">
        <v>58</v>
      </c>
      <c r="J18" s="86">
        <v>46424</v>
      </c>
      <c r="K18" s="81" t="s">
        <v>369</v>
      </c>
      <c r="L18" s="81" t="s">
        <v>411</v>
      </c>
      <c r="M18" s="81" t="s">
        <v>376</v>
      </c>
      <c r="N18" s="81" t="s">
        <v>246</v>
      </c>
      <c r="O18" s="81" t="s">
        <v>412</v>
      </c>
      <c r="P18" s="81"/>
      <c r="Q18" s="81"/>
      <c r="R18" s="81"/>
      <c r="S18" s="81"/>
      <c r="T18" s="81" t="s">
        <v>200</v>
      </c>
      <c r="U18" s="81"/>
    </row>
    <row r="19" spans="1:21" x14ac:dyDescent="0.25">
      <c r="A19" s="85">
        <v>1027</v>
      </c>
      <c r="B19" s="85" t="s">
        <v>63</v>
      </c>
      <c r="C19" s="81" t="s">
        <v>89</v>
      </c>
      <c r="D19" s="81" t="s">
        <v>403</v>
      </c>
      <c r="E19" s="81">
        <v>1</v>
      </c>
      <c r="F19" s="51">
        <v>1700</v>
      </c>
      <c r="G19" s="51" t="s">
        <v>207</v>
      </c>
      <c r="H19" s="88">
        <v>46388</v>
      </c>
      <c r="I19" s="81" t="s">
        <v>58</v>
      </c>
      <c r="J19" s="86">
        <v>46408</v>
      </c>
      <c r="K19" s="81" t="s">
        <v>369</v>
      </c>
      <c r="L19" s="81" t="s">
        <v>411</v>
      </c>
      <c r="M19" s="81" t="s">
        <v>376</v>
      </c>
      <c r="N19" s="81" t="s">
        <v>246</v>
      </c>
      <c r="O19" s="81" t="s">
        <v>412</v>
      </c>
      <c r="P19" s="81"/>
      <c r="Q19" s="81"/>
      <c r="R19" s="81"/>
      <c r="S19" s="81"/>
      <c r="T19" s="81" t="s">
        <v>200</v>
      </c>
      <c r="U19" s="81"/>
    </row>
    <row r="20" spans="1:21" x14ac:dyDescent="0.25">
      <c r="A20" s="85">
        <v>1027</v>
      </c>
      <c r="B20" s="85" t="s">
        <v>63</v>
      </c>
      <c r="C20" s="81" t="s">
        <v>89</v>
      </c>
      <c r="D20" s="81" t="s">
        <v>404</v>
      </c>
      <c r="E20" s="81">
        <v>1</v>
      </c>
      <c r="F20" s="51">
        <v>1700</v>
      </c>
      <c r="G20" s="51" t="s">
        <v>208</v>
      </c>
      <c r="H20" s="88">
        <v>46388</v>
      </c>
      <c r="I20" s="81" t="s">
        <v>58</v>
      </c>
      <c r="J20" s="86">
        <v>46427</v>
      </c>
      <c r="K20" s="81" t="s">
        <v>369</v>
      </c>
      <c r="L20" s="81" t="s">
        <v>411</v>
      </c>
      <c r="M20" s="81" t="s">
        <v>376</v>
      </c>
      <c r="N20" s="81" t="s">
        <v>246</v>
      </c>
      <c r="O20" s="81" t="s">
        <v>412</v>
      </c>
      <c r="P20" s="81"/>
      <c r="Q20" s="81"/>
      <c r="R20" s="81"/>
      <c r="S20" s="81"/>
      <c r="T20" s="81" t="s">
        <v>200</v>
      </c>
      <c r="U20" s="81"/>
    </row>
    <row r="21" spans="1:21" x14ac:dyDescent="0.25">
      <c r="A21" s="85">
        <v>1027</v>
      </c>
      <c r="B21" s="85" t="s">
        <v>63</v>
      </c>
      <c r="C21" s="81" t="s">
        <v>89</v>
      </c>
      <c r="D21" s="81" t="s">
        <v>405</v>
      </c>
      <c r="E21" s="81">
        <v>1</v>
      </c>
      <c r="F21" s="51">
        <v>1700</v>
      </c>
      <c r="G21" s="51" t="s">
        <v>208</v>
      </c>
      <c r="H21" s="88">
        <v>46388</v>
      </c>
      <c r="I21" s="81" t="s">
        <v>58</v>
      </c>
      <c r="J21" s="86">
        <v>46410</v>
      </c>
      <c r="K21" s="81" t="s">
        <v>369</v>
      </c>
      <c r="L21" s="81" t="s">
        <v>411</v>
      </c>
      <c r="M21" s="81" t="s">
        <v>376</v>
      </c>
      <c r="N21" s="81" t="s">
        <v>246</v>
      </c>
      <c r="O21" s="81" t="s">
        <v>412</v>
      </c>
      <c r="P21" s="81"/>
      <c r="Q21" s="81"/>
      <c r="R21" s="81"/>
      <c r="S21" s="81"/>
      <c r="T21" s="81" t="s">
        <v>200</v>
      </c>
      <c r="U21" s="81"/>
    </row>
    <row r="22" spans="1:21" x14ac:dyDescent="0.25">
      <c r="A22" s="85">
        <v>1027</v>
      </c>
      <c r="B22" s="85" t="s">
        <v>63</v>
      </c>
      <c r="C22" s="81" t="s">
        <v>89</v>
      </c>
      <c r="D22" s="81" t="s">
        <v>406</v>
      </c>
      <c r="E22" s="81">
        <v>1</v>
      </c>
      <c r="F22" s="51" t="s">
        <v>201</v>
      </c>
      <c r="G22" s="51" t="s">
        <v>204</v>
      </c>
      <c r="H22" s="88">
        <v>46388</v>
      </c>
      <c r="I22" s="81" t="s">
        <v>58</v>
      </c>
      <c r="J22" s="86">
        <v>46428</v>
      </c>
      <c r="K22" s="81" t="s">
        <v>369</v>
      </c>
      <c r="L22" s="81" t="s">
        <v>411</v>
      </c>
      <c r="M22" s="81" t="s">
        <v>376</v>
      </c>
      <c r="N22" s="81" t="s">
        <v>246</v>
      </c>
      <c r="O22" s="81" t="s">
        <v>412</v>
      </c>
      <c r="P22" s="81"/>
      <c r="Q22" s="81"/>
      <c r="R22" s="81"/>
      <c r="S22" s="81"/>
      <c r="T22" s="81" t="s">
        <v>200</v>
      </c>
      <c r="U22" s="81"/>
    </row>
    <row r="23" spans="1:21" x14ac:dyDescent="0.25">
      <c r="A23" s="85">
        <v>1027</v>
      </c>
      <c r="B23" s="85" t="s">
        <v>63</v>
      </c>
      <c r="C23" s="81" t="s">
        <v>89</v>
      </c>
      <c r="D23" s="81" t="s">
        <v>407</v>
      </c>
      <c r="E23" s="81">
        <v>1</v>
      </c>
      <c r="F23" s="51">
        <v>1700</v>
      </c>
      <c r="G23" s="51" t="s">
        <v>205</v>
      </c>
      <c r="H23" s="88">
        <v>46388</v>
      </c>
      <c r="I23" s="81" t="s">
        <v>58</v>
      </c>
      <c r="J23" s="86">
        <v>46430</v>
      </c>
      <c r="K23" s="81" t="s">
        <v>369</v>
      </c>
      <c r="L23" s="81" t="s">
        <v>411</v>
      </c>
      <c r="M23" s="81" t="s">
        <v>376</v>
      </c>
      <c r="N23" s="81" t="s">
        <v>246</v>
      </c>
      <c r="O23" s="81" t="s">
        <v>412</v>
      </c>
      <c r="P23" s="81"/>
      <c r="Q23" s="81"/>
      <c r="R23" s="81"/>
      <c r="S23" s="81"/>
      <c r="T23" s="81" t="s">
        <v>200</v>
      </c>
      <c r="U23" s="81"/>
    </row>
    <row r="24" spans="1:21" x14ac:dyDescent="0.25">
      <c r="A24" s="85">
        <v>1027</v>
      </c>
      <c r="B24" s="85" t="s">
        <v>63</v>
      </c>
      <c r="C24" s="81" t="s">
        <v>89</v>
      </c>
      <c r="D24" s="81" t="s">
        <v>408</v>
      </c>
      <c r="E24" s="81">
        <v>1</v>
      </c>
      <c r="F24" s="51">
        <v>1700</v>
      </c>
      <c r="G24" s="51" t="s">
        <v>206</v>
      </c>
      <c r="H24" s="88">
        <v>46388</v>
      </c>
      <c r="I24" s="81" t="s">
        <v>58</v>
      </c>
      <c r="J24" s="86">
        <v>46431</v>
      </c>
      <c r="K24" s="81" t="s">
        <v>369</v>
      </c>
      <c r="L24" s="81" t="s">
        <v>411</v>
      </c>
      <c r="M24" s="81" t="s">
        <v>376</v>
      </c>
      <c r="N24" s="81" t="s">
        <v>246</v>
      </c>
      <c r="O24" s="81" t="s">
        <v>412</v>
      </c>
      <c r="P24" s="81"/>
      <c r="Q24" s="81"/>
      <c r="R24" s="81"/>
      <c r="S24" s="81"/>
      <c r="T24" s="81" t="s">
        <v>200</v>
      </c>
      <c r="U24" s="81"/>
    </row>
    <row r="25" spans="1:21" x14ac:dyDescent="0.25">
      <c r="A25" s="85">
        <v>1027</v>
      </c>
      <c r="B25" s="85" t="s">
        <v>63</v>
      </c>
      <c r="C25" s="81" t="s">
        <v>89</v>
      </c>
      <c r="D25" s="81" t="s">
        <v>409</v>
      </c>
      <c r="E25" s="81">
        <v>1</v>
      </c>
      <c r="F25" s="51">
        <v>1700</v>
      </c>
      <c r="G25" s="51" t="s">
        <v>207</v>
      </c>
      <c r="H25" s="88">
        <v>46388</v>
      </c>
      <c r="I25" s="81" t="s">
        <v>58</v>
      </c>
      <c r="J25" s="86">
        <v>46433</v>
      </c>
      <c r="K25" s="81" t="s">
        <v>369</v>
      </c>
      <c r="L25" s="81" t="s">
        <v>411</v>
      </c>
      <c r="M25" s="81" t="s">
        <v>376</v>
      </c>
      <c r="N25" s="81" t="s">
        <v>246</v>
      </c>
      <c r="O25" s="81" t="s">
        <v>412</v>
      </c>
      <c r="P25" s="81"/>
      <c r="Q25" s="81"/>
      <c r="R25" s="81"/>
      <c r="S25" s="81"/>
      <c r="T25" s="81" t="s">
        <v>200</v>
      </c>
      <c r="U25" s="81"/>
    </row>
    <row r="26" spans="1:21" x14ac:dyDescent="0.25">
      <c r="A26" s="85">
        <v>1027</v>
      </c>
      <c r="B26" s="85" t="s">
        <v>63</v>
      </c>
      <c r="C26" s="81" t="s">
        <v>89</v>
      </c>
      <c r="D26" s="81" t="s">
        <v>410</v>
      </c>
      <c r="E26" s="81">
        <v>1</v>
      </c>
      <c r="F26" s="51">
        <v>1700</v>
      </c>
      <c r="G26" s="51" t="s">
        <v>208</v>
      </c>
      <c r="H26" s="88">
        <v>46388</v>
      </c>
      <c r="I26" s="81" t="s">
        <v>58</v>
      </c>
      <c r="J26" s="86">
        <v>46434</v>
      </c>
      <c r="K26" s="81" t="s">
        <v>369</v>
      </c>
      <c r="L26" s="81" t="s">
        <v>411</v>
      </c>
      <c r="M26" s="81" t="s">
        <v>376</v>
      </c>
      <c r="N26" s="81" t="s">
        <v>246</v>
      </c>
      <c r="O26" s="81" t="s">
        <v>412</v>
      </c>
      <c r="P26" s="81"/>
      <c r="Q26" s="81"/>
      <c r="R26" s="81"/>
      <c r="S26" s="81"/>
      <c r="T26" s="81" t="s">
        <v>200</v>
      </c>
      <c r="U26" s="81"/>
    </row>
    <row r="27" spans="1:21" x14ac:dyDescent="0.25">
      <c r="A27" s="85">
        <v>1020</v>
      </c>
      <c r="B27" s="85" t="s">
        <v>63</v>
      </c>
      <c r="C27" s="81" t="s">
        <v>35</v>
      </c>
      <c r="D27" s="81" t="s">
        <v>413</v>
      </c>
      <c r="E27" s="81">
        <v>1</v>
      </c>
      <c r="F27" s="81" t="s">
        <v>368</v>
      </c>
      <c r="G27" s="81" t="s">
        <v>204</v>
      </c>
      <c r="H27" s="88">
        <v>46388</v>
      </c>
      <c r="I27" s="81" t="s">
        <v>58</v>
      </c>
      <c r="J27" s="88">
        <v>46417</v>
      </c>
      <c r="K27" s="81" t="s">
        <v>369</v>
      </c>
      <c r="L27" s="81" t="s">
        <v>376</v>
      </c>
      <c r="M27" s="81" t="s">
        <v>246</v>
      </c>
      <c r="N27" s="81"/>
      <c r="O27" s="81"/>
      <c r="P27" s="81"/>
      <c r="Q27" s="81"/>
      <c r="R27" s="81"/>
      <c r="S27" s="81"/>
      <c r="T27" s="81" t="s">
        <v>200</v>
      </c>
      <c r="U27" s="81"/>
    </row>
    <row r="28" spans="1:21" x14ac:dyDescent="0.25">
      <c r="A28" s="85">
        <v>1020</v>
      </c>
      <c r="B28" s="85" t="s">
        <v>63</v>
      </c>
      <c r="C28" s="81" t="s">
        <v>35</v>
      </c>
      <c r="D28" s="81" t="s">
        <v>431</v>
      </c>
      <c r="E28" s="81">
        <v>1</v>
      </c>
      <c r="F28" s="76" t="s">
        <v>368</v>
      </c>
      <c r="G28" s="76" t="s">
        <v>204</v>
      </c>
      <c r="H28" s="88">
        <v>46388</v>
      </c>
      <c r="I28" s="81" t="s">
        <v>58</v>
      </c>
      <c r="J28" s="90" t="s">
        <v>415</v>
      </c>
      <c r="K28" s="81" t="s">
        <v>369</v>
      </c>
      <c r="L28" s="81" t="s">
        <v>411</v>
      </c>
      <c r="M28" s="81" t="s">
        <v>376</v>
      </c>
      <c r="N28" s="81" t="s">
        <v>246</v>
      </c>
      <c r="O28" s="81" t="s">
        <v>412</v>
      </c>
      <c r="P28" s="81"/>
      <c r="Q28" s="81"/>
      <c r="R28" s="81"/>
      <c r="S28" s="81"/>
      <c r="T28" s="81" t="s">
        <v>200</v>
      </c>
      <c r="U28" s="81"/>
    </row>
    <row r="29" spans="1:21" x14ac:dyDescent="0.25">
      <c r="A29" s="85">
        <v>1020</v>
      </c>
      <c r="B29" s="85" t="s">
        <v>63</v>
      </c>
      <c r="C29" s="81" t="s">
        <v>35</v>
      </c>
      <c r="D29" s="81" t="s">
        <v>432</v>
      </c>
      <c r="E29" s="81">
        <v>1</v>
      </c>
      <c r="F29" s="76" t="s">
        <v>368</v>
      </c>
      <c r="G29" s="76" t="s">
        <v>204</v>
      </c>
      <c r="H29" s="88">
        <v>46388</v>
      </c>
      <c r="I29" s="81" t="s">
        <v>58</v>
      </c>
      <c r="J29" s="90" t="s">
        <v>416</v>
      </c>
      <c r="K29" s="81" t="s">
        <v>369</v>
      </c>
      <c r="L29" s="81" t="s">
        <v>411</v>
      </c>
      <c r="M29" s="81" t="s">
        <v>376</v>
      </c>
      <c r="N29" s="81" t="s">
        <v>246</v>
      </c>
      <c r="O29" s="81" t="s">
        <v>412</v>
      </c>
      <c r="P29" s="81"/>
      <c r="Q29" s="81"/>
      <c r="R29" s="81"/>
      <c r="S29" s="81"/>
      <c r="T29" s="81" t="s">
        <v>200</v>
      </c>
      <c r="U29" s="81"/>
    </row>
    <row r="30" spans="1:21" x14ac:dyDescent="0.25">
      <c r="A30" s="85">
        <v>1020</v>
      </c>
      <c r="B30" s="85" t="s">
        <v>63</v>
      </c>
      <c r="C30" s="81" t="s">
        <v>35</v>
      </c>
      <c r="D30" s="81" t="s">
        <v>433</v>
      </c>
      <c r="E30" s="81">
        <v>1</v>
      </c>
      <c r="F30" s="76" t="s">
        <v>263</v>
      </c>
      <c r="G30" s="76" t="s">
        <v>205</v>
      </c>
      <c r="H30" s="88">
        <v>46388</v>
      </c>
      <c r="I30" s="81" t="s">
        <v>58</v>
      </c>
      <c r="J30" s="90" t="s">
        <v>417</v>
      </c>
      <c r="K30" s="81" t="s">
        <v>369</v>
      </c>
      <c r="L30" s="81" t="s">
        <v>411</v>
      </c>
      <c r="M30" s="81" t="s">
        <v>376</v>
      </c>
      <c r="N30" s="81" t="s">
        <v>246</v>
      </c>
      <c r="O30" s="81" t="s">
        <v>412</v>
      </c>
      <c r="P30" s="81"/>
      <c r="Q30" s="81"/>
      <c r="R30" s="81"/>
      <c r="S30" s="81"/>
      <c r="T30" s="81" t="s">
        <v>200</v>
      </c>
      <c r="U30" s="81"/>
    </row>
    <row r="31" spans="1:21" x14ac:dyDescent="0.25">
      <c r="A31" s="85">
        <v>1020</v>
      </c>
      <c r="B31" s="85" t="s">
        <v>63</v>
      </c>
      <c r="C31" s="81" t="s">
        <v>35</v>
      </c>
      <c r="D31" s="81" t="s">
        <v>434</v>
      </c>
      <c r="E31" s="81">
        <v>1</v>
      </c>
      <c r="F31" s="76" t="s">
        <v>263</v>
      </c>
      <c r="G31" s="76" t="s">
        <v>205</v>
      </c>
      <c r="H31" s="88">
        <v>46388</v>
      </c>
      <c r="I31" s="81" t="s">
        <v>58</v>
      </c>
      <c r="J31" s="90" t="s">
        <v>418</v>
      </c>
      <c r="K31" s="81" t="s">
        <v>369</v>
      </c>
      <c r="L31" s="81" t="s">
        <v>411</v>
      </c>
      <c r="M31" s="81" t="s">
        <v>376</v>
      </c>
      <c r="N31" s="81" t="s">
        <v>246</v>
      </c>
      <c r="O31" s="81" t="s">
        <v>412</v>
      </c>
      <c r="P31" s="81"/>
      <c r="Q31" s="81"/>
      <c r="R31" s="81"/>
      <c r="S31" s="81"/>
      <c r="T31" s="81" t="s">
        <v>200</v>
      </c>
      <c r="U31" s="81"/>
    </row>
    <row r="32" spans="1:21" x14ac:dyDescent="0.25">
      <c r="A32" s="85">
        <v>1020</v>
      </c>
      <c r="B32" s="85" t="s">
        <v>63</v>
      </c>
      <c r="C32" s="81" t="s">
        <v>35</v>
      </c>
      <c r="D32" s="81" t="s">
        <v>435</v>
      </c>
      <c r="E32" s="81">
        <v>1</v>
      </c>
      <c r="F32" s="76" t="s">
        <v>263</v>
      </c>
      <c r="G32" s="76" t="s">
        <v>205</v>
      </c>
      <c r="H32" s="88">
        <v>46388</v>
      </c>
      <c r="I32" s="81" t="s">
        <v>58</v>
      </c>
      <c r="J32" s="90" t="s">
        <v>419</v>
      </c>
      <c r="K32" s="81" t="s">
        <v>369</v>
      </c>
      <c r="L32" s="81" t="s">
        <v>411</v>
      </c>
      <c r="M32" s="81" t="s">
        <v>376</v>
      </c>
      <c r="N32" s="81" t="s">
        <v>246</v>
      </c>
      <c r="O32" s="81" t="s">
        <v>412</v>
      </c>
      <c r="P32" s="81"/>
      <c r="Q32" s="81"/>
      <c r="R32" s="81"/>
      <c r="S32" s="81"/>
      <c r="T32" s="81" t="s">
        <v>200</v>
      </c>
      <c r="U32" s="81"/>
    </row>
    <row r="33" spans="1:21" x14ac:dyDescent="0.25">
      <c r="A33" s="85">
        <v>1020</v>
      </c>
      <c r="B33" s="85" t="s">
        <v>63</v>
      </c>
      <c r="C33" s="81" t="s">
        <v>35</v>
      </c>
      <c r="D33" s="81" t="s">
        <v>436</v>
      </c>
      <c r="E33" s="81">
        <v>1</v>
      </c>
      <c r="F33" s="76" t="s">
        <v>263</v>
      </c>
      <c r="G33" s="76" t="s">
        <v>206</v>
      </c>
      <c r="H33" s="88">
        <v>46388</v>
      </c>
      <c r="I33" s="81" t="s">
        <v>58</v>
      </c>
      <c r="J33" s="90" t="s">
        <v>420</v>
      </c>
      <c r="K33" s="81" t="s">
        <v>369</v>
      </c>
      <c r="L33" s="81" t="s">
        <v>411</v>
      </c>
      <c r="M33" s="81" t="s">
        <v>376</v>
      </c>
      <c r="N33" s="81" t="s">
        <v>246</v>
      </c>
      <c r="O33" s="81" t="s">
        <v>412</v>
      </c>
      <c r="P33" s="81"/>
      <c r="Q33" s="81"/>
      <c r="R33" s="81"/>
      <c r="S33" s="81"/>
      <c r="T33" s="81" t="s">
        <v>200</v>
      </c>
      <c r="U33" s="81"/>
    </row>
    <row r="34" spans="1:21" x14ac:dyDescent="0.25">
      <c r="A34" s="85">
        <v>1020</v>
      </c>
      <c r="B34" s="85" t="s">
        <v>63</v>
      </c>
      <c r="C34" s="81" t="s">
        <v>35</v>
      </c>
      <c r="D34" s="81" t="s">
        <v>437</v>
      </c>
      <c r="E34" s="81">
        <v>1</v>
      </c>
      <c r="F34" s="76" t="s">
        <v>263</v>
      </c>
      <c r="G34" s="76" t="s">
        <v>206</v>
      </c>
      <c r="H34" s="88">
        <v>46388</v>
      </c>
      <c r="I34" s="81" t="s">
        <v>58</v>
      </c>
      <c r="J34" s="90" t="s">
        <v>421</v>
      </c>
      <c r="K34" s="81" t="s">
        <v>369</v>
      </c>
      <c r="L34" s="81" t="s">
        <v>411</v>
      </c>
      <c r="M34" s="81" t="s">
        <v>376</v>
      </c>
      <c r="N34" s="81" t="s">
        <v>246</v>
      </c>
      <c r="O34" s="81" t="s">
        <v>412</v>
      </c>
      <c r="P34" s="81"/>
      <c r="Q34" s="81"/>
      <c r="R34" s="81"/>
      <c r="S34" s="81"/>
      <c r="T34" s="81" t="s">
        <v>200</v>
      </c>
      <c r="U34" s="81"/>
    </row>
    <row r="35" spans="1:21" x14ac:dyDescent="0.25">
      <c r="A35" s="85">
        <v>1020</v>
      </c>
      <c r="B35" s="85" t="s">
        <v>63</v>
      </c>
      <c r="C35" s="81" t="s">
        <v>35</v>
      </c>
      <c r="D35" s="81" t="s">
        <v>438</v>
      </c>
      <c r="E35" s="81">
        <v>1</v>
      </c>
      <c r="F35" s="76" t="s">
        <v>263</v>
      </c>
      <c r="G35" s="76" t="s">
        <v>206</v>
      </c>
      <c r="H35" s="88">
        <v>46388</v>
      </c>
      <c r="I35" s="81" t="s">
        <v>58</v>
      </c>
      <c r="J35" s="90" t="s">
        <v>422</v>
      </c>
      <c r="K35" s="81" t="s">
        <v>369</v>
      </c>
      <c r="L35" s="81" t="s">
        <v>411</v>
      </c>
      <c r="M35" s="81" t="s">
        <v>376</v>
      </c>
      <c r="N35" s="81" t="s">
        <v>246</v>
      </c>
      <c r="O35" s="81" t="s">
        <v>412</v>
      </c>
      <c r="P35" s="81"/>
      <c r="Q35" s="81"/>
      <c r="R35" s="81"/>
      <c r="S35" s="81"/>
      <c r="T35" s="81" t="s">
        <v>200</v>
      </c>
      <c r="U35" s="81"/>
    </row>
    <row r="36" spans="1:21" x14ac:dyDescent="0.25">
      <c r="A36" s="85">
        <v>1020</v>
      </c>
      <c r="B36" s="85" t="s">
        <v>63</v>
      </c>
      <c r="C36" s="81" t="s">
        <v>35</v>
      </c>
      <c r="D36" s="81" t="s">
        <v>439</v>
      </c>
      <c r="E36" s="81">
        <v>1</v>
      </c>
      <c r="F36" s="76" t="s">
        <v>263</v>
      </c>
      <c r="G36" s="76" t="s">
        <v>207</v>
      </c>
      <c r="H36" s="88">
        <v>46388</v>
      </c>
      <c r="I36" s="81" t="s">
        <v>58</v>
      </c>
      <c r="J36" s="90" t="s">
        <v>423</v>
      </c>
      <c r="K36" s="81" t="s">
        <v>369</v>
      </c>
      <c r="L36" s="81" t="s">
        <v>411</v>
      </c>
      <c r="M36" s="81" t="s">
        <v>376</v>
      </c>
      <c r="N36" s="81" t="s">
        <v>246</v>
      </c>
      <c r="O36" s="81" t="s">
        <v>412</v>
      </c>
      <c r="P36" s="81"/>
      <c r="Q36" s="81"/>
      <c r="R36" s="81"/>
      <c r="S36" s="81"/>
      <c r="T36" s="81" t="s">
        <v>200</v>
      </c>
      <c r="U36" s="81"/>
    </row>
    <row r="37" spans="1:21" x14ac:dyDescent="0.25">
      <c r="A37" s="85">
        <v>1020</v>
      </c>
      <c r="B37" s="85" t="s">
        <v>63</v>
      </c>
      <c r="C37" s="81" t="s">
        <v>35</v>
      </c>
      <c r="D37" s="81" t="s">
        <v>440</v>
      </c>
      <c r="E37" s="81">
        <v>1</v>
      </c>
      <c r="F37" s="76" t="s">
        <v>263</v>
      </c>
      <c r="G37" s="76" t="s">
        <v>207</v>
      </c>
      <c r="H37" s="88">
        <v>46388</v>
      </c>
      <c r="I37" s="81" t="s">
        <v>58</v>
      </c>
      <c r="J37" s="90" t="s">
        <v>424</v>
      </c>
      <c r="K37" s="81" t="s">
        <v>369</v>
      </c>
      <c r="L37" s="81" t="s">
        <v>411</v>
      </c>
      <c r="M37" s="81" t="s">
        <v>376</v>
      </c>
      <c r="N37" s="81" t="s">
        <v>246</v>
      </c>
      <c r="O37" s="81" t="s">
        <v>412</v>
      </c>
      <c r="P37" s="81"/>
      <c r="Q37" s="81"/>
      <c r="R37" s="81"/>
      <c r="S37" s="81"/>
      <c r="T37" s="81" t="s">
        <v>200</v>
      </c>
      <c r="U37" s="81"/>
    </row>
    <row r="38" spans="1:21" x14ac:dyDescent="0.25">
      <c r="A38" s="85">
        <v>1020</v>
      </c>
      <c r="B38" s="85" t="s">
        <v>63</v>
      </c>
      <c r="C38" s="81" t="s">
        <v>35</v>
      </c>
      <c r="D38" s="81" t="s">
        <v>441</v>
      </c>
      <c r="E38" s="81">
        <v>1</v>
      </c>
      <c r="F38" s="76" t="s">
        <v>263</v>
      </c>
      <c r="G38" s="76" t="s">
        <v>207</v>
      </c>
      <c r="H38" s="88">
        <v>46388</v>
      </c>
      <c r="I38" s="81" t="s">
        <v>58</v>
      </c>
      <c r="J38" s="90" t="s">
        <v>425</v>
      </c>
      <c r="K38" s="81" t="s">
        <v>369</v>
      </c>
      <c r="L38" s="81" t="s">
        <v>411</v>
      </c>
      <c r="M38" s="81" t="s">
        <v>376</v>
      </c>
      <c r="N38" s="81" t="s">
        <v>246</v>
      </c>
      <c r="O38" s="81" t="s">
        <v>412</v>
      </c>
      <c r="P38" s="81"/>
      <c r="Q38" s="81"/>
      <c r="R38" s="81"/>
      <c r="S38" s="81"/>
      <c r="T38" s="81" t="s">
        <v>200</v>
      </c>
      <c r="U38" s="81"/>
    </row>
    <row r="39" spans="1:21" x14ac:dyDescent="0.25">
      <c r="A39" s="85">
        <v>1020</v>
      </c>
      <c r="B39" s="85" t="s">
        <v>63</v>
      </c>
      <c r="C39" s="81" t="s">
        <v>35</v>
      </c>
      <c r="D39" s="81" t="s">
        <v>442</v>
      </c>
      <c r="E39" s="81">
        <v>1</v>
      </c>
      <c r="F39" s="76" t="s">
        <v>263</v>
      </c>
      <c r="G39" s="76" t="s">
        <v>208</v>
      </c>
      <c r="H39" s="88">
        <v>46388</v>
      </c>
      <c r="I39" s="81" t="s">
        <v>58</v>
      </c>
      <c r="J39" s="90" t="s">
        <v>426</v>
      </c>
      <c r="K39" s="81" t="s">
        <v>369</v>
      </c>
      <c r="L39" s="81" t="s">
        <v>411</v>
      </c>
      <c r="M39" s="81" t="s">
        <v>376</v>
      </c>
      <c r="N39" s="81" t="s">
        <v>246</v>
      </c>
      <c r="O39" s="81" t="s">
        <v>412</v>
      </c>
      <c r="P39" s="81"/>
      <c r="Q39" s="81"/>
      <c r="R39" s="81"/>
      <c r="S39" s="81"/>
      <c r="T39" s="81" t="s">
        <v>200</v>
      </c>
      <c r="U39" s="81"/>
    </row>
    <row r="40" spans="1:21" x14ac:dyDescent="0.25">
      <c r="A40" s="85">
        <v>1020</v>
      </c>
      <c r="B40" s="85" t="s">
        <v>63</v>
      </c>
      <c r="C40" s="81" t="s">
        <v>35</v>
      </c>
      <c r="D40" s="81" t="s">
        <v>443</v>
      </c>
      <c r="E40" s="81">
        <v>1</v>
      </c>
      <c r="F40" s="76" t="s">
        <v>263</v>
      </c>
      <c r="G40" s="76" t="s">
        <v>208</v>
      </c>
      <c r="H40" s="88">
        <v>46388</v>
      </c>
      <c r="I40" s="81" t="s">
        <v>58</v>
      </c>
      <c r="J40" s="90" t="s">
        <v>427</v>
      </c>
      <c r="K40" s="81" t="s">
        <v>369</v>
      </c>
      <c r="L40" s="81" t="s">
        <v>411</v>
      </c>
      <c r="M40" s="81" t="s">
        <v>376</v>
      </c>
      <c r="N40" s="81" t="s">
        <v>246</v>
      </c>
      <c r="O40" s="81" t="s">
        <v>412</v>
      </c>
      <c r="P40" s="81"/>
      <c r="Q40" s="81"/>
      <c r="R40" s="81"/>
      <c r="S40" s="81"/>
      <c r="T40" s="81" t="s">
        <v>200</v>
      </c>
      <c r="U40" s="81"/>
    </row>
    <row r="41" spans="1:21" x14ac:dyDescent="0.25">
      <c r="A41" s="85">
        <v>1020</v>
      </c>
      <c r="B41" s="85" t="s">
        <v>63</v>
      </c>
      <c r="C41" s="81" t="s">
        <v>35</v>
      </c>
      <c r="D41" s="81" t="s">
        <v>444</v>
      </c>
      <c r="E41" s="81">
        <v>1</v>
      </c>
      <c r="F41" s="76" t="s">
        <v>263</v>
      </c>
      <c r="G41" s="76" t="s">
        <v>208</v>
      </c>
      <c r="H41" s="88">
        <v>46388</v>
      </c>
      <c r="I41" s="81" t="s">
        <v>58</v>
      </c>
      <c r="J41" s="90" t="s">
        <v>428</v>
      </c>
      <c r="K41" s="81" t="s">
        <v>369</v>
      </c>
      <c r="L41" s="81" t="s">
        <v>411</v>
      </c>
      <c r="M41" s="81" t="s">
        <v>376</v>
      </c>
      <c r="N41" s="81" t="s">
        <v>246</v>
      </c>
      <c r="O41" s="81" t="s">
        <v>412</v>
      </c>
      <c r="P41" s="81"/>
      <c r="Q41" s="81"/>
      <c r="R41" s="81"/>
      <c r="S41" s="81"/>
      <c r="T41" s="81" t="s">
        <v>200</v>
      </c>
      <c r="U41" s="81"/>
    </row>
    <row r="42" spans="1:21" x14ac:dyDescent="0.25">
      <c r="A42" s="85">
        <v>1020</v>
      </c>
      <c r="B42" s="85" t="s">
        <v>63</v>
      </c>
      <c r="C42" s="81" t="s">
        <v>35</v>
      </c>
      <c r="D42" s="81" t="s">
        <v>445</v>
      </c>
      <c r="E42" s="81">
        <v>1</v>
      </c>
      <c r="F42" s="76" t="s">
        <v>368</v>
      </c>
      <c r="G42" s="76" t="s">
        <v>248</v>
      </c>
      <c r="H42" s="88">
        <v>46388</v>
      </c>
      <c r="I42" s="81" t="s">
        <v>58</v>
      </c>
      <c r="J42" s="90" t="s">
        <v>429</v>
      </c>
      <c r="K42" s="81" t="s">
        <v>369</v>
      </c>
      <c r="L42" s="81" t="s">
        <v>411</v>
      </c>
      <c r="M42" s="81" t="s">
        <v>376</v>
      </c>
      <c r="N42" s="81" t="s">
        <v>246</v>
      </c>
      <c r="O42" s="81" t="s">
        <v>412</v>
      </c>
      <c r="P42" s="81"/>
      <c r="Q42" s="81"/>
      <c r="R42" s="81"/>
      <c r="S42" s="81"/>
      <c r="T42" s="81" t="s">
        <v>200</v>
      </c>
      <c r="U42" s="81"/>
    </row>
    <row r="43" spans="1:21" x14ac:dyDescent="0.25">
      <c r="A43" s="85">
        <v>1020</v>
      </c>
      <c r="B43" s="85" t="s">
        <v>63</v>
      </c>
      <c r="C43" s="81" t="s">
        <v>35</v>
      </c>
      <c r="D43" s="81" t="s">
        <v>446</v>
      </c>
      <c r="E43" s="81">
        <v>1</v>
      </c>
      <c r="F43" s="76" t="s">
        <v>368</v>
      </c>
      <c r="G43" s="76" t="s">
        <v>248</v>
      </c>
      <c r="H43" s="88">
        <v>46388</v>
      </c>
      <c r="I43" s="81" t="s">
        <v>58</v>
      </c>
      <c r="J43" s="90" t="s">
        <v>430</v>
      </c>
      <c r="K43" s="81" t="s">
        <v>369</v>
      </c>
      <c r="L43" s="81" t="s">
        <v>411</v>
      </c>
      <c r="M43" s="81" t="s">
        <v>376</v>
      </c>
      <c r="N43" s="81" t="s">
        <v>246</v>
      </c>
      <c r="O43" s="81" t="s">
        <v>412</v>
      </c>
      <c r="P43" s="81"/>
      <c r="Q43" s="81"/>
      <c r="R43" s="81"/>
      <c r="S43" s="81"/>
      <c r="T43" s="81" t="s">
        <v>200</v>
      </c>
      <c r="U43" s="81"/>
    </row>
    <row r="44" spans="1:21" x14ac:dyDescent="0.25">
      <c r="A44" s="85">
        <v>1020</v>
      </c>
      <c r="B44" s="85" t="s">
        <v>63</v>
      </c>
      <c r="C44" s="81" t="s">
        <v>35</v>
      </c>
      <c r="D44" s="81" t="s">
        <v>447</v>
      </c>
      <c r="E44" s="81">
        <v>1</v>
      </c>
      <c r="F44" s="76" t="s">
        <v>263</v>
      </c>
      <c r="G44" s="76" t="s">
        <v>248</v>
      </c>
      <c r="H44" s="88">
        <v>46388</v>
      </c>
      <c r="I44" s="81" t="s">
        <v>58</v>
      </c>
      <c r="J44" s="90" t="s">
        <v>419</v>
      </c>
      <c r="K44" s="81" t="s">
        <v>369</v>
      </c>
      <c r="L44" s="81" t="s">
        <v>411</v>
      </c>
      <c r="M44" s="81" t="s">
        <v>376</v>
      </c>
      <c r="N44" s="81" t="s">
        <v>246</v>
      </c>
      <c r="O44" s="81" t="s">
        <v>412</v>
      </c>
      <c r="P44" s="81"/>
      <c r="Q44" s="81"/>
      <c r="R44" s="81"/>
      <c r="S44" s="81"/>
      <c r="T44" s="81" t="s">
        <v>200</v>
      </c>
      <c r="U44" s="81"/>
    </row>
    <row r="45" spans="1:21" x14ac:dyDescent="0.25">
      <c r="A45" s="85">
        <v>1050</v>
      </c>
      <c r="B45" s="85" t="s">
        <v>63</v>
      </c>
      <c r="C45" s="81" t="s">
        <v>553</v>
      </c>
      <c r="D45" s="81" t="s">
        <v>554</v>
      </c>
      <c r="E45" s="81">
        <v>1</v>
      </c>
      <c r="F45" s="81" t="s">
        <v>267</v>
      </c>
      <c r="G45" s="81" t="s">
        <v>63</v>
      </c>
      <c r="H45" s="88">
        <v>46388</v>
      </c>
      <c r="I45" s="81" t="s">
        <v>58</v>
      </c>
      <c r="J45" s="88">
        <v>46255</v>
      </c>
      <c r="K45" s="82" t="s">
        <v>369</v>
      </c>
      <c r="L45" s="81" t="s">
        <v>376</v>
      </c>
      <c r="M45" s="81" t="s">
        <v>246</v>
      </c>
      <c r="N45" s="81"/>
      <c r="O45" s="81"/>
      <c r="P45" s="81"/>
      <c r="Q45" s="81"/>
      <c r="R45" s="81"/>
      <c r="S45" s="81"/>
      <c r="T45" s="81" t="s">
        <v>379</v>
      </c>
      <c r="U45" s="81"/>
    </row>
    <row r="46" spans="1:21" x14ac:dyDescent="0.25">
      <c r="A46" s="85">
        <v>1050</v>
      </c>
      <c r="B46" s="85" t="s">
        <v>63</v>
      </c>
      <c r="C46" s="81" t="s">
        <v>553</v>
      </c>
      <c r="D46" s="81" t="s">
        <v>554</v>
      </c>
      <c r="E46" s="81">
        <v>1</v>
      </c>
      <c r="F46" s="81" t="s">
        <v>267</v>
      </c>
      <c r="G46" s="81" t="s">
        <v>63</v>
      </c>
      <c r="H46" s="88">
        <v>46388</v>
      </c>
      <c r="I46" s="81" t="s">
        <v>58</v>
      </c>
      <c r="J46" s="88">
        <v>46255</v>
      </c>
      <c r="K46" s="82" t="s">
        <v>369</v>
      </c>
      <c r="L46" s="81" t="s">
        <v>376</v>
      </c>
      <c r="M46" s="81" t="s">
        <v>246</v>
      </c>
      <c r="N46" s="81"/>
      <c r="O46" s="81"/>
      <c r="P46" s="81"/>
      <c r="Q46" s="81"/>
      <c r="R46" s="81"/>
      <c r="S46" s="81"/>
      <c r="T46" s="81" t="s">
        <v>379</v>
      </c>
      <c r="U46" s="81"/>
    </row>
    <row r="47" spans="1:21" x14ac:dyDescent="0.25">
      <c r="A47" s="85">
        <v>1050</v>
      </c>
      <c r="B47" s="85" t="s">
        <v>63</v>
      </c>
      <c r="C47" s="81" t="s">
        <v>553</v>
      </c>
      <c r="D47" s="81" t="s">
        <v>555</v>
      </c>
      <c r="E47" s="81">
        <v>1</v>
      </c>
      <c r="F47" s="81" t="s">
        <v>267</v>
      </c>
      <c r="G47" s="81" t="s">
        <v>63</v>
      </c>
      <c r="H47" s="88">
        <v>46388</v>
      </c>
      <c r="I47" s="81" t="s">
        <v>58</v>
      </c>
      <c r="J47" s="88">
        <v>46255</v>
      </c>
      <c r="K47" s="82" t="s">
        <v>369</v>
      </c>
      <c r="L47" s="81" t="s">
        <v>376</v>
      </c>
      <c r="M47" s="81" t="s">
        <v>246</v>
      </c>
      <c r="N47" s="81"/>
      <c r="O47" s="81"/>
      <c r="P47" s="81"/>
      <c r="Q47" s="81"/>
      <c r="R47" s="81"/>
      <c r="S47" s="81"/>
      <c r="T47" s="81" t="s">
        <v>379</v>
      </c>
      <c r="U47" s="81"/>
    </row>
    <row r="48" spans="1:21" x14ac:dyDescent="0.25">
      <c r="A48" s="85">
        <v>1050</v>
      </c>
      <c r="B48" s="85" t="s">
        <v>63</v>
      </c>
      <c r="C48" s="81" t="s">
        <v>553</v>
      </c>
      <c r="D48" s="81" t="s">
        <v>555</v>
      </c>
      <c r="E48" s="81">
        <v>1</v>
      </c>
      <c r="F48" s="81" t="s">
        <v>267</v>
      </c>
      <c r="G48" s="81" t="s">
        <v>63</v>
      </c>
      <c r="H48" s="88">
        <v>46388</v>
      </c>
      <c r="I48" s="81" t="s">
        <v>58</v>
      </c>
      <c r="J48" s="88">
        <v>46255</v>
      </c>
      <c r="K48" s="82" t="s">
        <v>369</v>
      </c>
      <c r="L48" s="81" t="s">
        <v>376</v>
      </c>
      <c r="M48" s="81" t="s">
        <v>246</v>
      </c>
      <c r="N48" s="81"/>
      <c r="O48" s="81"/>
      <c r="P48" s="81"/>
      <c r="Q48" s="81"/>
      <c r="R48" s="81"/>
      <c r="S48" s="81"/>
      <c r="T48" s="81" t="s">
        <v>379</v>
      </c>
      <c r="U48" s="81"/>
    </row>
    <row r="49" spans="1:21" x14ac:dyDescent="0.25">
      <c r="A49" s="85">
        <v>1050</v>
      </c>
      <c r="B49" s="85" t="s">
        <v>63</v>
      </c>
      <c r="C49" s="81" t="s">
        <v>553</v>
      </c>
      <c r="D49" s="81" t="s">
        <v>555</v>
      </c>
      <c r="E49" s="81">
        <v>1</v>
      </c>
      <c r="F49" s="81" t="s">
        <v>260</v>
      </c>
      <c r="G49" s="81" t="s">
        <v>63</v>
      </c>
      <c r="H49" s="88">
        <v>46388</v>
      </c>
      <c r="I49" s="81" t="s">
        <v>58</v>
      </c>
      <c r="J49" s="88">
        <v>46255</v>
      </c>
      <c r="K49" s="82" t="s">
        <v>369</v>
      </c>
      <c r="L49" s="81" t="s">
        <v>376</v>
      </c>
      <c r="M49" s="81" t="s">
        <v>246</v>
      </c>
      <c r="N49" s="81"/>
      <c r="O49" s="81"/>
      <c r="P49" s="81"/>
      <c r="Q49" s="81"/>
      <c r="R49" s="81"/>
      <c r="S49" s="81"/>
      <c r="T49" s="81" t="s">
        <v>379</v>
      </c>
      <c r="U49" s="81"/>
    </row>
    <row r="50" spans="1:21" x14ac:dyDescent="0.25">
      <c r="A50" s="85">
        <v>1049</v>
      </c>
      <c r="B50" s="85" t="s">
        <v>63</v>
      </c>
      <c r="C50" s="81" t="s">
        <v>556</v>
      </c>
      <c r="D50" s="81" t="s">
        <v>557</v>
      </c>
      <c r="E50" s="81">
        <v>1</v>
      </c>
      <c r="F50" s="81" t="s">
        <v>260</v>
      </c>
      <c r="G50" s="81" t="s">
        <v>63</v>
      </c>
      <c r="H50" s="88">
        <v>46388</v>
      </c>
      <c r="I50" s="81" t="s">
        <v>58</v>
      </c>
      <c r="J50" s="88">
        <v>46255</v>
      </c>
      <c r="K50" s="81" t="s">
        <v>369</v>
      </c>
      <c r="L50" s="81" t="s">
        <v>376</v>
      </c>
      <c r="M50" s="81" t="s">
        <v>246</v>
      </c>
      <c r="N50" s="81"/>
      <c r="O50" s="81"/>
      <c r="P50" s="81"/>
      <c r="Q50" s="81"/>
      <c r="R50" s="81"/>
      <c r="S50" s="81"/>
      <c r="T50" s="81" t="s">
        <v>200</v>
      </c>
      <c r="U50" s="81"/>
    </row>
    <row r="51" spans="1:21" x14ac:dyDescent="0.25">
      <c r="A51" s="85">
        <v>1049</v>
      </c>
      <c r="B51" s="85" t="s">
        <v>63</v>
      </c>
      <c r="C51" s="81" t="s">
        <v>556</v>
      </c>
      <c r="D51" s="81" t="s">
        <v>557</v>
      </c>
      <c r="E51" s="81">
        <v>1</v>
      </c>
      <c r="F51" s="81" t="s">
        <v>260</v>
      </c>
      <c r="G51" s="81" t="s">
        <v>63</v>
      </c>
      <c r="H51" s="88">
        <v>46388</v>
      </c>
      <c r="I51" s="81" t="s">
        <v>58</v>
      </c>
      <c r="J51" s="88">
        <v>46255</v>
      </c>
      <c r="K51" s="81" t="s">
        <v>369</v>
      </c>
      <c r="L51" s="81" t="s">
        <v>376</v>
      </c>
      <c r="M51" s="81" t="s">
        <v>246</v>
      </c>
      <c r="N51" s="81"/>
      <c r="O51" s="81"/>
      <c r="P51" s="81"/>
      <c r="Q51" s="81"/>
      <c r="R51" s="81"/>
      <c r="S51" s="81"/>
      <c r="T51" s="81" t="s">
        <v>200</v>
      </c>
      <c r="U51" s="81"/>
    </row>
    <row r="52" spans="1:21" x14ac:dyDescent="0.25">
      <c r="A52" s="85">
        <v>1049</v>
      </c>
      <c r="B52" s="85" t="s">
        <v>63</v>
      </c>
      <c r="C52" s="81" t="s">
        <v>556</v>
      </c>
      <c r="D52" s="81" t="s">
        <v>557</v>
      </c>
      <c r="E52" s="81">
        <v>1</v>
      </c>
      <c r="F52" s="81" t="s">
        <v>260</v>
      </c>
      <c r="G52" s="81" t="s">
        <v>63</v>
      </c>
      <c r="H52" s="88">
        <v>46388</v>
      </c>
      <c r="I52" s="81" t="s">
        <v>58</v>
      </c>
      <c r="J52" s="88">
        <v>46255</v>
      </c>
      <c r="K52" s="81" t="s">
        <v>369</v>
      </c>
      <c r="L52" s="81" t="s">
        <v>376</v>
      </c>
      <c r="M52" s="81" t="s">
        <v>246</v>
      </c>
      <c r="N52" s="81"/>
      <c r="O52" s="81"/>
      <c r="P52" s="81"/>
      <c r="Q52" s="81"/>
      <c r="R52" s="81"/>
      <c r="S52" s="81"/>
      <c r="T52" s="81" t="s">
        <v>200</v>
      </c>
      <c r="U52" s="81"/>
    </row>
    <row r="53" spans="1:21" x14ac:dyDescent="0.25">
      <c r="A53" s="85">
        <v>1049</v>
      </c>
      <c r="B53" s="85" t="s">
        <v>63</v>
      </c>
      <c r="C53" s="81" t="s">
        <v>556</v>
      </c>
      <c r="D53" s="81" t="s">
        <v>557</v>
      </c>
      <c r="E53" s="81">
        <v>1</v>
      </c>
      <c r="F53" s="81" t="s">
        <v>260</v>
      </c>
      <c r="G53" s="81" t="s">
        <v>63</v>
      </c>
      <c r="H53" s="88">
        <v>46388</v>
      </c>
      <c r="I53" s="81" t="s">
        <v>58</v>
      </c>
      <c r="J53" s="88">
        <v>46255</v>
      </c>
      <c r="K53" s="81" t="s">
        <v>369</v>
      </c>
      <c r="L53" s="81" t="s">
        <v>376</v>
      </c>
      <c r="M53" s="81" t="s">
        <v>246</v>
      </c>
      <c r="N53" s="81"/>
      <c r="O53" s="81"/>
      <c r="P53" s="81"/>
      <c r="Q53" s="81"/>
      <c r="R53" s="81"/>
      <c r="S53" s="81"/>
      <c r="T53" s="81" t="s">
        <v>200</v>
      </c>
      <c r="U53" s="81"/>
    </row>
    <row r="54" spans="1:21" x14ac:dyDescent="0.25">
      <c r="A54" s="85">
        <v>1022</v>
      </c>
      <c r="B54" s="85" t="s">
        <v>63</v>
      </c>
      <c r="C54" s="81" t="s">
        <v>33</v>
      </c>
      <c r="D54" s="81" t="s">
        <v>568</v>
      </c>
      <c r="E54" s="81">
        <v>1</v>
      </c>
      <c r="F54" s="81" t="s">
        <v>63</v>
      </c>
      <c r="G54" s="81" t="s">
        <v>63</v>
      </c>
      <c r="H54" s="88" t="s">
        <v>56</v>
      </c>
      <c r="I54" s="81" t="s">
        <v>56</v>
      </c>
      <c r="J54" s="88">
        <v>46227</v>
      </c>
      <c r="K54" s="82" t="s">
        <v>224</v>
      </c>
      <c r="L54" s="81"/>
      <c r="M54" s="81"/>
      <c r="N54" s="81"/>
      <c r="O54" s="81"/>
      <c r="P54" s="81"/>
      <c r="Q54" s="81"/>
      <c r="R54" s="81"/>
      <c r="S54" s="81"/>
      <c r="T54" s="81" t="s">
        <v>326</v>
      </c>
      <c r="U54" s="81"/>
    </row>
    <row r="55" spans="1:21" x14ac:dyDescent="0.25">
      <c r="A55" s="85">
        <v>1022</v>
      </c>
      <c r="B55" s="85" t="s">
        <v>63</v>
      </c>
      <c r="C55" s="81" t="s">
        <v>33</v>
      </c>
      <c r="D55" s="81" t="s">
        <v>568</v>
      </c>
      <c r="E55" s="81">
        <v>1</v>
      </c>
      <c r="F55" s="81" t="s">
        <v>63</v>
      </c>
      <c r="G55" s="81" t="s">
        <v>63</v>
      </c>
      <c r="H55" s="88" t="s">
        <v>56</v>
      </c>
      <c r="I55" s="81" t="s">
        <v>56</v>
      </c>
      <c r="J55" s="88">
        <v>46227</v>
      </c>
      <c r="K55" s="82" t="s">
        <v>224</v>
      </c>
      <c r="L55" s="81"/>
      <c r="M55" s="81"/>
      <c r="N55" s="81"/>
      <c r="O55" s="81"/>
      <c r="P55" s="81"/>
      <c r="Q55" s="81"/>
      <c r="R55" s="81"/>
      <c r="S55" s="81"/>
      <c r="T55" s="81" t="s">
        <v>326</v>
      </c>
      <c r="U55" s="81"/>
    </row>
    <row r="56" spans="1:21" x14ac:dyDescent="0.25">
      <c r="A56" s="85">
        <v>1022</v>
      </c>
      <c r="B56" s="85" t="s">
        <v>63</v>
      </c>
      <c r="C56" s="81" t="s">
        <v>33</v>
      </c>
      <c r="D56" s="81" t="s">
        <v>568</v>
      </c>
      <c r="E56" s="81">
        <v>1</v>
      </c>
      <c r="F56" s="81" t="s">
        <v>63</v>
      </c>
      <c r="G56" s="81" t="s">
        <v>63</v>
      </c>
      <c r="H56" s="88" t="s">
        <v>56</v>
      </c>
      <c r="I56" s="81" t="s">
        <v>56</v>
      </c>
      <c r="J56" s="88">
        <v>46227</v>
      </c>
      <c r="K56" s="82" t="s">
        <v>224</v>
      </c>
      <c r="L56" s="81"/>
      <c r="M56" s="81"/>
      <c r="N56" s="81"/>
      <c r="O56" s="81"/>
      <c r="P56" s="81"/>
      <c r="Q56" s="81"/>
      <c r="R56" s="81"/>
      <c r="S56" s="81"/>
      <c r="T56" s="81" t="s">
        <v>326</v>
      </c>
      <c r="U56" s="81"/>
    </row>
    <row r="57" spans="1:21" x14ac:dyDescent="0.25">
      <c r="A57" s="85">
        <v>1022</v>
      </c>
      <c r="B57" s="85" t="s">
        <v>63</v>
      </c>
      <c r="C57" s="81" t="s">
        <v>33</v>
      </c>
      <c r="D57" s="81" t="s">
        <v>568</v>
      </c>
      <c r="E57" s="81">
        <v>1</v>
      </c>
      <c r="F57" s="81" t="s">
        <v>63</v>
      </c>
      <c r="G57" s="81" t="s">
        <v>63</v>
      </c>
      <c r="H57" s="88" t="s">
        <v>56</v>
      </c>
      <c r="I57" s="81" t="s">
        <v>56</v>
      </c>
      <c r="J57" s="88">
        <v>46227</v>
      </c>
      <c r="K57" s="82" t="s">
        <v>224</v>
      </c>
      <c r="L57" s="81"/>
      <c r="M57" s="81"/>
      <c r="N57" s="81"/>
      <c r="O57" s="81"/>
      <c r="P57" s="81"/>
      <c r="Q57" s="81"/>
      <c r="R57" s="81"/>
      <c r="S57" s="81"/>
      <c r="T57" s="81" t="s">
        <v>326</v>
      </c>
      <c r="U57" s="81"/>
    </row>
    <row r="58" spans="1:21" x14ac:dyDescent="0.25">
      <c r="A58" s="85">
        <v>1041</v>
      </c>
      <c r="B58" s="85"/>
      <c r="C58" s="81" t="s">
        <v>579</v>
      </c>
      <c r="D58" s="81" t="s">
        <v>577</v>
      </c>
      <c r="E58" s="81">
        <v>2</v>
      </c>
      <c r="F58" s="81" t="s">
        <v>267</v>
      </c>
      <c r="G58" s="81" t="s">
        <v>207</v>
      </c>
      <c r="H58" s="88">
        <v>46388</v>
      </c>
      <c r="I58" s="81" t="s">
        <v>58</v>
      </c>
      <c r="J58" s="88">
        <v>46437</v>
      </c>
      <c r="K58" s="81" t="s">
        <v>369</v>
      </c>
      <c r="L58" s="81" t="s">
        <v>376</v>
      </c>
      <c r="M58" s="81" t="s">
        <v>246</v>
      </c>
      <c r="N58" s="81"/>
      <c r="O58" s="81"/>
      <c r="P58" s="81"/>
      <c r="Q58" s="81"/>
      <c r="R58" s="81"/>
      <c r="S58" s="81"/>
      <c r="T58" s="81" t="s">
        <v>200</v>
      </c>
      <c r="U58" s="81"/>
    </row>
    <row r="59" spans="1:21" x14ac:dyDescent="0.25">
      <c r="A59" s="85">
        <v>1041</v>
      </c>
      <c r="B59" s="85"/>
      <c r="C59" s="81" t="s">
        <v>579</v>
      </c>
      <c r="D59" s="81" t="s">
        <v>577</v>
      </c>
      <c r="E59" s="81">
        <v>2</v>
      </c>
      <c r="F59" s="81" t="s">
        <v>267</v>
      </c>
      <c r="G59" s="81" t="s">
        <v>208</v>
      </c>
      <c r="H59" s="88">
        <v>46388</v>
      </c>
      <c r="I59" s="81" t="s">
        <v>58</v>
      </c>
      <c r="J59" s="88">
        <v>46437</v>
      </c>
      <c r="K59" s="81" t="s">
        <v>369</v>
      </c>
      <c r="L59" s="81" t="s">
        <v>376</v>
      </c>
      <c r="M59" s="81" t="s">
        <v>246</v>
      </c>
      <c r="N59" s="81"/>
      <c r="O59" s="81"/>
      <c r="P59" s="81"/>
      <c r="Q59" s="81"/>
      <c r="R59" s="81"/>
      <c r="S59" s="81"/>
      <c r="T59" s="81" t="s">
        <v>200</v>
      </c>
      <c r="U59" s="81"/>
    </row>
    <row r="60" spans="1:21" x14ac:dyDescent="0.25">
      <c r="A60" s="85">
        <v>1041</v>
      </c>
      <c r="B60" s="85"/>
      <c r="C60" s="81" t="s">
        <v>579</v>
      </c>
      <c r="D60" s="81" t="s">
        <v>588</v>
      </c>
      <c r="E60" s="81">
        <v>1</v>
      </c>
      <c r="F60" s="81" t="s">
        <v>260</v>
      </c>
      <c r="G60" s="81" t="s">
        <v>204</v>
      </c>
      <c r="H60" s="88">
        <v>46388</v>
      </c>
      <c r="I60" s="81" t="s">
        <v>58</v>
      </c>
      <c r="J60" s="88">
        <v>46421</v>
      </c>
      <c r="K60" s="81" t="s">
        <v>369</v>
      </c>
      <c r="L60" s="81" t="s">
        <v>411</v>
      </c>
      <c r="M60" s="81" t="s">
        <v>376</v>
      </c>
      <c r="N60" s="81" t="s">
        <v>246</v>
      </c>
      <c r="O60" s="81" t="s">
        <v>412</v>
      </c>
      <c r="P60" s="81"/>
      <c r="Q60" s="81"/>
      <c r="R60" s="81"/>
      <c r="S60" s="81"/>
      <c r="T60" s="81" t="s">
        <v>200</v>
      </c>
      <c r="U60" s="81"/>
    </row>
    <row r="61" spans="1:21" x14ac:dyDescent="0.25">
      <c r="A61" s="85">
        <v>1041</v>
      </c>
      <c r="B61" s="85"/>
      <c r="C61" s="81" t="s">
        <v>579</v>
      </c>
      <c r="D61" s="81" t="s">
        <v>589</v>
      </c>
      <c r="E61" s="81">
        <v>1</v>
      </c>
      <c r="F61" s="81" t="s">
        <v>260</v>
      </c>
      <c r="G61" s="81" t="s">
        <v>204</v>
      </c>
      <c r="H61" s="88">
        <v>46388</v>
      </c>
      <c r="I61" s="81" t="s">
        <v>58</v>
      </c>
      <c r="J61" s="88">
        <v>46420</v>
      </c>
      <c r="K61" s="81" t="s">
        <v>369</v>
      </c>
      <c r="L61" s="81" t="s">
        <v>411</v>
      </c>
      <c r="M61" s="81" t="s">
        <v>376</v>
      </c>
      <c r="N61" s="81" t="s">
        <v>246</v>
      </c>
      <c r="O61" s="81" t="s">
        <v>412</v>
      </c>
      <c r="P61" s="81"/>
      <c r="Q61" s="81"/>
      <c r="R61" s="81"/>
      <c r="S61" s="81"/>
      <c r="T61" s="81" t="s">
        <v>200</v>
      </c>
      <c r="U61" s="81"/>
    </row>
    <row r="62" spans="1:21" x14ac:dyDescent="0.25">
      <c r="A62" s="85">
        <v>1041</v>
      </c>
      <c r="B62" s="85"/>
      <c r="C62" s="81" t="s">
        <v>579</v>
      </c>
      <c r="D62" s="81" t="s">
        <v>590</v>
      </c>
      <c r="E62" s="81">
        <v>1</v>
      </c>
      <c r="F62" s="81" t="s">
        <v>260</v>
      </c>
      <c r="G62" s="81" t="s">
        <v>204</v>
      </c>
      <c r="H62" s="88">
        <v>46388</v>
      </c>
      <c r="I62" s="81" t="s">
        <v>58</v>
      </c>
      <c r="J62" s="88">
        <v>46435</v>
      </c>
      <c r="K62" s="81" t="s">
        <v>369</v>
      </c>
      <c r="L62" s="81" t="s">
        <v>411</v>
      </c>
      <c r="M62" s="81" t="s">
        <v>376</v>
      </c>
      <c r="N62" s="81" t="s">
        <v>246</v>
      </c>
      <c r="O62" s="81" t="s">
        <v>412</v>
      </c>
      <c r="P62" s="81"/>
      <c r="Q62" s="81"/>
      <c r="R62" s="81"/>
      <c r="S62" s="81"/>
      <c r="T62" s="81" t="s">
        <v>200</v>
      </c>
      <c r="U62" s="81"/>
    </row>
    <row r="63" spans="1:21" x14ac:dyDescent="0.25">
      <c r="A63" s="85">
        <v>1041</v>
      </c>
      <c r="B63" s="85"/>
      <c r="C63" s="81" t="s">
        <v>579</v>
      </c>
      <c r="D63" s="81" t="s">
        <v>591</v>
      </c>
      <c r="E63" s="81">
        <v>1</v>
      </c>
      <c r="F63" s="81" t="s">
        <v>263</v>
      </c>
      <c r="G63" s="81" t="s">
        <v>248</v>
      </c>
      <c r="H63" s="88">
        <v>46388</v>
      </c>
      <c r="I63" s="81" t="s">
        <v>58</v>
      </c>
      <c r="J63" s="88">
        <v>46429</v>
      </c>
      <c r="K63" s="81" t="s">
        <v>369</v>
      </c>
      <c r="L63" s="81" t="s">
        <v>411</v>
      </c>
      <c r="M63" s="81" t="s">
        <v>376</v>
      </c>
      <c r="N63" s="81" t="s">
        <v>246</v>
      </c>
      <c r="O63" s="81" t="s">
        <v>412</v>
      </c>
      <c r="P63" s="81"/>
      <c r="Q63" s="81"/>
      <c r="R63" s="81"/>
      <c r="S63" s="81"/>
      <c r="T63" s="81" t="s">
        <v>200</v>
      </c>
      <c r="U63" s="81"/>
    </row>
    <row r="64" spans="1:21" x14ac:dyDescent="0.25">
      <c r="A64" s="85">
        <v>1041</v>
      </c>
      <c r="B64" s="85"/>
      <c r="C64" s="81" t="s">
        <v>579</v>
      </c>
      <c r="D64" s="81" t="s">
        <v>592</v>
      </c>
      <c r="E64" s="81">
        <v>1</v>
      </c>
      <c r="F64" s="81" t="s">
        <v>263</v>
      </c>
      <c r="G64" s="81" t="s">
        <v>248</v>
      </c>
      <c r="H64" s="88">
        <v>46388</v>
      </c>
      <c r="I64" s="81" t="s">
        <v>58</v>
      </c>
      <c r="J64" s="88">
        <v>46430</v>
      </c>
      <c r="K64" s="81" t="s">
        <v>369</v>
      </c>
      <c r="L64" s="81" t="s">
        <v>411</v>
      </c>
      <c r="M64" s="81" t="s">
        <v>376</v>
      </c>
      <c r="N64" s="81" t="s">
        <v>246</v>
      </c>
      <c r="O64" s="81" t="s">
        <v>412</v>
      </c>
      <c r="P64" s="81"/>
      <c r="Q64" s="81"/>
      <c r="R64" s="81"/>
      <c r="S64" s="81"/>
      <c r="T64" s="81" t="s">
        <v>200</v>
      </c>
      <c r="U64" s="81"/>
    </row>
    <row r="65" spans="1:21" x14ac:dyDescent="0.25">
      <c r="A65" s="85">
        <v>1041</v>
      </c>
      <c r="B65" s="85"/>
      <c r="C65" s="81" t="s">
        <v>579</v>
      </c>
      <c r="D65" s="81" t="s">
        <v>593</v>
      </c>
      <c r="E65" s="81">
        <v>1</v>
      </c>
      <c r="F65" s="81" t="s">
        <v>263</v>
      </c>
      <c r="G65" s="81" t="s">
        <v>248</v>
      </c>
      <c r="H65" s="88">
        <v>46388</v>
      </c>
      <c r="I65" s="81" t="s">
        <v>58</v>
      </c>
      <c r="J65" s="88">
        <v>46435</v>
      </c>
      <c r="K65" s="81" t="s">
        <v>369</v>
      </c>
      <c r="L65" s="81" t="s">
        <v>411</v>
      </c>
      <c r="M65" s="81" t="s">
        <v>376</v>
      </c>
      <c r="N65" s="81" t="s">
        <v>246</v>
      </c>
      <c r="O65" s="81" t="s">
        <v>412</v>
      </c>
      <c r="P65" s="81"/>
      <c r="Q65" s="81"/>
      <c r="R65" s="81"/>
      <c r="S65" s="81"/>
      <c r="T65" s="81" t="s">
        <v>200</v>
      </c>
      <c r="U65" s="81"/>
    </row>
  </sheetData>
  <conditionalFormatting sqref="J12:J26">
    <cfRule type="expression" dxfId="67" priority="1">
      <formula>J12=""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EC6F-EA0F-4DA9-80E1-5F0E0C8C0396}">
  <dimension ref="A1:R147"/>
  <sheetViews>
    <sheetView workbookViewId="0">
      <selection activeCell="J9" sqref="J9"/>
    </sheetView>
  </sheetViews>
  <sheetFormatPr defaultRowHeight="15" x14ac:dyDescent="0.25"/>
  <cols>
    <col min="3" max="4" width="9.140625" style="1"/>
    <col min="5" max="5" width="22.7109375" style="30" customWidth="1"/>
    <col min="6" max="6" width="9.140625" style="1"/>
    <col min="7" max="7" width="36.85546875" customWidth="1"/>
    <col min="8" max="11" width="10.42578125" bestFit="1" customWidth="1"/>
    <col min="12" max="12" width="10.42578125" style="33" bestFit="1" customWidth="1"/>
    <col min="13" max="13" width="11.7109375" customWidth="1"/>
    <col min="14" max="16" width="13.5703125" customWidth="1"/>
    <col min="17" max="17" width="13.140625" bestFit="1" customWidth="1"/>
    <col min="18" max="18" width="30.7109375" customWidth="1"/>
  </cols>
  <sheetData>
    <row r="1" spans="1:18" ht="52.5" customHeight="1" x14ac:dyDescent="0.25">
      <c r="A1" t="s">
        <v>7</v>
      </c>
      <c r="B1" t="s">
        <v>73</v>
      </c>
      <c r="C1" s="1" t="s">
        <v>504</v>
      </c>
      <c r="D1" s="1" t="s">
        <v>5</v>
      </c>
      <c r="E1" s="30" t="s">
        <v>3</v>
      </c>
      <c r="F1" s="1" t="s">
        <v>38</v>
      </c>
      <c r="G1" t="s">
        <v>6</v>
      </c>
      <c r="H1" s="31" t="s">
        <v>54</v>
      </c>
      <c r="I1" s="31" t="s">
        <v>12</v>
      </c>
      <c r="J1" s="31" t="s">
        <v>53</v>
      </c>
      <c r="K1" s="31" t="s">
        <v>13</v>
      </c>
      <c r="L1" s="31" t="s">
        <v>70</v>
      </c>
      <c r="M1" s="31" t="s">
        <v>52</v>
      </c>
      <c r="N1" s="31" t="s">
        <v>46</v>
      </c>
      <c r="O1" s="27" t="s">
        <v>84</v>
      </c>
      <c r="P1" s="31" t="s">
        <v>68</v>
      </c>
      <c r="Q1" s="31" t="s">
        <v>74</v>
      </c>
      <c r="R1" s="31" t="s">
        <v>59</v>
      </c>
    </row>
    <row r="2" spans="1:18" x14ac:dyDescent="0.25">
      <c r="A2" s="13">
        <v>2246</v>
      </c>
      <c r="B2" s="13">
        <v>1</v>
      </c>
      <c r="C2" s="12">
        <v>434129</v>
      </c>
      <c r="D2" s="12">
        <v>1</v>
      </c>
      <c r="E2" s="17" t="s">
        <v>106</v>
      </c>
      <c r="F2" s="12">
        <v>1</v>
      </c>
      <c r="G2" s="6" t="s">
        <v>114</v>
      </c>
      <c r="H2" s="7">
        <v>46230</v>
      </c>
      <c r="I2" s="43">
        <v>46217</v>
      </c>
      <c r="J2" s="7">
        <v>46254</v>
      </c>
      <c r="L2" s="11">
        <f ca="1">Tabela4[[#This Row],[Prazo
Entrega]]-TODAY()</f>
        <v>24</v>
      </c>
      <c r="M2" t="str">
        <f t="shared" ref="M2:M9" ca="1" si="0">IF(L2&lt;0,"ATRASADO",IF(L2&lt;=15,"ATENÇÃO","NO PRAZO"))</f>
        <v>NO PRAZO</v>
      </c>
      <c r="N2" t="s">
        <v>32</v>
      </c>
      <c r="O2" s="28">
        <v>46199</v>
      </c>
      <c r="P2" s="1" t="s">
        <v>56</v>
      </c>
      <c r="Q2" t="s">
        <v>202</v>
      </c>
      <c r="R2" t="s">
        <v>311</v>
      </c>
    </row>
    <row r="3" spans="1:18" x14ac:dyDescent="0.25">
      <c r="A3" s="13">
        <v>2246</v>
      </c>
      <c r="B3" s="13">
        <v>2</v>
      </c>
      <c r="C3" s="12">
        <v>434129</v>
      </c>
      <c r="D3" s="12">
        <v>2</v>
      </c>
      <c r="E3" s="17" t="s">
        <v>106</v>
      </c>
      <c r="F3" s="12">
        <v>1</v>
      </c>
      <c r="G3" s="6" t="s">
        <v>114</v>
      </c>
      <c r="H3" s="7">
        <v>46230</v>
      </c>
      <c r="I3" s="43">
        <v>46217</v>
      </c>
      <c r="J3" s="7">
        <v>46254</v>
      </c>
      <c r="L3" s="11">
        <f ca="1">Tabela4[[#This Row],[Prazo
Entrega]]-TODAY()</f>
        <v>24</v>
      </c>
      <c r="M3" t="str">
        <f t="shared" ca="1" si="0"/>
        <v>NO PRAZO</v>
      </c>
      <c r="N3" t="s">
        <v>32</v>
      </c>
      <c r="O3" s="28">
        <v>46199</v>
      </c>
      <c r="P3" s="1" t="s">
        <v>56</v>
      </c>
      <c r="Q3" t="s">
        <v>202</v>
      </c>
      <c r="R3" t="s">
        <v>311</v>
      </c>
    </row>
    <row r="4" spans="1:18" x14ac:dyDescent="0.25">
      <c r="A4" s="13">
        <v>2246</v>
      </c>
      <c r="B4" s="13">
        <v>3</v>
      </c>
      <c r="C4" s="12">
        <v>434129</v>
      </c>
      <c r="D4" s="12">
        <v>3</v>
      </c>
      <c r="E4" s="17" t="s">
        <v>106</v>
      </c>
      <c r="F4" s="12">
        <v>1</v>
      </c>
      <c r="G4" s="6" t="s">
        <v>114</v>
      </c>
      <c r="H4" s="7">
        <v>46230</v>
      </c>
      <c r="I4" s="43">
        <v>46217</v>
      </c>
      <c r="J4" s="7">
        <v>46254</v>
      </c>
      <c r="L4" s="11">
        <f ca="1">Tabela4[[#This Row],[Prazo
Entrega]]-TODAY()</f>
        <v>24</v>
      </c>
      <c r="M4" t="str">
        <f t="shared" ca="1" si="0"/>
        <v>NO PRAZO</v>
      </c>
      <c r="N4" t="s">
        <v>32</v>
      </c>
      <c r="O4" s="28">
        <v>46199</v>
      </c>
      <c r="P4" s="1" t="s">
        <v>56</v>
      </c>
      <c r="Q4" t="s">
        <v>202</v>
      </c>
      <c r="R4" t="s">
        <v>311</v>
      </c>
    </row>
    <row r="5" spans="1:18" x14ac:dyDescent="0.25">
      <c r="A5" s="13">
        <v>2246</v>
      </c>
      <c r="B5" s="13">
        <v>4</v>
      </c>
      <c r="C5" s="12">
        <v>434129</v>
      </c>
      <c r="D5" s="12">
        <v>4</v>
      </c>
      <c r="E5" s="17" t="s">
        <v>106</v>
      </c>
      <c r="F5" s="12">
        <v>1</v>
      </c>
      <c r="G5" s="6" t="s">
        <v>114</v>
      </c>
      <c r="H5" s="7">
        <v>46230</v>
      </c>
      <c r="I5" s="43">
        <v>46217</v>
      </c>
      <c r="J5" s="7">
        <v>46254</v>
      </c>
      <c r="L5" s="11">
        <f ca="1">Tabela4[[#This Row],[Prazo
Entrega]]-TODAY()</f>
        <v>24</v>
      </c>
      <c r="M5" t="str">
        <f t="shared" ca="1" si="0"/>
        <v>NO PRAZO</v>
      </c>
      <c r="N5" t="s">
        <v>32</v>
      </c>
      <c r="O5" s="28">
        <v>46199</v>
      </c>
      <c r="P5" s="1" t="s">
        <v>56</v>
      </c>
      <c r="Q5" t="s">
        <v>202</v>
      </c>
      <c r="R5" t="s">
        <v>311</v>
      </c>
    </row>
    <row r="6" spans="1:18" x14ac:dyDescent="0.25">
      <c r="A6" s="13">
        <v>2246</v>
      </c>
      <c r="B6" s="13">
        <v>5</v>
      </c>
      <c r="C6" s="12">
        <v>434130</v>
      </c>
      <c r="D6" s="12">
        <v>1</v>
      </c>
      <c r="E6" s="17" t="s">
        <v>106</v>
      </c>
      <c r="F6" s="12">
        <v>1</v>
      </c>
      <c r="G6" s="6" t="s">
        <v>114</v>
      </c>
      <c r="H6" s="7">
        <v>46230</v>
      </c>
      <c r="I6" s="43">
        <v>46217</v>
      </c>
      <c r="J6" s="7">
        <v>46254</v>
      </c>
      <c r="L6" s="11">
        <f ca="1">Tabela4[[#This Row],[Prazo
Entrega]]-TODAY()</f>
        <v>24</v>
      </c>
      <c r="M6" t="str">
        <f t="shared" ca="1" si="0"/>
        <v>NO PRAZO</v>
      </c>
      <c r="N6" t="s">
        <v>32</v>
      </c>
      <c r="O6" s="28">
        <v>46199</v>
      </c>
      <c r="P6" s="1" t="s">
        <v>56</v>
      </c>
      <c r="Q6" t="s">
        <v>202</v>
      </c>
      <c r="R6" t="s">
        <v>311</v>
      </c>
    </row>
    <row r="7" spans="1:18" x14ac:dyDescent="0.25">
      <c r="A7" s="13">
        <v>2246</v>
      </c>
      <c r="B7" s="13">
        <v>6</v>
      </c>
      <c r="C7" s="12">
        <v>434130</v>
      </c>
      <c r="D7" s="12">
        <v>2</v>
      </c>
      <c r="E7" s="17" t="s">
        <v>106</v>
      </c>
      <c r="F7" s="12">
        <v>1</v>
      </c>
      <c r="G7" s="6" t="s">
        <v>114</v>
      </c>
      <c r="H7" s="7">
        <v>46230</v>
      </c>
      <c r="I7" s="43">
        <v>46217</v>
      </c>
      <c r="J7" s="7">
        <v>46254</v>
      </c>
      <c r="L7" s="11">
        <f ca="1">Tabela4[[#This Row],[Prazo
Entrega]]-TODAY()</f>
        <v>24</v>
      </c>
      <c r="M7" t="str">
        <f t="shared" ca="1" si="0"/>
        <v>NO PRAZO</v>
      </c>
      <c r="N7" t="s">
        <v>32</v>
      </c>
      <c r="O7" s="28">
        <v>46199</v>
      </c>
      <c r="P7" s="1" t="s">
        <v>56</v>
      </c>
      <c r="Q7" t="s">
        <v>202</v>
      </c>
      <c r="R7" t="s">
        <v>311</v>
      </c>
    </row>
    <row r="8" spans="1:18" x14ac:dyDescent="0.25">
      <c r="A8" s="13">
        <v>2246</v>
      </c>
      <c r="B8" s="13">
        <v>7</v>
      </c>
      <c r="C8" s="12">
        <v>434130</v>
      </c>
      <c r="D8" s="12">
        <v>3</v>
      </c>
      <c r="E8" s="17" t="s">
        <v>106</v>
      </c>
      <c r="F8" s="12">
        <v>1</v>
      </c>
      <c r="G8" s="6" t="s">
        <v>114</v>
      </c>
      <c r="H8" s="7">
        <v>46230</v>
      </c>
      <c r="I8" s="43">
        <v>46217</v>
      </c>
      <c r="J8" s="7">
        <v>46254</v>
      </c>
      <c r="L8" s="11">
        <f ca="1">Tabela4[[#This Row],[Prazo
Entrega]]-TODAY()</f>
        <v>24</v>
      </c>
      <c r="M8" t="str">
        <f t="shared" ca="1" si="0"/>
        <v>NO PRAZO</v>
      </c>
      <c r="N8" t="s">
        <v>32</v>
      </c>
      <c r="O8" s="28">
        <v>46199</v>
      </c>
      <c r="P8" s="1" t="s">
        <v>56</v>
      </c>
      <c r="Q8" t="s">
        <v>202</v>
      </c>
      <c r="R8" t="s">
        <v>311</v>
      </c>
    </row>
    <row r="9" spans="1:18" x14ac:dyDescent="0.25">
      <c r="A9" s="13">
        <v>2246</v>
      </c>
      <c r="B9" s="13">
        <v>8</v>
      </c>
      <c r="C9" s="12">
        <v>434130</v>
      </c>
      <c r="D9" s="12">
        <v>4</v>
      </c>
      <c r="E9" s="17" t="s">
        <v>106</v>
      </c>
      <c r="F9" s="12">
        <v>1</v>
      </c>
      <c r="G9" s="6" t="s">
        <v>114</v>
      </c>
      <c r="H9" s="7">
        <v>46230</v>
      </c>
      <c r="I9" s="43">
        <v>46217</v>
      </c>
      <c r="J9" s="7">
        <v>46254</v>
      </c>
      <c r="L9" s="11">
        <f ca="1">Tabela4[[#This Row],[Prazo
Entrega]]-TODAY()</f>
        <v>24</v>
      </c>
      <c r="M9" t="str">
        <f t="shared" ca="1" si="0"/>
        <v>NO PRAZO</v>
      </c>
      <c r="N9" t="s">
        <v>32</v>
      </c>
      <c r="O9" s="28">
        <v>46199</v>
      </c>
      <c r="P9" s="1" t="s">
        <v>56</v>
      </c>
      <c r="Q9" t="s">
        <v>202</v>
      </c>
      <c r="R9" t="s">
        <v>311</v>
      </c>
    </row>
    <row r="10" spans="1:18" s="8" customFormat="1" hidden="1" x14ac:dyDescent="0.25">
      <c r="A10" s="13">
        <v>2186</v>
      </c>
      <c r="B10" s="13">
        <v>1</v>
      </c>
      <c r="C10" s="13" t="s">
        <v>63</v>
      </c>
      <c r="D10" s="13" t="s">
        <v>63</v>
      </c>
      <c r="E10" s="15" t="s">
        <v>107</v>
      </c>
      <c r="F10" s="13">
        <v>1</v>
      </c>
      <c r="G10" s="15" t="s">
        <v>108</v>
      </c>
      <c r="H10" s="14" t="s">
        <v>63</v>
      </c>
      <c r="I10" s="14" t="s">
        <v>63</v>
      </c>
      <c r="J10" s="14">
        <v>46178</v>
      </c>
      <c r="K10" s="9">
        <v>46178</v>
      </c>
      <c r="L10" s="10">
        <f ca="1">Tabela4[[#This Row],[Prazo
Entrega]]-TODAY()</f>
        <v>-52</v>
      </c>
      <c r="M10" s="30" t="s">
        <v>77</v>
      </c>
      <c r="N10" s="8" t="s">
        <v>32</v>
      </c>
      <c r="O10" s="8" t="s">
        <v>56</v>
      </c>
      <c r="P10" s="8" t="s">
        <v>56</v>
      </c>
      <c r="Q10" s="32" t="s">
        <v>326</v>
      </c>
    </row>
    <row r="11" spans="1:18" hidden="1" x14ac:dyDescent="0.25">
      <c r="A11" s="13">
        <v>1027</v>
      </c>
      <c r="B11" s="13">
        <v>1</v>
      </c>
      <c r="C11" s="13" t="s">
        <v>63</v>
      </c>
      <c r="D11" s="13" t="s">
        <v>63</v>
      </c>
      <c r="E11" s="17" t="s">
        <v>89</v>
      </c>
      <c r="F11" s="12">
        <v>2</v>
      </c>
      <c r="G11" s="6" t="s">
        <v>109</v>
      </c>
      <c r="H11" s="14" t="s">
        <v>63</v>
      </c>
      <c r="I11" s="14" t="s">
        <v>63</v>
      </c>
      <c r="J11" s="7">
        <v>46376</v>
      </c>
      <c r="L11" s="11">
        <f ca="1">Tabela4[[#This Row],[Prazo
Entrega]]-TODAY()</f>
        <v>146</v>
      </c>
      <c r="M11" s="1" t="str">
        <f ca="1">IF(L11&lt;0,"ATRASADO",IF(L11&lt;=15,"ATENÇÃO","NO PRAZO"))</f>
        <v>NO PRAZO</v>
      </c>
      <c r="N11" s="8" t="s">
        <v>32</v>
      </c>
      <c r="O11" s="9" t="s">
        <v>56</v>
      </c>
      <c r="P11" s="1" t="s">
        <v>56</v>
      </c>
      <c r="Q11" t="s">
        <v>202</v>
      </c>
      <c r="R11" t="s">
        <v>574</v>
      </c>
    </row>
    <row r="12" spans="1:18" hidden="1" x14ac:dyDescent="0.25">
      <c r="A12" s="13">
        <v>1027</v>
      </c>
      <c r="B12" s="13">
        <v>4</v>
      </c>
      <c r="C12" s="13" t="s">
        <v>63</v>
      </c>
      <c r="D12" s="13" t="s">
        <v>63</v>
      </c>
      <c r="E12" s="17" t="s">
        <v>89</v>
      </c>
      <c r="F12" s="12">
        <v>2</v>
      </c>
      <c r="G12" s="6" t="s">
        <v>110</v>
      </c>
      <c r="H12" s="14" t="s">
        <v>63</v>
      </c>
      <c r="I12" s="14" t="s">
        <v>63</v>
      </c>
      <c r="J12" s="7">
        <v>46376</v>
      </c>
      <c r="L12" s="11">
        <f ca="1">Tabela4[[#This Row],[Prazo
Entrega]]-TODAY()</f>
        <v>146</v>
      </c>
      <c r="M12" t="str">
        <f ca="1">IF(L12&lt;0,"ATRASADO",IF(L12&lt;=15,"ATENÇÃO","NO PRAZO"))</f>
        <v>NO PRAZO</v>
      </c>
      <c r="N12" s="8" t="s">
        <v>32</v>
      </c>
      <c r="O12" s="9" t="s">
        <v>56</v>
      </c>
      <c r="P12" s="1" t="s">
        <v>56</v>
      </c>
      <c r="Q12" t="s">
        <v>202</v>
      </c>
      <c r="R12" t="s">
        <v>574</v>
      </c>
    </row>
    <row r="13" spans="1:18" hidden="1" x14ac:dyDescent="0.25">
      <c r="A13" s="13">
        <v>1027</v>
      </c>
      <c r="B13" s="13">
        <v>7</v>
      </c>
      <c r="C13" s="13" t="s">
        <v>63</v>
      </c>
      <c r="D13" s="13" t="s">
        <v>63</v>
      </c>
      <c r="E13" s="17" t="s">
        <v>89</v>
      </c>
      <c r="F13" s="12">
        <v>2</v>
      </c>
      <c r="G13" s="6" t="s">
        <v>111</v>
      </c>
      <c r="H13" s="14" t="s">
        <v>63</v>
      </c>
      <c r="I13" s="14" t="s">
        <v>63</v>
      </c>
      <c r="J13" s="7">
        <v>46376</v>
      </c>
      <c r="L13" s="11">
        <f ca="1">Tabela4[[#This Row],[Prazo
Entrega]]-TODAY()</f>
        <v>146</v>
      </c>
      <c r="M13" t="str">
        <f ca="1">IF(L13&lt;0,"ATRASADO",IF(L13&lt;=15,"ATENÇÃO","NO PRAZO"))</f>
        <v>NO PRAZO</v>
      </c>
      <c r="N13" s="8" t="s">
        <v>32</v>
      </c>
      <c r="O13" s="9" t="s">
        <v>56</v>
      </c>
      <c r="P13" s="1" t="s">
        <v>56</v>
      </c>
      <c r="Q13" t="s">
        <v>202</v>
      </c>
      <c r="R13" t="s">
        <v>574</v>
      </c>
    </row>
    <row r="14" spans="1:18" hidden="1" x14ac:dyDescent="0.25">
      <c r="A14" s="13">
        <v>1027</v>
      </c>
      <c r="B14" s="13">
        <v>7</v>
      </c>
      <c r="C14" s="13" t="s">
        <v>63</v>
      </c>
      <c r="D14" s="13" t="s">
        <v>63</v>
      </c>
      <c r="E14" s="17" t="s">
        <v>89</v>
      </c>
      <c r="F14" s="12">
        <v>2</v>
      </c>
      <c r="G14" s="6" t="s">
        <v>112</v>
      </c>
      <c r="H14" s="14" t="s">
        <v>63</v>
      </c>
      <c r="I14" s="14" t="s">
        <v>63</v>
      </c>
      <c r="J14" s="7">
        <v>46376</v>
      </c>
      <c r="K14" s="43">
        <v>46227</v>
      </c>
      <c r="L14" s="11">
        <f ca="1">Tabela4[[#This Row],[Prazo
Entrega]]-TODAY()</f>
        <v>146</v>
      </c>
      <c r="M14" t="str">
        <f ca="1">IF(L14&lt;0,"ATRASADO",IF(L14&lt;=15,"ATENÇÃO","NO PRAZO"))</f>
        <v>NO PRAZO</v>
      </c>
      <c r="N14" s="8" t="s">
        <v>32</v>
      </c>
      <c r="O14" s="9" t="s">
        <v>56</v>
      </c>
      <c r="P14" s="1" t="s">
        <v>56</v>
      </c>
      <c r="Q14" t="s">
        <v>76</v>
      </c>
      <c r="R14" t="s">
        <v>126</v>
      </c>
    </row>
    <row r="15" spans="1:18" hidden="1" x14ac:dyDescent="0.25">
      <c r="A15" s="13">
        <v>1027</v>
      </c>
      <c r="B15" s="13">
        <v>8</v>
      </c>
      <c r="C15" s="13" t="s">
        <v>63</v>
      </c>
      <c r="D15" s="13" t="s">
        <v>63</v>
      </c>
      <c r="E15" s="17" t="s">
        <v>89</v>
      </c>
      <c r="F15" s="12">
        <v>2</v>
      </c>
      <c r="G15" s="6" t="s">
        <v>112</v>
      </c>
      <c r="H15" s="14" t="s">
        <v>63</v>
      </c>
      <c r="I15" s="14" t="s">
        <v>63</v>
      </c>
      <c r="J15" s="7">
        <v>46376</v>
      </c>
      <c r="K15" s="43">
        <v>46227</v>
      </c>
      <c r="L15" s="11">
        <f ca="1">Tabela4[[#This Row],[Prazo
Entrega]]-TODAY()</f>
        <v>146</v>
      </c>
      <c r="M15" t="str">
        <f t="shared" ref="M15:M16" ca="1" si="1">IF(L15&lt;0,"ATRASADO",IF(L15&lt;=15,"ATENÇÃO","NO PRAZO"))</f>
        <v>NO PRAZO</v>
      </c>
      <c r="N15" s="8" t="s">
        <v>32</v>
      </c>
      <c r="O15" s="9" t="s">
        <v>56</v>
      </c>
      <c r="P15" s="1" t="s">
        <v>56</v>
      </c>
      <c r="Q15" t="s">
        <v>76</v>
      </c>
      <c r="R15" t="s">
        <v>126</v>
      </c>
    </row>
    <row r="16" spans="1:18" hidden="1" x14ac:dyDescent="0.25">
      <c r="A16" s="13">
        <v>1027</v>
      </c>
      <c r="B16" s="13">
        <v>9</v>
      </c>
      <c r="C16" s="13" t="s">
        <v>63</v>
      </c>
      <c r="D16" s="13" t="s">
        <v>63</v>
      </c>
      <c r="E16" s="17" t="s">
        <v>89</v>
      </c>
      <c r="F16" s="12">
        <v>2</v>
      </c>
      <c r="G16" s="6" t="s">
        <v>112</v>
      </c>
      <c r="H16" s="14" t="s">
        <v>63</v>
      </c>
      <c r="I16" s="14" t="s">
        <v>63</v>
      </c>
      <c r="J16" s="7">
        <v>46376</v>
      </c>
      <c r="K16" s="43">
        <v>46227</v>
      </c>
      <c r="L16" s="11">
        <f ca="1">Tabela4[[#This Row],[Prazo
Entrega]]-TODAY()</f>
        <v>146</v>
      </c>
      <c r="M16" t="str">
        <f t="shared" ca="1" si="1"/>
        <v>NO PRAZO</v>
      </c>
      <c r="N16" s="8" t="s">
        <v>32</v>
      </c>
      <c r="O16" s="9" t="s">
        <v>56</v>
      </c>
      <c r="P16" s="1" t="s">
        <v>56</v>
      </c>
      <c r="Q16" t="s">
        <v>76</v>
      </c>
      <c r="R16" t="s">
        <v>126</v>
      </c>
    </row>
    <row r="17" spans="1:17" hidden="1" x14ac:dyDescent="0.25">
      <c r="A17" s="13">
        <v>1031</v>
      </c>
      <c r="B17" s="13">
        <v>1</v>
      </c>
      <c r="C17" s="12">
        <v>27609</v>
      </c>
      <c r="D17" s="12">
        <v>1</v>
      </c>
      <c r="E17" s="17" t="s">
        <v>89</v>
      </c>
      <c r="F17" s="12">
        <v>1</v>
      </c>
      <c r="G17" s="6" t="s">
        <v>113</v>
      </c>
      <c r="H17" s="7">
        <v>46251</v>
      </c>
      <c r="J17" s="7">
        <v>46281</v>
      </c>
      <c r="L17" s="11">
        <f ca="1">Tabela4[[#This Row],[Prazo
Entrega]]-TODAY()</f>
        <v>51</v>
      </c>
      <c r="M17" t="str">
        <f t="shared" ref="M17:M18" ca="1" si="2">IF(L17&lt;0,"ATRASADO",IF(L17&lt;=15,"ATENÇÃO","NO PRAZO"))</f>
        <v>NO PRAZO</v>
      </c>
      <c r="N17" s="8" t="s">
        <v>32</v>
      </c>
      <c r="O17" s="9">
        <v>46241</v>
      </c>
      <c r="P17" s="1" t="s">
        <v>75</v>
      </c>
      <c r="Q17" t="s">
        <v>48</v>
      </c>
    </row>
    <row r="18" spans="1:17" hidden="1" x14ac:dyDescent="0.25">
      <c r="A18" s="13">
        <v>1031</v>
      </c>
      <c r="B18" s="13">
        <v>2</v>
      </c>
      <c r="C18" s="12">
        <v>27609</v>
      </c>
      <c r="D18" s="12">
        <v>2</v>
      </c>
      <c r="E18" s="17" t="s">
        <v>89</v>
      </c>
      <c r="F18" s="12">
        <v>1</v>
      </c>
      <c r="G18" s="6" t="s">
        <v>113</v>
      </c>
      <c r="H18" s="7">
        <v>46251</v>
      </c>
      <c r="J18" s="7">
        <v>46281</v>
      </c>
      <c r="L18" s="11">
        <f ca="1">Tabela4[[#This Row],[Prazo
Entrega]]-TODAY()</f>
        <v>51</v>
      </c>
      <c r="M18" t="str">
        <f t="shared" ca="1" si="2"/>
        <v>NO PRAZO</v>
      </c>
      <c r="N18" s="8" t="s">
        <v>32</v>
      </c>
      <c r="O18" s="9">
        <v>46241</v>
      </c>
      <c r="P18" s="1" t="s">
        <v>75</v>
      </c>
      <c r="Q18" t="s">
        <v>48</v>
      </c>
    </row>
    <row r="19" spans="1:17" hidden="1" x14ac:dyDescent="0.25">
      <c r="A19" s="13">
        <v>2331</v>
      </c>
      <c r="B19" s="13">
        <v>22</v>
      </c>
      <c r="C19" s="13" t="s">
        <v>63</v>
      </c>
      <c r="D19" s="13" t="s">
        <v>63</v>
      </c>
      <c r="E19" s="15" t="s">
        <v>115</v>
      </c>
      <c r="F19" s="12">
        <v>1</v>
      </c>
      <c r="G19" s="6" t="s">
        <v>117</v>
      </c>
      <c r="H19" s="14" t="s">
        <v>63</v>
      </c>
      <c r="I19" s="14" t="s">
        <v>63</v>
      </c>
      <c r="J19" s="7">
        <v>46376</v>
      </c>
      <c r="L19" s="11">
        <f ca="1">Tabela4[[#This Row],[Prazo
Entrega]]-TODAY()</f>
        <v>146</v>
      </c>
      <c r="M19" t="str">
        <f ca="1">IF(L19&lt;0,"ATRASADO",IF(L19&lt;=15,"ATENÇÃO","NO PRAZO"))</f>
        <v>NO PRAZO</v>
      </c>
      <c r="N19" s="8" t="s">
        <v>32</v>
      </c>
      <c r="O19" s="9">
        <v>46203</v>
      </c>
      <c r="P19" s="1" t="s">
        <v>75</v>
      </c>
      <c r="Q19" t="s">
        <v>94</v>
      </c>
    </row>
    <row r="20" spans="1:17" hidden="1" x14ac:dyDescent="0.25">
      <c r="A20" s="13">
        <v>2331</v>
      </c>
      <c r="B20" s="13">
        <v>23</v>
      </c>
      <c r="C20" s="13" t="s">
        <v>63</v>
      </c>
      <c r="D20" s="13" t="s">
        <v>63</v>
      </c>
      <c r="E20" s="15" t="s">
        <v>115</v>
      </c>
      <c r="F20" s="12">
        <v>1</v>
      </c>
      <c r="G20" s="6" t="s">
        <v>117</v>
      </c>
      <c r="H20" s="14" t="s">
        <v>63</v>
      </c>
      <c r="I20" s="14" t="s">
        <v>63</v>
      </c>
      <c r="J20" s="7">
        <v>46376</v>
      </c>
      <c r="L20" s="11">
        <f ca="1">Tabela4[[#This Row],[Prazo
Entrega]]-TODAY()</f>
        <v>146</v>
      </c>
      <c r="M20" t="str">
        <f ca="1">IF(L20&lt;0,"ATRASADO",IF(L20&lt;=15,"ATENÇÃO","NO PRAZO"))</f>
        <v>NO PRAZO</v>
      </c>
      <c r="N20" s="8" t="s">
        <v>32</v>
      </c>
      <c r="O20" s="9">
        <v>46203</v>
      </c>
      <c r="P20" s="1" t="s">
        <v>75</v>
      </c>
      <c r="Q20" t="s">
        <v>94</v>
      </c>
    </row>
    <row r="21" spans="1:17" hidden="1" x14ac:dyDescent="0.25">
      <c r="A21" s="13">
        <v>2331</v>
      </c>
      <c r="B21" s="13">
        <v>24</v>
      </c>
      <c r="C21" s="13" t="s">
        <v>63</v>
      </c>
      <c r="D21" s="13" t="s">
        <v>63</v>
      </c>
      <c r="E21" s="15" t="s">
        <v>115</v>
      </c>
      <c r="F21" s="12">
        <v>1</v>
      </c>
      <c r="G21" s="6" t="s">
        <v>118</v>
      </c>
      <c r="H21" s="14" t="s">
        <v>63</v>
      </c>
      <c r="I21" s="14" t="s">
        <v>63</v>
      </c>
      <c r="J21" s="7">
        <v>46376</v>
      </c>
      <c r="L21" s="11">
        <f ca="1">Tabela4[[#This Row],[Prazo
Entrega]]-TODAY()</f>
        <v>146</v>
      </c>
      <c r="M21" t="str">
        <f t="shared" ref="M21:M26" ca="1" si="3">IF(L21&lt;0,"ATRASADO",IF(L21&lt;=15,"ATENÇÃO","NO PRAZO"))</f>
        <v>NO PRAZO</v>
      </c>
      <c r="N21" s="8" t="s">
        <v>32</v>
      </c>
      <c r="O21" s="9">
        <v>46203</v>
      </c>
      <c r="P21" s="1" t="s">
        <v>75</v>
      </c>
      <c r="Q21" t="s">
        <v>94</v>
      </c>
    </row>
    <row r="22" spans="1:17" hidden="1" x14ac:dyDescent="0.25">
      <c r="A22" s="13">
        <v>2331</v>
      </c>
      <c r="B22" s="13">
        <v>25</v>
      </c>
      <c r="C22" s="13" t="s">
        <v>63</v>
      </c>
      <c r="D22" s="13" t="s">
        <v>63</v>
      </c>
      <c r="E22" s="15" t="s">
        <v>115</v>
      </c>
      <c r="F22" s="12">
        <v>1</v>
      </c>
      <c r="G22" s="6" t="s">
        <v>118</v>
      </c>
      <c r="H22" s="14" t="s">
        <v>63</v>
      </c>
      <c r="I22" s="14" t="s">
        <v>63</v>
      </c>
      <c r="J22" s="7">
        <v>46376</v>
      </c>
      <c r="L22" s="11">
        <f ca="1">Tabela4[[#This Row],[Prazo
Entrega]]-TODAY()</f>
        <v>146</v>
      </c>
      <c r="M22" t="str">
        <f t="shared" ca="1" si="3"/>
        <v>NO PRAZO</v>
      </c>
      <c r="N22" s="8" t="s">
        <v>32</v>
      </c>
      <c r="O22" s="9">
        <v>46203</v>
      </c>
      <c r="P22" s="1" t="s">
        <v>75</v>
      </c>
      <c r="Q22" t="s">
        <v>94</v>
      </c>
    </row>
    <row r="23" spans="1:17" hidden="1" x14ac:dyDescent="0.25">
      <c r="A23" s="13">
        <v>2331</v>
      </c>
      <c r="B23" s="13">
        <v>26</v>
      </c>
      <c r="C23" s="13" t="s">
        <v>63</v>
      </c>
      <c r="D23" s="13" t="s">
        <v>63</v>
      </c>
      <c r="E23" s="15" t="s">
        <v>115</v>
      </c>
      <c r="F23" s="12">
        <v>1</v>
      </c>
      <c r="G23" s="6" t="s">
        <v>118</v>
      </c>
      <c r="H23" s="14" t="s">
        <v>63</v>
      </c>
      <c r="I23" s="14" t="s">
        <v>63</v>
      </c>
      <c r="J23" s="7">
        <v>46376</v>
      </c>
      <c r="L23" s="11">
        <f ca="1">Tabela4[[#This Row],[Prazo
Entrega]]-TODAY()</f>
        <v>146</v>
      </c>
      <c r="M23" t="str">
        <f t="shared" ca="1" si="3"/>
        <v>NO PRAZO</v>
      </c>
      <c r="N23" s="8" t="s">
        <v>32</v>
      </c>
      <c r="O23" s="9">
        <v>46203</v>
      </c>
      <c r="P23" s="1" t="s">
        <v>75</v>
      </c>
      <c r="Q23" t="s">
        <v>94</v>
      </c>
    </row>
    <row r="24" spans="1:17" hidden="1" x14ac:dyDescent="0.25">
      <c r="A24" s="13">
        <v>2331</v>
      </c>
      <c r="B24" s="13">
        <v>27</v>
      </c>
      <c r="C24" s="13" t="s">
        <v>63</v>
      </c>
      <c r="D24" s="13" t="s">
        <v>63</v>
      </c>
      <c r="E24" s="15" t="s">
        <v>115</v>
      </c>
      <c r="F24" s="12">
        <v>1</v>
      </c>
      <c r="G24" s="6" t="s">
        <v>118</v>
      </c>
      <c r="H24" s="14" t="s">
        <v>63</v>
      </c>
      <c r="I24" s="14" t="s">
        <v>63</v>
      </c>
      <c r="J24" s="7">
        <v>46376</v>
      </c>
      <c r="L24" s="11">
        <f ca="1">Tabela4[[#This Row],[Prazo
Entrega]]-TODAY()</f>
        <v>146</v>
      </c>
      <c r="M24" t="str">
        <f t="shared" ca="1" si="3"/>
        <v>NO PRAZO</v>
      </c>
      <c r="N24" s="8" t="s">
        <v>32</v>
      </c>
      <c r="O24" s="9">
        <v>46203</v>
      </c>
      <c r="P24" s="1" t="s">
        <v>75</v>
      </c>
      <c r="Q24" t="s">
        <v>94</v>
      </c>
    </row>
    <row r="25" spans="1:17" hidden="1" x14ac:dyDescent="0.25">
      <c r="A25" s="13">
        <v>2331</v>
      </c>
      <c r="B25" s="13">
        <v>28</v>
      </c>
      <c r="C25" s="13" t="s">
        <v>63</v>
      </c>
      <c r="D25" s="13" t="s">
        <v>63</v>
      </c>
      <c r="E25" s="15" t="s">
        <v>115</v>
      </c>
      <c r="F25" s="12">
        <v>1</v>
      </c>
      <c r="G25" s="6" t="s">
        <v>118</v>
      </c>
      <c r="H25" s="14" t="s">
        <v>63</v>
      </c>
      <c r="I25" s="14" t="s">
        <v>63</v>
      </c>
      <c r="J25" s="7">
        <v>46376</v>
      </c>
      <c r="L25" s="11">
        <f ca="1">Tabela4[[#This Row],[Prazo
Entrega]]-TODAY()</f>
        <v>146</v>
      </c>
      <c r="M25" t="str">
        <f t="shared" ca="1" si="3"/>
        <v>NO PRAZO</v>
      </c>
      <c r="N25" s="8" t="s">
        <v>32</v>
      </c>
      <c r="O25" s="9">
        <v>46203</v>
      </c>
      <c r="P25" s="1" t="s">
        <v>75</v>
      </c>
      <c r="Q25" t="s">
        <v>94</v>
      </c>
    </row>
    <row r="26" spans="1:17" hidden="1" x14ac:dyDescent="0.25">
      <c r="A26" s="13">
        <v>2331</v>
      </c>
      <c r="B26" s="13">
        <v>29</v>
      </c>
      <c r="C26" s="13" t="s">
        <v>63</v>
      </c>
      <c r="D26" s="13" t="s">
        <v>63</v>
      </c>
      <c r="E26" s="15" t="s">
        <v>115</v>
      </c>
      <c r="F26" s="12">
        <v>1</v>
      </c>
      <c r="G26" s="6" t="s">
        <v>118</v>
      </c>
      <c r="H26" s="14" t="s">
        <v>63</v>
      </c>
      <c r="I26" s="14" t="s">
        <v>63</v>
      </c>
      <c r="J26" s="7">
        <v>46376</v>
      </c>
      <c r="L26" s="11">
        <f ca="1">Tabela4[[#This Row],[Prazo
Entrega]]-TODAY()</f>
        <v>146</v>
      </c>
      <c r="M26" t="str">
        <f t="shared" ca="1" si="3"/>
        <v>NO PRAZO</v>
      </c>
      <c r="N26" s="8" t="s">
        <v>32</v>
      </c>
      <c r="O26" s="9">
        <v>46203</v>
      </c>
      <c r="P26" s="1" t="s">
        <v>75</v>
      </c>
      <c r="Q26" t="s">
        <v>94</v>
      </c>
    </row>
    <row r="27" spans="1:17" hidden="1" x14ac:dyDescent="0.25">
      <c r="A27" s="13">
        <v>2331</v>
      </c>
      <c r="B27" s="13">
        <v>30</v>
      </c>
      <c r="C27" s="13" t="s">
        <v>63</v>
      </c>
      <c r="D27" s="13" t="s">
        <v>63</v>
      </c>
      <c r="E27" s="15" t="s">
        <v>115</v>
      </c>
      <c r="F27" s="12">
        <v>1</v>
      </c>
      <c r="G27" s="6" t="s">
        <v>119</v>
      </c>
      <c r="H27" s="14" t="s">
        <v>63</v>
      </c>
      <c r="I27" s="14" t="s">
        <v>63</v>
      </c>
      <c r="J27" s="7">
        <v>46376</v>
      </c>
      <c r="L27" s="11">
        <f ca="1">Tabela4[[#This Row],[Prazo
Entrega]]-TODAY()</f>
        <v>146</v>
      </c>
      <c r="M27" t="str">
        <f t="shared" ref="M27:M34" ca="1" si="4">IF(L27&lt;0,"ATRASADO",IF(L27&lt;=15,"ATENÇÃO","NO PRAZO"))</f>
        <v>NO PRAZO</v>
      </c>
      <c r="N27" s="8" t="s">
        <v>32</v>
      </c>
      <c r="O27" s="9">
        <v>46203</v>
      </c>
      <c r="P27" s="1" t="s">
        <v>75</v>
      </c>
      <c r="Q27" t="s">
        <v>94</v>
      </c>
    </row>
    <row r="28" spans="1:17" hidden="1" x14ac:dyDescent="0.25">
      <c r="A28" s="13">
        <v>2331</v>
      </c>
      <c r="B28" s="13">
        <v>31</v>
      </c>
      <c r="C28" s="13" t="s">
        <v>63</v>
      </c>
      <c r="D28" s="13" t="s">
        <v>63</v>
      </c>
      <c r="E28" s="15" t="s">
        <v>115</v>
      </c>
      <c r="F28" s="12">
        <v>1</v>
      </c>
      <c r="G28" s="6" t="s">
        <v>119</v>
      </c>
      <c r="H28" s="14" t="s">
        <v>63</v>
      </c>
      <c r="I28" s="14" t="s">
        <v>63</v>
      </c>
      <c r="J28" s="7">
        <v>46376</v>
      </c>
      <c r="L28" s="11">
        <f ca="1">Tabela4[[#This Row],[Prazo
Entrega]]-TODAY()</f>
        <v>146</v>
      </c>
      <c r="M28" t="str">
        <f t="shared" ca="1" si="4"/>
        <v>NO PRAZO</v>
      </c>
      <c r="N28" s="8" t="s">
        <v>32</v>
      </c>
      <c r="O28" s="9">
        <v>46203</v>
      </c>
      <c r="P28" s="1" t="s">
        <v>75</v>
      </c>
      <c r="Q28" t="s">
        <v>94</v>
      </c>
    </row>
    <row r="29" spans="1:17" hidden="1" x14ac:dyDescent="0.25">
      <c r="A29" s="13">
        <v>2331</v>
      </c>
      <c r="B29" s="13">
        <v>32</v>
      </c>
      <c r="C29" s="13" t="s">
        <v>63</v>
      </c>
      <c r="D29" s="13" t="s">
        <v>63</v>
      </c>
      <c r="E29" s="15" t="s">
        <v>115</v>
      </c>
      <c r="F29" s="12">
        <v>1</v>
      </c>
      <c r="G29" s="6" t="s">
        <v>119</v>
      </c>
      <c r="H29" s="14" t="s">
        <v>63</v>
      </c>
      <c r="I29" s="14" t="s">
        <v>63</v>
      </c>
      <c r="J29" s="7">
        <v>46376</v>
      </c>
      <c r="L29" s="11">
        <f ca="1">Tabela4[[#This Row],[Prazo
Entrega]]-TODAY()</f>
        <v>146</v>
      </c>
      <c r="M29" t="str">
        <f t="shared" ca="1" si="4"/>
        <v>NO PRAZO</v>
      </c>
      <c r="N29" s="8" t="s">
        <v>32</v>
      </c>
      <c r="O29" s="9">
        <v>46203</v>
      </c>
      <c r="P29" s="1" t="s">
        <v>75</v>
      </c>
      <c r="Q29" t="s">
        <v>94</v>
      </c>
    </row>
    <row r="30" spans="1:17" hidden="1" x14ac:dyDescent="0.25">
      <c r="A30" s="13">
        <v>2331</v>
      </c>
      <c r="B30" s="13">
        <v>33</v>
      </c>
      <c r="C30" s="13" t="s">
        <v>63</v>
      </c>
      <c r="D30" s="13" t="s">
        <v>63</v>
      </c>
      <c r="E30" s="15" t="s">
        <v>115</v>
      </c>
      <c r="F30" s="12">
        <v>1</v>
      </c>
      <c r="G30" s="6" t="s">
        <v>119</v>
      </c>
      <c r="H30" s="14" t="s">
        <v>63</v>
      </c>
      <c r="I30" s="14" t="s">
        <v>63</v>
      </c>
      <c r="J30" s="7">
        <v>46376</v>
      </c>
      <c r="L30" s="11">
        <f ca="1">Tabela4[[#This Row],[Prazo
Entrega]]-TODAY()</f>
        <v>146</v>
      </c>
      <c r="M30" t="str">
        <f t="shared" ca="1" si="4"/>
        <v>NO PRAZO</v>
      </c>
      <c r="N30" s="8" t="s">
        <v>32</v>
      </c>
      <c r="O30" s="9">
        <v>46203</v>
      </c>
      <c r="P30" s="1" t="s">
        <v>75</v>
      </c>
      <c r="Q30" t="s">
        <v>94</v>
      </c>
    </row>
    <row r="31" spans="1:17" hidden="1" x14ac:dyDescent="0.25">
      <c r="A31" s="13">
        <v>2331</v>
      </c>
      <c r="B31" s="13">
        <v>34</v>
      </c>
      <c r="C31" s="13" t="s">
        <v>63</v>
      </c>
      <c r="D31" s="13" t="s">
        <v>63</v>
      </c>
      <c r="E31" s="15" t="s">
        <v>115</v>
      </c>
      <c r="F31" s="12">
        <v>1</v>
      </c>
      <c r="G31" s="6" t="s">
        <v>119</v>
      </c>
      <c r="H31" s="14" t="s">
        <v>63</v>
      </c>
      <c r="I31" s="14" t="s">
        <v>63</v>
      </c>
      <c r="J31" s="7">
        <v>46376</v>
      </c>
      <c r="L31" s="11">
        <f ca="1">Tabela4[[#This Row],[Prazo
Entrega]]-TODAY()</f>
        <v>146</v>
      </c>
      <c r="M31" t="str">
        <f t="shared" ca="1" si="4"/>
        <v>NO PRAZO</v>
      </c>
      <c r="N31" s="8" t="s">
        <v>32</v>
      </c>
      <c r="O31" s="9">
        <v>46203</v>
      </c>
      <c r="P31" s="1" t="s">
        <v>75</v>
      </c>
      <c r="Q31" t="s">
        <v>94</v>
      </c>
    </row>
    <row r="32" spans="1:17" hidden="1" x14ac:dyDescent="0.25">
      <c r="A32" s="13">
        <v>2331</v>
      </c>
      <c r="B32" s="13">
        <v>35</v>
      </c>
      <c r="C32" s="13" t="s">
        <v>63</v>
      </c>
      <c r="D32" s="13" t="s">
        <v>63</v>
      </c>
      <c r="E32" s="15" t="s">
        <v>115</v>
      </c>
      <c r="F32" s="12">
        <v>1</v>
      </c>
      <c r="G32" s="6" t="s">
        <v>119</v>
      </c>
      <c r="H32" s="14" t="s">
        <v>63</v>
      </c>
      <c r="I32" s="14" t="s">
        <v>63</v>
      </c>
      <c r="J32" s="7">
        <v>46376</v>
      </c>
      <c r="L32" s="11">
        <f ca="1">Tabela4[[#This Row],[Prazo
Entrega]]-TODAY()</f>
        <v>146</v>
      </c>
      <c r="M32" t="str">
        <f t="shared" ca="1" si="4"/>
        <v>NO PRAZO</v>
      </c>
      <c r="N32" s="8" t="s">
        <v>32</v>
      </c>
      <c r="O32" s="9">
        <v>46203</v>
      </c>
      <c r="P32" s="1" t="s">
        <v>75</v>
      </c>
      <c r="Q32" t="s">
        <v>94</v>
      </c>
    </row>
    <row r="33" spans="1:17" hidden="1" x14ac:dyDescent="0.25">
      <c r="A33" s="13">
        <v>2331</v>
      </c>
      <c r="B33" s="13">
        <v>36</v>
      </c>
      <c r="C33" s="13" t="s">
        <v>63</v>
      </c>
      <c r="D33" s="13" t="s">
        <v>63</v>
      </c>
      <c r="E33" s="15" t="s">
        <v>115</v>
      </c>
      <c r="F33" s="12">
        <v>1</v>
      </c>
      <c r="G33" s="6" t="s">
        <v>119</v>
      </c>
      <c r="H33" s="14" t="s">
        <v>63</v>
      </c>
      <c r="I33" s="14" t="s">
        <v>63</v>
      </c>
      <c r="J33" s="7">
        <v>46376</v>
      </c>
      <c r="L33" s="11">
        <f ca="1">Tabela4[[#This Row],[Prazo
Entrega]]-TODAY()</f>
        <v>146</v>
      </c>
      <c r="M33" t="str">
        <f t="shared" ca="1" si="4"/>
        <v>NO PRAZO</v>
      </c>
      <c r="N33" s="8" t="s">
        <v>32</v>
      </c>
      <c r="O33" s="9">
        <v>46203</v>
      </c>
      <c r="P33" s="1" t="s">
        <v>75</v>
      </c>
      <c r="Q33" t="s">
        <v>94</v>
      </c>
    </row>
    <row r="34" spans="1:17" hidden="1" x14ac:dyDescent="0.25">
      <c r="A34" s="13">
        <v>2331</v>
      </c>
      <c r="B34" s="13">
        <v>37</v>
      </c>
      <c r="C34" s="13" t="s">
        <v>63</v>
      </c>
      <c r="D34" s="13" t="s">
        <v>63</v>
      </c>
      <c r="E34" s="15" t="s">
        <v>115</v>
      </c>
      <c r="F34" s="12">
        <v>1</v>
      </c>
      <c r="G34" s="6" t="s">
        <v>119</v>
      </c>
      <c r="H34" s="14" t="s">
        <v>63</v>
      </c>
      <c r="I34" s="14" t="s">
        <v>63</v>
      </c>
      <c r="J34" s="7">
        <v>46376</v>
      </c>
      <c r="L34" s="11">
        <f ca="1">Tabela4[[#This Row],[Prazo
Entrega]]-TODAY()</f>
        <v>146</v>
      </c>
      <c r="M34" t="str">
        <f t="shared" ca="1" si="4"/>
        <v>NO PRAZO</v>
      </c>
      <c r="N34" s="8" t="s">
        <v>32</v>
      </c>
      <c r="O34" s="9">
        <v>46203</v>
      </c>
      <c r="P34" s="1" t="s">
        <v>75</v>
      </c>
      <c r="Q34" t="s">
        <v>94</v>
      </c>
    </row>
    <row r="35" spans="1:17" hidden="1" x14ac:dyDescent="0.25">
      <c r="A35" s="13">
        <v>2331</v>
      </c>
      <c r="B35" s="13">
        <v>38</v>
      </c>
      <c r="C35" s="13" t="s">
        <v>63</v>
      </c>
      <c r="D35" s="13" t="s">
        <v>63</v>
      </c>
      <c r="E35" s="15" t="s">
        <v>115</v>
      </c>
      <c r="F35" s="12">
        <v>1</v>
      </c>
      <c r="G35" s="6" t="s">
        <v>120</v>
      </c>
      <c r="H35" s="14" t="s">
        <v>63</v>
      </c>
      <c r="I35" s="14" t="s">
        <v>63</v>
      </c>
      <c r="J35" s="7">
        <v>46376</v>
      </c>
      <c r="L35" s="11">
        <f ca="1">Tabela4[[#This Row],[Prazo
Entrega]]-TODAY()</f>
        <v>146</v>
      </c>
      <c r="M35" t="str">
        <f t="shared" ref="M35:M36" ca="1" si="5">IF(L35&lt;0,"ATRASADO",IF(L35&lt;=15,"ATENÇÃO","NO PRAZO"))</f>
        <v>NO PRAZO</v>
      </c>
      <c r="N35" s="8" t="s">
        <v>32</v>
      </c>
      <c r="O35" s="9">
        <v>46203</v>
      </c>
      <c r="P35" s="1" t="s">
        <v>75</v>
      </c>
      <c r="Q35" t="s">
        <v>94</v>
      </c>
    </row>
    <row r="36" spans="1:17" hidden="1" x14ac:dyDescent="0.25">
      <c r="A36" s="13">
        <v>2331</v>
      </c>
      <c r="B36" s="13">
        <v>39</v>
      </c>
      <c r="C36" s="13" t="s">
        <v>63</v>
      </c>
      <c r="D36" s="13" t="s">
        <v>63</v>
      </c>
      <c r="E36" s="15" t="s">
        <v>115</v>
      </c>
      <c r="F36" s="12">
        <v>1</v>
      </c>
      <c r="G36" s="6" t="s">
        <v>120</v>
      </c>
      <c r="H36" s="14" t="s">
        <v>63</v>
      </c>
      <c r="I36" s="14" t="s">
        <v>63</v>
      </c>
      <c r="J36" s="7">
        <v>46376</v>
      </c>
      <c r="L36" s="11">
        <f ca="1">Tabela4[[#This Row],[Prazo
Entrega]]-TODAY()</f>
        <v>146</v>
      </c>
      <c r="M36" t="str">
        <f t="shared" ca="1" si="5"/>
        <v>NO PRAZO</v>
      </c>
      <c r="N36" s="8" t="s">
        <v>32</v>
      </c>
      <c r="O36" s="9">
        <v>46203</v>
      </c>
      <c r="P36" s="1" t="s">
        <v>75</v>
      </c>
      <c r="Q36" t="s">
        <v>94</v>
      </c>
    </row>
    <row r="37" spans="1:17" hidden="1" x14ac:dyDescent="0.25">
      <c r="A37" s="13">
        <v>2331</v>
      </c>
      <c r="B37" s="13">
        <v>40</v>
      </c>
      <c r="C37" s="13" t="s">
        <v>63</v>
      </c>
      <c r="D37" s="13" t="s">
        <v>63</v>
      </c>
      <c r="E37" s="15" t="s">
        <v>115</v>
      </c>
      <c r="F37" s="12">
        <v>1</v>
      </c>
      <c r="G37" s="6" t="s">
        <v>121</v>
      </c>
      <c r="H37" s="14" t="s">
        <v>63</v>
      </c>
      <c r="I37" s="14" t="s">
        <v>63</v>
      </c>
      <c r="J37" s="7">
        <v>46376</v>
      </c>
      <c r="L37" s="11">
        <f ca="1">Tabela4[[#This Row],[Prazo
Entrega]]-TODAY()</f>
        <v>146</v>
      </c>
      <c r="M37" t="str">
        <f ca="1">IF(L37&lt;0,"ATRASADO",IF(L37&lt;=15,"ATENÇÃO","NO PRAZO"))</f>
        <v>NO PRAZO</v>
      </c>
      <c r="N37" s="8" t="s">
        <v>32</v>
      </c>
      <c r="O37" s="9">
        <v>46203</v>
      </c>
      <c r="P37" s="1" t="s">
        <v>75</v>
      </c>
      <c r="Q37" t="s">
        <v>94</v>
      </c>
    </row>
    <row r="38" spans="1:17" hidden="1" x14ac:dyDescent="0.25">
      <c r="A38" s="13">
        <v>2331</v>
      </c>
      <c r="B38" s="13">
        <v>41</v>
      </c>
      <c r="C38" s="13" t="s">
        <v>63</v>
      </c>
      <c r="D38" s="13" t="s">
        <v>63</v>
      </c>
      <c r="E38" s="15" t="s">
        <v>115</v>
      </c>
      <c r="F38" s="12">
        <v>1</v>
      </c>
      <c r="G38" s="6" t="s">
        <v>121</v>
      </c>
      <c r="H38" s="14" t="s">
        <v>63</v>
      </c>
      <c r="I38" s="14" t="s">
        <v>63</v>
      </c>
      <c r="J38" s="7">
        <v>46376</v>
      </c>
      <c r="L38" s="11">
        <f ca="1">Tabela4[[#This Row],[Prazo
Entrega]]-TODAY()</f>
        <v>146</v>
      </c>
      <c r="M38" t="str">
        <f t="shared" ref="M38:M52" ca="1" si="6">IF(L38&lt;0,"ATRASADO",IF(L38&lt;=15,"ATENÇÃO","NO PRAZO"))</f>
        <v>NO PRAZO</v>
      </c>
      <c r="N38" s="8" t="s">
        <v>32</v>
      </c>
      <c r="O38" s="9">
        <v>46203</v>
      </c>
      <c r="P38" s="1" t="s">
        <v>75</v>
      </c>
      <c r="Q38" t="s">
        <v>94</v>
      </c>
    </row>
    <row r="39" spans="1:17" hidden="1" x14ac:dyDescent="0.25">
      <c r="A39" s="13">
        <v>2331</v>
      </c>
      <c r="B39" s="13">
        <v>42</v>
      </c>
      <c r="C39" s="13" t="s">
        <v>63</v>
      </c>
      <c r="D39" s="13" t="s">
        <v>63</v>
      </c>
      <c r="E39" s="15" t="s">
        <v>115</v>
      </c>
      <c r="F39" s="12">
        <v>1</v>
      </c>
      <c r="G39" s="6" t="s">
        <v>121</v>
      </c>
      <c r="H39" s="14" t="s">
        <v>63</v>
      </c>
      <c r="I39" s="14" t="s">
        <v>63</v>
      </c>
      <c r="J39" s="7">
        <v>46376</v>
      </c>
      <c r="L39" s="11">
        <f ca="1">Tabela4[[#This Row],[Prazo
Entrega]]-TODAY()</f>
        <v>146</v>
      </c>
      <c r="M39" t="str">
        <f t="shared" ca="1" si="6"/>
        <v>NO PRAZO</v>
      </c>
      <c r="N39" s="8" t="s">
        <v>32</v>
      </c>
      <c r="O39" s="9">
        <v>46203</v>
      </c>
      <c r="P39" s="1" t="s">
        <v>75</v>
      </c>
      <c r="Q39" t="s">
        <v>94</v>
      </c>
    </row>
    <row r="40" spans="1:17" hidden="1" x14ac:dyDescent="0.25">
      <c r="A40" s="13">
        <v>2331</v>
      </c>
      <c r="B40" s="13">
        <v>43</v>
      </c>
      <c r="C40" s="13" t="s">
        <v>63</v>
      </c>
      <c r="D40" s="13" t="s">
        <v>63</v>
      </c>
      <c r="E40" s="15" t="s">
        <v>115</v>
      </c>
      <c r="F40" s="12">
        <v>1</v>
      </c>
      <c r="G40" s="6" t="s">
        <v>121</v>
      </c>
      <c r="H40" s="14" t="s">
        <v>63</v>
      </c>
      <c r="I40" s="14" t="s">
        <v>63</v>
      </c>
      <c r="J40" s="7">
        <v>46376</v>
      </c>
      <c r="L40" s="11">
        <f ca="1">Tabela4[[#This Row],[Prazo
Entrega]]-TODAY()</f>
        <v>146</v>
      </c>
      <c r="M40" t="str">
        <f t="shared" ca="1" si="6"/>
        <v>NO PRAZO</v>
      </c>
      <c r="N40" s="8" t="s">
        <v>32</v>
      </c>
      <c r="O40" s="9">
        <v>46203</v>
      </c>
      <c r="P40" s="1" t="s">
        <v>75</v>
      </c>
      <c r="Q40" t="s">
        <v>94</v>
      </c>
    </row>
    <row r="41" spans="1:17" hidden="1" x14ac:dyDescent="0.25">
      <c r="A41" s="13">
        <v>2331</v>
      </c>
      <c r="B41" s="13">
        <v>44</v>
      </c>
      <c r="C41" s="13" t="s">
        <v>63</v>
      </c>
      <c r="D41" s="13" t="s">
        <v>63</v>
      </c>
      <c r="E41" s="15" t="s">
        <v>115</v>
      </c>
      <c r="F41" s="12">
        <v>1</v>
      </c>
      <c r="G41" s="6" t="s">
        <v>121</v>
      </c>
      <c r="H41" s="14" t="s">
        <v>63</v>
      </c>
      <c r="I41" s="14" t="s">
        <v>63</v>
      </c>
      <c r="J41" s="7">
        <v>46376</v>
      </c>
      <c r="L41" s="11">
        <f ca="1">Tabela4[[#This Row],[Prazo
Entrega]]-TODAY()</f>
        <v>146</v>
      </c>
      <c r="M41" t="str">
        <f t="shared" ca="1" si="6"/>
        <v>NO PRAZO</v>
      </c>
      <c r="N41" s="8" t="s">
        <v>32</v>
      </c>
      <c r="O41" s="9">
        <v>46203</v>
      </c>
      <c r="P41" s="1" t="s">
        <v>75</v>
      </c>
      <c r="Q41" t="s">
        <v>94</v>
      </c>
    </row>
    <row r="42" spans="1:17" hidden="1" x14ac:dyDescent="0.25">
      <c r="A42" s="13">
        <v>2331</v>
      </c>
      <c r="B42" s="13">
        <v>45</v>
      </c>
      <c r="C42" s="13" t="s">
        <v>63</v>
      </c>
      <c r="D42" s="13" t="s">
        <v>63</v>
      </c>
      <c r="E42" s="15" t="s">
        <v>115</v>
      </c>
      <c r="F42" s="12">
        <v>1</v>
      </c>
      <c r="G42" s="6" t="s">
        <v>121</v>
      </c>
      <c r="H42" s="14" t="s">
        <v>63</v>
      </c>
      <c r="I42" s="14" t="s">
        <v>63</v>
      </c>
      <c r="J42" s="7">
        <v>46376</v>
      </c>
      <c r="L42" s="11">
        <f ca="1">Tabela4[[#This Row],[Prazo
Entrega]]-TODAY()</f>
        <v>146</v>
      </c>
      <c r="M42" t="str">
        <f t="shared" ca="1" si="6"/>
        <v>NO PRAZO</v>
      </c>
      <c r="N42" s="8" t="s">
        <v>32</v>
      </c>
      <c r="O42" s="9">
        <v>46203</v>
      </c>
      <c r="P42" s="1" t="s">
        <v>75</v>
      </c>
      <c r="Q42" t="s">
        <v>94</v>
      </c>
    </row>
    <row r="43" spans="1:17" hidden="1" x14ac:dyDescent="0.25">
      <c r="A43" s="13">
        <v>2331</v>
      </c>
      <c r="B43" s="13">
        <v>46</v>
      </c>
      <c r="C43" s="13" t="s">
        <v>63</v>
      </c>
      <c r="D43" s="13" t="s">
        <v>63</v>
      </c>
      <c r="E43" s="15" t="s">
        <v>115</v>
      </c>
      <c r="F43" s="12">
        <v>1</v>
      </c>
      <c r="G43" s="6" t="s">
        <v>121</v>
      </c>
      <c r="H43" s="14" t="s">
        <v>63</v>
      </c>
      <c r="I43" s="14" t="s">
        <v>63</v>
      </c>
      <c r="J43" s="7">
        <v>46376</v>
      </c>
      <c r="L43" s="11">
        <f ca="1">Tabela4[[#This Row],[Prazo
Entrega]]-TODAY()</f>
        <v>146</v>
      </c>
      <c r="M43" t="str">
        <f t="shared" ca="1" si="6"/>
        <v>NO PRAZO</v>
      </c>
      <c r="N43" s="8" t="s">
        <v>32</v>
      </c>
      <c r="O43" s="9">
        <v>46203</v>
      </c>
      <c r="P43" s="1" t="s">
        <v>75</v>
      </c>
      <c r="Q43" t="s">
        <v>94</v>
      </c>
    </row>
    <row r="44" spans="1:17" hidden="1" x14ac:dyDescent="0.25">
      <c r="A44" s="13">
        <v>2331</v>
      </c>
      <c r="B44" s="13">
        <v>47</v>
      </c>
      <c r="C44" s="13" t="s">
        <v>63</v>
      </c>
      <c r="D44" s="13" t="s">
        <v>63</v>
      </c>
      <c r="E44" s="15" t="s">
        <v>115</v>
      </c>
      <c r="F44" s="12">
        <v>1</v>
      </c>
      <c r="G44" s="6" t="s">
        <v>121</v>
      </c>
      <c r="H44" s="14" t="s">
        <v>63</v>
      </c>
      <c r="I44" s="14" t="s">
        <v>63</v>
      </c>
      <c r="J44" s="7">
        <v>46376</v>
      </c>
      <c r="L44" s="11">
        <f ca="1">Tabela4[[#This Row],[Prazo
Entrega]]-TODAY()</f>
        <v>146</v>
      </c>
      <c r="M44" t="str">
        <f t="shared" ca="1" si="6"/>
        <v>NO PRAZO</v>
      </c>
      <c r="N44" s="8" t="s">
        <v>32</v>
      </c>
      <c r="O44" s="9">
        <v>46203</v>
      </c>
      <c r="P44" s="1" t="s">
        <v>75</v>
      </c>
      <c r="Q44" t="s">
        <v>94</v>
      </c>
    </row>
    <row r="45" spans="1:17" hidden="1" x14ac:dyDescent="0.25">
      <c r="A45" s="13">
        <v>2331</v>
      </c>
      <c r="B45" s="13">
        <v>48</v>
      </c>
      <c r="C45" s="13" t="s">
        <v>63</v>
      </c>
      <c r="D45" s="13" t="s">
        <v>63</v>
      </c>
      <c r="E45" s="15" t="s">
        <v>115</v>
      </c>
      <c r="F45" s="12">
        <v>1</v>
      </c>
      <c r="G45" s="6" t="s">
        <v>121</v>
      </c>
      <c r="H45" s="14" t="s">
        <v>63</v>
      </c>
      <c r="I45" s="14" t="s">
        <v>63</v>
      </c>
      <c r="J45" s="7">
        <v>46376</v>
      </c>
      <c r="L45" s="11">
        <f ca="1">Tabela4[[#This Row],[Prazo
Entrega]]-TODAY()</f>
        <v>146</v>
      </c>
      <c r="M45" t="str">
        <f t="shared" ca="1" si="6"/>
        <v>NO PRAZO</v>
      </c>
      <c r="N45" s="8" t="s">
        <v>32</v>
      </c>
      <c r="O45" s="9">
        <v>46203</v>
      </c>
      <c r="P45" s="1" t="s">
        <v>75</v>
      </c>
      <c r="Q45" t="s">
        <v>94</v>
      </c>
    </row>
    <row r="46" spans="1:17" hidden="1" x14ac:dyDescent="0.25">
      <c r="A46" s="13">
        <v>2331</v>
      </c>
      <c r="B46" s="13">
        <v>49</v>
      </c>
      <c r="C46" s="13" t="s">
        <v>63</v>
      </c>
      <c r="D46" s="13" t="s">
        <v>63</v>
      </c>
      <c r="E46" s="15" t="s">
        <v>115</v>
      </c>
      <c r="F46" s="12">
        <v>1</v>
      </c>
      <c r="G46" s="6" t="s">
        <v>121</v>
      </c>
      <c r="H46" s="14" t="s">
        <v>63</v>
      </c>
      <c r="I46" s="14" t="s">
        <v>63</v>
      </c>
      <c r="J46" s="7">
        <v>46376</v>
      </c>
      <c r="L46" s="11">
        <f ca="1">Tabela4[[#This Row],[Prazo
Entrega]]-TODAY()</f>
        <v>146</v>
      </c>
      <c r="M46" t="str">
        <f t="shared" ca="1" si="6"/>
        <v>NO PRAZO</v>
      </c>
      <c r="N46" s="8" t="s">
        <v>32</v>
      </c>
      <c r="O46" s="9">
        <v>46203</v>
      </c>
      <c r="P46" s="1" t="s">
        <v>75</v>
      </c>
      <c r="Q46" t="s">
        <v>94</v>
      </c>
    </row>
    <row r="47" spans="1:17" hidden="1" x14ac:dyDescent="0.25">
      <c r="A47" s="13">
        <v>2331</v>
      </c>
      <c r="B47" s="13">
        <v>50</v>
      </c>
      <c r="C47" s="13" t="s">
        <v>63</v>
      </c>
      <c r="D47" s="13" t="s">
        <v>63</v>
      </c>
      <c r="E47" s="15" t="s">
        <v>115</v>
      </c>
      <c r="F47" s="12">
        <v>1</v>
      </c>
      <c r="G47" s="6" t="s">
        <v>121</v>
      </c>
      <c r="H47" s="14" t="s">
        <v>63</v>
      </c>
      <c r="I47" s="14" t="s">
        <v>63</v>
      </c>
      <c r="J47" s="7">
        <v>46376</v>
      </c>
      <c r="L47" s="11">
        <f ca="1">Tabela4[[#This Row],[Prazo
Entrega]]-TODAY()</f>
        <v>146</v>
      </c>
      <c r="M47" t="str">
        <f t="shared" ca="1" si="6"/>
        <v>NO PRAZO</v>
      </c>
      <c r="N47" s="8" t="s">
        <v>32</v>
      </c>
      <c r="O47" s="9">
        <v>46203</v>
      </c>
      <c r="P47" s="1" t="s">
        <v>75</v>
      </c>
      <c r="Q47" t="s">
        <v>94</v>
      </c>
    </row>
    <row r="48" spans="1:17" hidden="1" x14ac:dyDescent="0.25">
      <c r="A48" s="13">
        <v>2331</v>
      </c>
      <c r="B48" s="13">
        <v>51</v>
      </c>
      <c r="C48" s="13" t="s">
        <v>63</v>
      </c>
      <c r="D48" s="13" t="s">
        <v>63</v>
      </c>
      <c r="E48" s="15" t="s">
        <v>115</v>
      </c>
      <c r="F48" s="12">
        <v>1</v>
      </c>
      <c r="G48" s="6" t="s">
        <v>121</v>
      </c>
      <c r="H48" s="14" t="s">
        <v>63</v>
      </c>
      <c r="I48" s="14" t="s">
        <v>63</v>
      </c>
      <c r="J48" s="7">
        <v>46376</v>
      </c>
      <c r="L48" s="11">
        <f ca="1">Tabela4[[#This Row],[Prazo
Entrega]]-TODAY()</f>
        <v>146</v>
      </c>
      <c r="M48" t="str">
        <f t="shared" ca="1" si="6"/>
        <v>NO PRAZO</v>
      </c>
      <c r="N48" s="8" t="s">
        <v>32</v>
      </c>
      <c r="O48" s="9">
        <v>46203</v>
      </c>
      <c r="P48" s="1" t="s">
        <v>75</v>
      </c>
      <c r="Q48" t="s">
        <v>94</v>
      </c>
    </row>
    <row r="49" spans="1:18" hidden="1" x14ac:dyDescent="0.25">
      <c r="A49" s="13">
        <v>2331</v>
      </c>
      <c r="B49" s="13">
        <v>52</v>
      </c>
      <c r="C49" s="13" t="s">
        <v>63</v>
      </c>
      <c r="D49" s="13" t="s">
        <v>63</v>
      </c>
      <c r="E49" s="15" t="s">
        <v>115</v>
      </c>
      <c r="F49" s="12">
        <v>1</v>
      </c>
      <c r="G49" s="6" t="s">
        <v>121</v>
      </c>
      <c r="H49" s="14" t="s">
        <v>63</v>
      </c>
      <c r="I49" s="14" t="s">
        <v>63</v>
      </c>
      <c r="J49" s="7">
        <v>46376</v>
      </c>
      <c r="L49" s="11">
        <f ca="1">Tabela4[[#This Row],[Prazo
Entrega]]-TODAY()</f>
        <v>146</v>
      </c>
      <c r="M49" t="str">
        <f t="shared" ca="1" si="6"/>
        <v>NO PRAZO</v>
      </c>
      <c r="N49" s="8" t="s">
        <v>32</v>
      </c>
      <c r="O49" s="9">
        <v>46203</v>
      </c>
      <c r="P49" s="1" t="s">
        <v>75</v>
      </c>
      <c r="Q49" t="s">
        <v>94</v>
      </c>
    </row>
    <row r="50" spans="1:18" hidden="1" x14ac:dyDescent="0.25">
      <c r="A50" s="13">
        <v>2331</v>
      </c>
      <c r="B50" s="13">
        <v>53</v>
      </c>
      <c r="C50" s="13" t="s">
        <v>63</v>
      </c>
      <c r="D50" s="13" t="s">
        <v>63</v>
      </c>
      <c r="E50" s="15" t="s">
        <v>115</v>
      </c>
      <c r="F50" s="12">
        <v>1</v>
      </c>
      <c r="G50" s="6" t="s">
        <v>121</v>
      </c>
      <c r="H50" s="14" t="s">
        <v>63</v>
      </c>
      <c r="I50" s="14" t="s">
        <v>63</v>
      </c>
      <c r="J50" s="7">
        <v>46376</v>
      </c>
      <c r="L50" s="11">
        <f ca="1">Tabela4[[#This Row],[Prazo
Entrega]]-TODAY()</f>
        <v>146</v>
      </c>
      <c r="M50" t="str">
        <f t="shared" ca="1" si="6"/>
        <v>NO PRAZO</v>
      </c>
      <c r="N50" s="8" t="s">
        <v>32</v>
      </c>
      <c r="O50" s="9">
        <v>46203</v>
      </c>
      <c r="P50" s="1" t="s">
        <v>75</v>
      </c>
      <c r="Q50" t="s">
        <v>94</v>
      </c>
    </row>
    <row r="51" spans="1:18" hidden="1" x14ac:dyDescent="0.25">
      <c r="A51" s="13">
        <v>2331</v>
      </c>
      <c r="B51" s="13">
        <v>54</v>
      </c>
      <c r="C51" s="13" t="s">
        <v>63</v>
      </c>
      <c r="D51" s="13" t="s">
        <v>63</v>
      </c>
      <c r="E51" s="15" t="s">
        <v>115</v>
      </c>
      <c r="F51" s="12">
        <v>1</v>
      </c>
      <c r="G51" s="6" t="s">
        <v>121</v>
      </c>
      <c r="H51" s="14" t="s">
        <v>63</v>
      </c>
      <c r="I51" s="14" t="s">
        <v>63</v>
      </c>
      <c r="J51" s="7">
        <v>46376</v>
      </c>
      <c r="L51" s="11">
        <f ca="1">Tabela4[[#This Row],[Prazo
Entrega]]-TODAY()</f>
        <v>146</v>
      </c>
      <c r="M51" t="str">
        <f t="shared" ca="1" si="6"/>
        <v>NO PRAZO</v>
      </c>
      <c r="N51" s="8" t="s">
        <v>32</v>
      </c>
      <c r="O51" s="9">
        <v>46203</v>
      </c>
      <c r="P51" s="1" t="s">
        <v>75</v>
      </c>
      <c r="Q51" t="s">
        <v>94</v>
      </c>
    </row>
    <row r="52" spans="1:18" hidden="1" x14ac:dyDescent="0.25">
      <c r="A52" s="13">
        <v>2331</v>
      </c>
      <c r="B52" s="13">
        <v>55</v>
      </c>
      <c r="C52" s="13" t="s">
        <v>63</v>
      </c>
      <c r="D52" s="13" t="s">
        <v>63</v>
      </c>
      <c r="E52" s="15" t="s">
        <v>115</v>
      </c>
      <c r="F52" s="12">
        <v>1</v>
      </c>
      <c r="G52" s="6" t="s">
        <v>121</v>
      </c>
      <c r="H52" s="14" t="s">
        <v>63</v>
      </c>
      <c r="I52" s="14" t="s">
        <v>63</v>
      </c>
      <c r="J52" s="7">
        <v>46376</v>
      </c>
      <c r="L52" s="11">
        <f ca="1">Tabela4[[#This Row],[Prazo
Entrega]]-TODAY()</f>
        <v>146</v>
      </c>
      <c r="M52" t="str">
        <f t="shared" ca="1" si="6"/>
        <v>NO PRAZO</v>
      </c>
      <c r="N52" s="8" t="s">
        <v>32</v>
      </c>
      <c r="O52" s="9">
        <v>46203</v>
      </c>
      <c r="P52" s="1" t="s">
        <v>75</v>
      </c>
      <c r="Q52" t="s">
        <v>94</v>
      </c>
    </row>
    <row r="53" spans="1:18" hidden="1" x14ac:dyDescent="0.25">
      <c r="A53" s="13">
        <v>1798</v>
      </c>
      <c r="B53" s="13">
        <v>9</v>
      </c>
      <c r="C53" s="12">
        <v>1343033</v>
      </c>
      <c r="D53" s="12">
        <v>1</v>
      </c>
      <c r="E53" s="17" t="s">
        <v>579</v>
      </c>
      <c r="F53" s="12">
        <v>1</v>
      </c>
      <c r="G53" s="6" t="s">
        <v>125</v>
      </c>
      <c r="H53" s="7">
        <v>46142</v>
      </c>
      <c r="I53" s="43">
        <v>46128</v>
      </c>
      <c r="J53" s="7">
        <v>46203</v>
      </c>
      <c r="K53" s="43">
        <v>46197</v>
      </c>
      <c r="L53" s="11">
        <f ca="1">Tabela4[[#This Row],[Prazo
Entrega]]-TODAY()</f>
        <v>-27</v>
      </c>
      <c r="M53" t="s">
        <v>126</v>
      </c>
      <c r="N53" s="8" t="s">
        <v>32</v>
      </c>
      <c r="O53" s="8" t="s">
        <v>56</v>
      </c>
      <c r="P53" s="1" t="s">
        <v>56</v>
      </c>
      <c r="Q53" t="s">
        <v>76</v>
      </c>
    </row>
    <row r="54" spans="1:18" hidden="1" x14ac:dyDescent="0.25">
      <c r="A54" s="13">
        <v>2333</v>
      </c>
      <c r="B54" s="13">
        <v>8</v>
      </c>
      <c r="C54" s="13" t="s">
        <v>63</v>
      </c>
      <c r="D54" s="13" t="s">
        <v>63</v>
      </c>
      <c r="E54" s="17" t="s">
        <v>127</v>
      </c>
      <c r="F54" s="12">
        <v>1</v>
      </c>
      <c r="G54" s="6" t="s">
        <v>129</v>
      </c>
      <c r="H54" s="14" t="s">
        <v>63</v>
      </c>
      <c r="I54" s="14" t="s">
        <v>63</v>
      </c>
      <c r="J54" s="7">
        <v>46356</v>
      </c>
      <c r="L54" s="11">
        <f ca="1">Tabela4[[#This Row],[Prazo
Entrega]]-TODAY()</f>
        <v>126</v>
      </c>
      <c r="M54" t="str">
        <f ca="1">IF(L54&lt;0,"ATRASADO",IF(L54&lt;=15,"ATENÇÃO","NO PRAZO"))</f>
        <v>NO PRAZO</v>
      </c>
      <c r="N54" s="8" t="s">
        <v>32</v>
      </c>
      <c r="O54" s="9">
        <v>46203</v>
      </c>
      <c r="P54" s="1" t="s">
        <v>75</v>
      </c>
      <c r="Q54" t="s">
        <v>94</v>
      </c>
    </row>
    <row r="55" spans="1:18" hidden="1" x14ac:dyDescent="0.25">
      <c r="A55" s="13">
        <v>2333</v>
      </c>
      <c r="B55" s="13">
        <v>9</v>
      </c>
      <c r="C55" s="13" t="s">
        <v>63</v>
      </c>
      <c r="D55" s="13" t="s">
        <v>63</v>
      </c>
      <c r="E55" s="17" t="s">
        <v>127</v>
      </c>
      <c r="F55" s="12">
        <v>1</v>
      </c>
      <c r="G55" s="6" t="s">
        <v>129</v>
      </c>
      <c r="H55" s="14" t="s">
        <v>63</v>
      </c>
      <c r="I55" s="14" t="s">
        <v>63</v>
      </c>
      <c r="J55" s="7">
        <v>46356</v>
      </c>
      <c r="L55" s="11">
        <f ca="1">Tabela4[[#This Row],[Prazo
Entrega]]-TODAY()</f>
        <v>126</v>
      </c>
      <c r="M55" t="str">
        <f ca="1">IF(L55&lt;0,"ATRASADO",IF(L55&lt;=15,"ATENÇÃO","NO PRAZO"))</f>
        <v>NO PRAZO</v>
      </c>
      <c r="N55" s="8" t="s">
        <v>32</v>
      </c>
      <c r="O55" s="9">
        <v>46203</v>
      </c>
      <c r="P55" s="1" t="s">
        <v>75</v>
      </c>
      <c r="Q55" t="s">
        <v>94</v>
      </c>
    </row>
    <row r="56" spans="1:18" hidden="1" x14ac:dyDescent="0.25">
      <c r="A56" s="13">
        <v>2333</v>
      </c>
      <c r="B56" s="13">
        <v>11</v>
      </c>
      <c r="C56" s="13" t="s">
        <v>63</v>
      </c>
      <c r="D56" s="13" t="s">
        <v>63</v>
      </c>
      <c r="E56" s="17" t="s">
        <v>127</v>
      </c>
      <c r="F56" s="12">
        <v>1</v>
      </c>
      <c r="G56" s="6" t="s">
        <v>130</v>
      </c>
      <c r="H56" s="14" t="s">
        <v>63</v>
      </c>
      <c r="I56" s="14" t="s">
        <v>63</v>
      </c>
      <c r="J56" s="7">
        <v>46356</v>
      </c>
      <c r="L56" s="11">
        <f ca="1">Tabela4[[#This Row],[Prazo
Entrega]]-TODAY()</f>
        <v>126</v>
      </c>
      <c r="M56" t="str">
        <f ca="1">IF(L56&lt;0,"ATRASADO",IF(L56&lt;=15,"ATENÇÃO","NO PRAZO"))</f>
        <v>NO PRAZO</v>
      </c>
      <c r="N56" s="8" t="s">
        <v>32</v>
      </c>
      <c r="O56" s="9">
        <v>46203</v>
      </c>
      <c r="P56" s="1" t="s">
        <v>75</v>
      </c>
      <c r="Q56" t="s">
        <v>94</v>
      </c>
    </row>
    <row r="57" spans="1:18" hidden="1" x14ac:dyDescent="0.25">
      <c r="A57" s="13">
        <v>2333</v>
      </c>
      <c r="B57" s="13">
        <v>12</v>
      </c>
      <c r="C57" s="13" t="s">
        <v>63</v>
      </c>
      <c r="D57" s="13" t="s">
        <v>63</v>
      </c>
      <c r="E57" s="17" t="s">
        <v>127</v>
      </c>
      <c r="F57" s="12">
        <v>1</v>
      </c>
      <c r="G57" s="6" t="s">
        <v>130</v>
      </c>
      <c r="H57" s="14" t="s">
        <v>63</v>
      </c>
      <c r="I57" s="14" t="s">
        <v>63</v>
      </c>
      <c r="J57" s="7">
        <v>46356</v>
      </c>
      <c r="L57" s="11">
        <f ca="1">Tabela4[[#This Row],[Prazo
Entrega]]-TODAY()</f>
        <v>126</v>
      </c>
      <c r="M57" t="str">
        <f t="shared" ref="M57:M59" ca="1" si="7">IF(L57&lt;0,"ATRASADO",IF(L57&lt;=15,"ATENÇÃO","NO PRAZO"))</f>
        <v>NO PRAZO</v>
      </c>
      <c r="N57" s="8" t="s">
        <v>32</v>
      </c>
      <c r="O57" s="9">
        <v>46203</v>
      </c>
      <c r="P57" s="1" t="s">
        <v>75</v>
      </c>
      <c r="Q57" t="s">
        <v>94</v>
      </c>
    </row>
    <row r="58" spans="1:18" hidden="1" x14ac:dyDescent="0.25">
      <c r="A58" s="13">
        <v>2333</v>
      </c>
      <c r="B58" s="13">
        <v>13</v>
      </c>
      <c r="C58" s="13" t="s">
        <v>63</v>
      </c>
      <c r="D58" s="13" t="s">
        <v>63</v>
      </c>
      <c r="E58" s="17" t="s">
        <v>127</v>
      </c>
      <c r="F58" s="12">
        <v>1</v>
      </c>
      <c r="G58" s="6" t="s">
        <v>131</v>
      </c>
      <c r="H58" s="14" t="s">
        <v>63</v>
      </c>
      <c r="I58" s="14" t="s">
        <v>63</v>
      </c>
      <c r="J58" s="7">
        <v>46356</v>
      </c>
      <c r="L58" s="11">
        <f ca="1">Tabela4[[#This Row],[Prazo
Entrega]]-TODAY()</f>
        <v>126</v>
      </c>
      <c r="M58" t="str">
        <f t="shared" ca="1" si="7"/>
        <v>NO PRAZO</v>
      </c>
      <c r="N58" s="8" t="s">
        <v>32</v>
      </c>
      <c r="O58" s="9">
        <v>46203</v>
      </c>
      <c r="P58" s="1" t="s">
        <v>75</v>
      </c>
      <c r="Q58" t="s">
        <v>94</v>
      </c>
    </row>
    <row r="59" spans="1:18" hidden="1" x14ac:dyDescent="0.25">
      <c r="A59" s="13">
        <v>2333</v>
      </c>
      <c r="B59" s="13">
        <v>14</v>
      </c>
      <c r="C59" s="13" t="s">
        <v>63</v>
      </c>
      <c r="D59" s="13" t="s">
        <v>63</v>
      </c>
      <c r="E59" s="17" t="s">
        <v>127</v>
      </c>
      <c r="F59" s="12">
        <v>1</v>
      </c>
      <c r="G59" s="6" t="s">
        <v>131</v>
      </c>
      <c r="H59" s="14" t="s">
        <v>63</v>
      </c>
      <c r="I59" s="14" t="s">
        <v>63</v>
      </c>
      <c r="J59" s="7">
        <v>46356</v>
      </c>
      <c r="L59" s="11">
        <f ca="1">Tabela4[[#This Row],[Prazo
Entrega]]-TODAY()</f>
        <v>126</v>
      </c>
      <c r="M59" t="str">
        <f t="shared" ca="1" si="7"/>
        <v>NO PRAZO</v>
      </c>
      <c r="N59" s="8" t="s">
        <v>32</v>
      </c>
      <c r="O59" s="9">
        <v>46203</v>
      </c>
      <c r="P59" s="1" t="s">
        <v>75</v>
      </c>
      <c r="Q59" t="s">
        <v>94</v>
      </c>
    </row>
    <row r="60" spans="1:18" hidden="1" x14ac:dyDescent="0.25">
      <c r="A60" s="13">
        <v>2333</v>
      </c>
      <c r="B60" s="13">
        <v>55</v>
      </c>
      <c r="C60" s="12">
        <v>27616</v>
      </c>
      <c r="D60" s="12">
        <v>49</v>
      </c>
      <c r="E60" s="17" t="s">
        <v>127</v>
      </c>
      <c r="F60" s="12">
        <v>1</v>
      </c>
      <c r="G60" s="6" t="s">
        <v>132</v>
      </c>
      <c r="H60" s="7">
        <v>46295</v>
      </c>
      <c r="J60" s="7">
        <v>46356</v>
      </c>
      <c r="L60" s="11">
        <f ca="1">Tabela4[[#This Row],[Prazo
Entrega]]-TODAY()</f>
        <v>126</v>
      </c>
      <c r="M60" t="str">
        <f t="shared" ref="M60:M62" ca="1" si="8">IF(L60&lt;0,"ATRASADO",IF(L60&lt;=15,"ATENÇÃO","NO PRAZO"))</f>
        <v>NO PRAZO</v>
      </c>
      <c r="N60" s="8" t="s">
        <v>32</v>
      </c>
      <c r="O60" s="9">
        <v>46203</v>
      </c>
      <c r="P60" s="1" t="s">
        <v>75</v>
      </c>
      <c r="Q60" t="s">
        <v>94</v>
      </c>
      <c r="R60" t="s">
        <v>310</v>
      </c>
    </row>
    <row r="61" spans="1:18" hidden="1" x14ac:dyDescent="0.25">
      <c r="A61" s="13">
        <v>2333</v>
      </c>
      <c r="B61" s="13">
        <v>56</v>
      </c>
      <c r="C61" s="12">
        <v>27616</v>
      </c>
      <c r="D61" s="12">
        <v>50</v>
      </c>
      <c r="E61" s="17" t="s">
        <v>127</v>
      </c>
      <c r="F61" s="12">
        <v>1</v>
      </c>
      <c r="G61" s="6" t="s">
        <v>132</v>
      </c>
      <c r="H61" s="7">
        <v>46295</v>
      </c>
      <c r="J61" s="7">
        <v>46356</v>
      </c>
      <c r="L61" s="11">
        <f ca="1">Tabela4[[#This Row],[Prazo
Entrega]]-TODAY()</f>
        <v>126</v>
      </c>
      <c r="M61" t="str">
        <f t="shared" ca="1" si="8"/>
        <v>NO PRAZO</v>
      </c>
      <c r="N61" s="8" t="s">
        <v>32</v>
      </c>
      <c r="O61" s="9">
        <v>46203</v>
      </c>
      <c r="P61" s="1" t="s">
        <v>75</v>
      </c>
      <c r="Q61" t="s">
        <v>94</v>
      </c>
      <c r="R61" t="s">
        <v>310</v>
      </c>
    </row>
    <row r="62" spans="1:18" hidden="1" x14ac:dyDescent="0.25">
      <c r="A62" s="13">
        <v>2333</v>
      </c>
      <c r="B62" s="13">
        <v>57</v>
      </c>
      <c r="C62" s="12">
        <v>27616</v>
      </c>
      <c r="D62" s="12">
        <v>51</v>
      </c>
      <c r="E62" s="17" t="s">
        <v>127</v>
      </c>
      <c r="F62" s="12">
        <v>1</v>
      </c>
      <c r="G62" s="6" t="s">
        <v>133</v>
      </c>
      <c r="H62" s="7">
        <v>46295</v>
      </c>
      <c r="J62" s="7">
        <v>46356</v>
      </c>
      <c r="L62" s="11">
        <f ca="1">Tabela4[[#This Row],[Prazo
Entrega]]-TODAY()</f>
        <v>126</v>
      </c>
      <c r="M62" t="str">
        <f t="shared" ca="1" si="8"/>
        <v>NO PRAZO</v>
      </c>
      <c r="N62" s="8" t="s">
        <v>32</v>
      </c>
      <c r="O62" s="9">
        <v>46203</v>
      </c>
      <c r="P62" s="1" t="s">
        <v>75</v>
      </c>
      <c r="Q62" t="s">
        <v>94</v>
      </c>
      <c r="R62" t="s">
        <v>310</v>
      </c>
    </row>
    <row r="63" spans="1:18" hidden="1" x14ac:dyDescent="0.25">
      <c r="A63" s="13">
        <v>2333</v>
      </c>
      <c r="B63" s="13">
        <v>63</v>
      </c>
      <c r="C63" s="13" t="s">
        <v>63</v>
      </c>
      <c r="D63" s="13" t="s">
        <v>63</v>
      </c>
      <c r="E63" s="17" t="s">
        <v>127</v>
      </c>
      <c r="F63" s="12">
        <v>1</v>
      </c>
      <c r="G63" s="6" t="s">
        <v>134</v>
      </c>
      <c r="H63" s="14" t="s">
        <v>63</v>
      </c>
      <c r="I63" s="14" t="s">
        <v>63</v>
      </c>
      <c r="J63" s="7">
        <v>46356</v>
      </c>
      <c r="L63" s="11">
        <f ca="1">Tabela4[[#This Row],[Prazo
Entrega]]-TODAY()</f>
        <v>126</v>
      </c>
      <c r="M63" t="str">
        <f ca="1">IF(L63&lt;0,"ATRASADO",IF(L63&lt;=15,"ATENÇÃO","NO PRAZO"))</f>
        <v>NO PRAZO</v>
      </c>
      <c r="N63" s="14" t="s">
        <v>63</v>
      </c>
      <c r="O63" s="9">
        <v>46233</v>
      </c>
      <c r="P63" s="1" t="s">
        <v>75</v>
      </c>
      <c r="Q63" t="s">
        <v>94</v>
      </c>
    </row>
    <row r="64" spans="1:18" hidden="1" x14ac:dyDescent="0.25">
      <c r="A64" s="13">
        <v>2333</v>
      </c>
      <c r="B64" s="13">
        <v>64</v>
      </c>
      <c r="C64" s="13" t="s">
        <v>63</v>
      </c>
      <c r="D64" s="13" t="s">
        <v>63</v>
      </c>
      <c r="E64" s="17" t="s">
        <v>127</v>
      </c>
      <c r="F64" s="12">
        <v>1</v>
      </c>
      <c r="G64" s="6" t="s">
        <v>134</v>
      </c>
      <c r="H64" s="14" t="s">
        <v>63</v>
      </c>
      <c r="I64" s="14" t="s">
        <v>63</v>
      </c>
      <c r="J64" s="7">
        <v>46356</v>
      </c>
      <c r="L64" s="11">
        <f ca="1">Tabela4[[#This Row],[Prazo
Entrega]]-TODAY()</f>
        <v>126</v>
      </c>
      <c r="M64" t="str">
        <f t="shared" ref="M64:M76" ca="1" si="9">IF(L64&lt;0,"ATRASADO",IF(L64&lt;=15,"ATENÇÃO","NO PRAZO"))</f>
        <v>NO PRAZO</v>
      </c>
      <c r="N64" s="14" t="s">
        <v>63</v>
      </c>
      <c r="O64" s="9">
        <v>46233</v>
      </c>
      <c r="P64" s="1" t="s">
        <v>75</v>
      </c>
      <c r="Q64" t="s">
        <v>94</v>
      </c>
    </row>
    <row r="65" spans="1:17" hidden="1" x14ac:dyDescent="0.25">
      <c r="A65" s="13">
        <v>2333</v>
      </c>
      <c r="B65" s="13">
        <v>65</v>
      </c>
      <c r="C65" s="13" t="s">
        <v>63</v>
      </c>
      <c r="D65" s="13" t="s">
        <v>63</v>
      </c>
      <c r="E65" s="17" t="s">
        <v>127</v>
      </c>
      <c r="F65" s="12">
        <v>1</v>
      </c>
      <c r="G65" s="6" t="s">
        <v>134</v>
      </c>
      <c r="H65" s="14" t="s">
        <v>63</v>
      </c>
      <c r="I65" s="14" t="s">
        <v>63</v>
      </c>
      <c r="J65" s="7">
        <v>46356</v>
      </c>
      <c r="L65" s="11">
        <f ca="1">Tabela4[[#This Row],[Prazo
Entrega]]-TODAY()</f>
        <v>126</v>
      </c>
      <c r="M65" t="str">
        <f t="shared" ca="1" si="9"/>
        <v>NO PRAZO</v>
      </c>
      <c r="N65" s="14" t="s">
        <v>63</v>
      </c>
      <c r="O65" s="9">
        <v>46233</v>
      </c>
      <c r="P65" s="1" t="s">
        <v>75</v>
      </c>
      <c r="Q65" t="s">
        <v>94</v>
      </c>
    </row>
    <row r="66" spans="1:17" hidden="1" x14ac:dyDescent="0.25">
      <c r="A66" s="13">
        <v>2333</v>
      </c>
      <c r="B66" s="13">
        <v>66</v>
      </c>
      <c r="C66" s="13" t="s">
        <v>63</v>
      </c>
      <c r="D66" s="13" t="s">
        <v>63</v>
      </c>
      <c r="E66" s="17" t="s">
        <v>127</v>
      </c>
      <c r="F66" s="12">
        <v>1</v>
      </c>
      <c r="G66" s="6" t="s">
        <v>134</v>
      </c>
      <c r="H66" s="14" t="s">
        <v>63</v>
      </c>
      <c r="I66" s="14" t="s">
        <v>63</v>
      </c>
      <c r="J66" s="7">
        <v>46356</v>
      </c>
      <c r="L66" s="11">
        <f ca="1">Tabela4[[#This Row],[Prazo
Entrega]]-TODAY()</f>
        <v>126</v>
      </c>
      <c r="M66" t="str">
        <f t="shared" ca="1" si="9"/>
        <v>NO PRAZO</v>
      </c>
      <c r="N66" s="14" t="s">
        <v>63</v>
      </c>
      <c r="O66" s="9">
        <v>46233</v>
      </c>
      <c r="P66" s="1" t="s">
        <v>75</v>
      </c>
      <c r="Q66" t="s">
        <v>94</v>
      </c>
    </row>
    <row r="67" spans="1:17" hidden="1" x14ac:dyDescent="0.25">
      <c r="A67" s="13">
        <v>2333</v>
      </c>
      <c r="B67" s="13">
        <v>67</v>
      </c>
      <c r="C67" s="13" t="s">
        <v>63</v>
      </c>
      <c r="D67" s="13" t="s">
        <v>63</v>
      </c>
      <c r="E67" s="17" t="s">
        <v>127</v>
      </c>
      <c r="F67" s="12">
        <v>1</v>
      </c>
      <c r="G67" s="6" t="s">
        <v>134</v>
      </c>
      <c r="H67" s="14" t="s">
        <v>63</v>
      </c>
      <c r="I67" s="14" t="s">
        <v>63</v>
      </c>
      <c r="J67" s="7">
        <v>46356</v>
      </c>
      <c r="L67" s="11">
        <f ca="1">Tabela4[[#This Row],[Prazo
Entrega]]-TODAY()</f>
        <v>126</v>
      </c>
      <c r="M67" t="str">
        <f t="shared" ca="1" si="9"/>
        <v>NO PRAZO</v>
      </c>
      <c r="N67" s="14" t="s">
        <v>63</v>
      </c>
      <c r="O67" s="9">
        <v>46233</v>
      </c>
      <c r="P67" s="1" t="s">
        <v>75</v>
      </c>
      <c r="Q67" t="s">
        <v>94</v>
      </c>
    </row>
    <row r="68" spans="1:17" hidden="1" x14ac:dyDescent="0.25">
      <c r="A68" s="13">
        <v>2333</v>
      </c>
      <c r="B68" s="13">
        <v>68</v>
      </c>
      <c r="C68" s="13" t="s">
        <v>63</v>
      </c>
      <c r="D68" s="13" t="s">
        <v>63</v>
      </c>
      <c r="E68" s="17" t="s">
        <v>127</v>
      </c>
      <c r="F68" s="12">
        <v>1</v>
      </c>
      <c r="G68" s="6" t="s">
        <v>135</v>
      </c>
      <c r="H68" s="14" t="s">
        <v>63</v>
      </c>
      <c r="I68" s="14" t="s">
        <v>63</v>
      </c>
      <c r="J68" s="7">
        <v>46356</v>
      </c>
      <c r="L68" s="11">
        <f ca="1">Tabela4[[#This Row],[Prazo
Entrega]]-TODAY()</f>
        <v>126</v>
      </c>
      <c r="M68" t="str">
        <f t="shared" ca="1" si="9"/>
        <v>NO PRAZO</v>
      </c>
      <c r="N68" s="14" t="s">
        <v>63</v>
      </c>
      <c r="O68" s="9">
        <v>46233</v>
      </c>
      <c r="P68" s="1" t="s">
        <v>75</v>
      </c>
      <c r="Q68" t="s">
        <v>94</v>
      </c>
    </row>
    <row r="69" spans="1:17" hidden="1" x14ac:dyDescent="0.25">
      <c r="A69" s="13">
        <v>2333</v>
      </c>
      <c r="B69" s="13">
        <v>69</v>
      </c>
      <c r="C69" s="13" t="s">
        <v>63</v>
      </c>
      <c r="D69" s="13" t="s">
        <v>63</v>
      </c>
      <c r="E69" s="17" t="s">
        <v>127</v>
      </c>
      <c r="F69" s="12">
        <v>1</v>
      </c>
      <c r="G69" s="6" t="s">
        <v>135</v>
      </c>
      <c r="H69" s="14" t="s">
        <v>63</v>
      </c>
      <c r="I69" s="14" t="s">
        <v>63</v>
      </c>
      <c r="J69" s="7">
        <v>46356</v>
      </c>
      <c r="L69" s="11">
        <f ca="1">Tabela4[[#This Row],[Prazo
Entrega]]-TODAY()</f>
        <v>126</v>
      </c>
      <c r="M69" t="str">
        <f t="shared" ca="1" si="9"/>
        <v>NO PRAZO</v>
      </c>
      <c r="N69" s="14" t="s">
        <v>63</v>
      </c>
      <c r="O69" s="9">
        <v>46233</v>
      </c>
      <c r="P69" s="1" t="s">
        <v>75</v>
      </c>
      <c r="Q69" t="s">
        <v>94</v>
      </c>
    </row>
    <row r="70" spans="1:17" hidden="1" x14ac:dyDescent="0.25">
      <c r="A70" s="13">
        <v>2333</v>
      </c>
      <c r="B70" s="13">
        <v>70</v>
      </c>
      <c r="C70" s="13" t="s">
        <v>63</v>
      </c>
      <c r="D70" s="13" t="s">
        <v>63</v>
      </c>
      <c r="E70" s="17" t="s">
        <v>127</v>
      </c>
      <c r="F70" s="12">
        <v>1</v>
      </c>
      <c r="G70" s="6" t="s">
        <v>135</v>
      </c>
      <c r="H70" s="14" t="s">
        <v>63</v>
      </c>
      <c r="I70" s="14" t="s">
        <v>63</v>
      </c>
      <c r="J70" s="7">
        <v>46356</v>
      </c>
      <c r="L70" s="11">
        <f ca="1">Tabela4[[#This Row],[Prazo
Entrega]]-TODAY()</f>
        <v>126</v>
      </c>
      <c r="M70" t="str">
        <f t="shared" ca="1" si="9"/>
        <v>NO PRAZO</v>
      </c>
      <c r="N70" s="14" t="s">
        <v>63</v>
      </c>
      <c r="O70" s="9">
        <v>46233</v>
      </c>
      <c r="P70" s="1" t="s">
        <v>75</v>
      </c>
      <c r="Q70" t="s">
        <v>94</v>
      </c>
    </row>
    <row r="71" spans="1:17" hidden="1" x14ac:dyDescent="0.25">
      <c r="A71" s="13">
        <v>2333</v>
      </c>
      <c r="B71" s="13">
        <v>71</v>
      </c>
      <c r="C71" s="13" t="s">
        <v>63</v>
      </c>
      <c r="D71" s="13" t="s">
        <v>63</v>
      </c>
      <c r="E71" s="17" t="s">
        <v>127</v>
      </c>
      <c r="F71" s="12">
        <v>1</v>
      </c>
      <c r="G71" s="6" t="s">
        <v>135</v>
      </c>
      <c r="H71" s="14" t="s">
        <v>63</v>
      </c>
      <c r="I71" s="14" t="s">
        <v>63</v>
      </c>
      <c r="J71" s="7">
        <v>46356</v>
      </c>
      <c r="L71" s="11">
        <f ca="1">Tabela4[[#This Row],[Prazo
Entrega]]-TODAY()</f>
        <v>126</v>
      </c>
      <c r="M71" t="str">
        <f t="shared" ca="1" si="9"/>
        <v>NO PRAZO</v>
      </c>
      <c r="N71" s="14" t="s">
        <v>63</v>
      </c>
      <c r="O71" s="9">
        <v>46233</v>
      </c>
      <c r="P71" s="1" t="s">
        <v>75</v>
      </c>
      <c r="Q71" t="s">
        <v>94</v>
      </c>
    </row>
    <row r="72" spans="1:17" hidden="1" x14ac:dyDescent="0.25">
      <c r="A72" s="13">
        <v>2333</v>
      </c>
      <c r="B72" s="13">
        <v>72</v>
      </c>
      <c r="C72" s="13" t="s">
        <v>63</v>
      </c>
      <c r="D72" s="13" t="s">
        <v>63</v>
      </c>
      <c r="E72" s="17" t="s">
        <v>127</v>
      </c>
      <c r="F72" s="12">
        <v>1</v>
      </c>
      <c r="G72" s="6" t="s">
        <v>135</v>
      </c>
      <c r="H72" s="14" t="s">
        <v>63</v>
      </c>
      <c r="I72" s="14" t="s">
        <v>63</v>
      </c>
      <c r="J72" s="7">
        <v>46356</v>
      </c>
      <c r="L72" s="11">
        <f ca="1">Tabela4[[#This Row],[Prazo
Entrega]]-TODAY()</f>
        <v>126</v>
      </c>
      <c r="M72" t="str">
        <f t="shared" ca="1" si="9"/>
        <v>NO PRAZO</v>
      </c>
      <c r="N72" s="14" t="s">
        <v>63</v>
      </c>
      <c r="O72" s="9">
        <v>46233</v>
      </c>
      <c r="P72" s="1" t="s">
        <v>75</v>
      </c>
      <c r="Q72" t="s">
        <v>94</v>
      </c>
    </row>
    <row r="73" spans="1:17" hidden="1" x14ac:dyDescent="0.25">
      <c r="A73" s="13">
        <v>2333</v>
      </c>
      <c r="B73" s="13">
        <v>73</v>
      </c>
      <c r="C73" s="13" t="s">
        <v>63</v>
      </c>
      <c r="D73" s="13" t="s">
        <v>63</v>
      </c>
      <c r="E73" s="17" t="s">
        <v>127</v>
      </c>
      <c r="F73" s="12">
        <v>1</v>
      </c>
      <c r="G73" s="6" t="s">
        <v>135</v>
      </c>
      <c r="H73" s="14" t="s">
        <v>63</v>
      </c>
      <c r="I73" s="14" t="s">
        <v>63</v>
      </c>
      <c r="J73" s="7">
        <v>46356</v>
      </c>
      <c r="L73" s="11">
        <f ca="1">Tabela4[[#This Row],[Prazo
Entrega]]-TODAY()</f>
        <v>126</v>
      </c>
      <c r="M73" t="str">
        <f t="shared" ca="1" si="9"/>
        <v>NO PRAZO</v>
      </c>
      <c r="N73" s="14" t="s">
        <v>63</v>
      </c>
      <c r="O73" s="9">
        <v>46233</v>
      </c>
      <c r="P73" s="1" t="s">
        <v>75</v>
      </c>
      <c r="Q73" t="s">
        <v>94</v>
      </c>
    </row>
    <row r="74" spans="1:17" hidden="1" x14ac:dyDescent="0.25">
      <c r="A74" s="13">
        <v>2333</v>
      </c>
      <c r="B74" s="13">
        <v>74</v>
      </c>
      <c r="C74" s="13" t="s">
        <v>63</v>
      </c>
      <c r="D74" s="13" t="s">
        <v>63</v>
      </c>
      <c r="E74" s="17" t="s">
        <v>127</v>
      </c>
      <c r="F74" s="12">
        <v>1</v>
      </c>
      <c r="G74" s="6" t="s">
        <v>135</v>
      </c>
      <c r="H74" s="14" t="s">
        <v>63</v>
      </c>
      <c r="I74" s="14" t="s">
        <v>63</v>
      </c>
      <c r="J74" s="7">
        <v>46356</v>
      </c>
      <c r="L74" s="11">
        <f ca="1">Tabela4[[#This Row],[Prazo
Entrega]]-TODAY()</f>
        <v>126</v>
      </c>
      <c r="M74" t="str">
        <f t="shared" ca="1" si="9"/>
        <v>NO PRAZO</v>
      </c>
      <c r="N74" s="14" t="s">
        <v>63</v>
      </c>
      <c r="O74" s="9">
        <v>46233</v>
      </c>
      <c r="P74" s="1" t="s">
        <v>75</v>
      </c>
      <c r="Q74" t="s">
        <v>94</v>
      </c>
    </row>
    <row r="75" spans="1:17" hidden="1" x14ac:dyDescent="0.25">
      <c r="A75" s="13">
        <v>2333</v>
      </c>
      <c r="B75" s="13">
        <v>75</v>
      </c>
      <c r="C75" s="13" t="s">
        <v>63</v>
      </c>
      <c r="D75" s="13" t="s">
        <v>63</v>
      </c>
      <c r="E75" s="17" t="s">
        <v>127</v>
      </c>
      <c r="F75" s="12">
        <v>1</v>
      </c>
      <c r="G75" s="6" t="s">
        <v>135</v>
      </c>
      <c r="H75" s="14" t="s">
        <v>63</v>
      </c>
      <c r="I75" s="14" t="s">
        <v>63</v>
      </c>
      <c r="J75" s="7">
        <v>46356</v>
      </c>
      <c r="L75" s="11">
        <f ca="1">Tabela4[[#This Row],[Prazo
Entrega]]-TODAY()</f>
        <v>126</v>
      </c>
      <c r="M75" t="str">
        <f t="shared" ca="1" si="9"/>
        <v>NO PRAZO</v>
      </c>
      <c r="N75" s="14" t="s">
        <v>63</v>
      </c>
      <c r="O75" s="9">
        <v>46233</v>
      </c>
      <c r="P75" s="1" t="s">
        <v>75</v>
      </c>
      <c r="Q75" t="s">
        <v>94</v>
      </c>
    </row>
    <row r="76" spans="1:17" hidden="1" x14ac:dyDescent="0.25">
      <c r="A76" s="13">
        <v>2333</v>
      </c>
      <c r="B76" s="13">
        <v>76</v>
      </c>
      <c r="C76" s="13" t="s">
        <v>63</v>
      </c>
      <c r="D76" s="13" t="s">
        <v>63</v>
      </c>
      <c r="E76" s="17" t="s">
        <v>127</v>
      </c>
      <c r="F76" s="12">
        <v>1</v>
      </c>
      <c r="G76" s="6" t="s">
        <v>135</v>
      </c>
      <c r="H76" s="14" t="s">
        <v>63</v>
      </c>
      <c r="I76" s="14" t="s">
        <v>63</v>
      </c>
      <c r="J76" s="7">
        <v>46356</v>
      </c>
      <c r="L76" s="11">
        <f ca="1">Tabela4[[#This Row],[Prazo
Entrega]]-TODAY()</f>
        <v>126</v>
      </c>
      <c r="M76" t="str">
        <f t="shared" ca="1" si="9"/>
        <v>NO PRAZO</v>
      </c>
      <c r="N76" s="14" t="s">
        <v>63</v>
      </c>
      <c r="O76" s="9">
        <v>46233</v>
      </c>
      <c r="P76" s="1" t="s">
        <v>75</v>
      </c>
      <c r="Q76" t="s">
        <v>94</v>
      </c>
    </row>
    <row r="77" spans="1:17" hidden="1" x14ac:dyDescent="0.25">
      <c r="A77" s="13">
        <v>2333</v>
      </c>
      <c r="B77" s="13">
        <v>77</v>
      </c>
      <c r="C77" s="13" t="s">
        <v>63</v>
      </c>
      <c r="D77" s="13" t="s">
        <v>63</v>
      </c>
      <c r="E77" s="17" t="s">
        <v>127</v>
      </c>
      <c r="F77" s="12">
        <v>1</v>
      </c>
      <c r="G77" s="6" t="s">
        <v>135</v>
      </c>
      <c r="H77" s="14" t="s">
        <v>63</v>
      </c>
      <c r="I77" s="14" t="s">
        <v>63</v>
      </c>
      <c r="J77" s="7">
        <v>46356</v>
      </c>
      <c r="L77" s="11">
        <f ca="1">Tabela4[[#This Row],[Prazo
Entrega]]-TODAY()</f>
        <v>126</v>
      </c>
      <c r="M77" t="str">
        <f ca="1">IF(L77&lt;0,"ATRASADO",IF(L77&lt;=15,"ATENÇÃO","NO PRAZO"))</f>
        <v>NO PRAZO</v>
      </c>
      <c r="N77" s="14" t="s">
        <v>63</v>
      </c>
      <c r="O77" s="9">
        <v>46233</v>
      </c>
      <c r="P77" s="1" t="s">
        <v>75</v>
      </c>
      <c r="Q77" t="s">
        <v>94</v>
      </c>
    </row>
    <row r="78" spans="1:17" hidden="1" x14ac:dyDescent="0.25">
      <c r="A78" s="13">
        <v>2333</v>
      </c>
      <c r="B78" s="13">
        <v>78</v>
      </c>
      <c r="C78" s="13" t="s">
        <v>63</v>
      </c>
      <c r="D78" s="13" t="s">
        <v>63</v>
      </c>
      <c r="E78" s="17" t="s">
        <v>127</v>
      </c>
      <c r="F78" s="12">
        <v>160</v>
      </c>
      <c r="G78" s="6" t="s">
        <v>136</v>
      </c>
      <c r="H78" s="14" t="s">
        <v>63</v>
      </c>
      <c r="I78" s="14" t="s">
        <v>63</v>
      </c>
      <c r="J78" s="7">
        <v>46356</v>
      </c>
      <c r="L78" s="11">
        <f ca="1">Tabela4[[#This Row],[Prazo
Entrega]]-TODAY()</f>
        <v>126</v>
      </c>
      <c r="M78" t="str">
        <f t="shared" ref="M78:M80" ca="1" si="10">IF(L78&lt;0,"ATRASADO",IF(L78&lt;=15,"ATENÇÃO","NO PRAZO"))</f>
        <v>NO PRAZO</v>
      </c>
      <c r="N78" s="14" t="s">
        <v>63</v>
      </c>
      <c r="O78" s="9">
        <v>46233</v>
      </c>
      <c r="P78" s="1" t="s">
        <v>75</v>
      </c>
      <c r="Q78" t="s">
        <v>94</v>
      </c>
    </row>
    <row r="79" spans="1:17" hidden="1" x14ac:dyDescent="0.25">
      <c r="A79" s="13">
        <v>2333</v>
      </c>
      <c r="B79" s="13">
        <v>79</v>
      </c>
      <c r="C79" s="13" t="s">
        <v>63</v>
      </c>
      <c r="D79" s="13" t="s">
        <v>63</v>
      </c>
      <c r="E79" s="17" t="s">
        <v>127</v>
      </c>
      <c r="F79" s="12">
        <v>160</v>
      </c>
      <c r="G79" s="6" t="s">
        <v>137</v>
      </c>
      <c r="H79" s="14" t="s">
        <v>63</v>
      </c>
      <c r="I79" s="14" t="s">
        <v>63</v>
      </c>
      <c r="J79" s="7">
        <v>46356</v>
      </c>
      <c r="L79" s="11">
        <f ca="1">Tabela4[[#This Row],[Prazo
Entrega]]-TODAY()</f>
        <v>126</v>
      </c>
      <c r="M79" t="str">
        <f t="shared" ca="1" si="10"/>
        <v>NO PRAZO</v>
      </c>
      <c r="N79" s="14" t="s">
        <v>63</v>
      </c>
      <c r="O79" s="9">
        <v>46233</v>
      </c>
      <c r="P79" s="1" t="s">
        <v>75</v>
      </c>
      <c r="Q79" t="s">
        <v>94</v>
      </c>
    </row>
    <row r="80" spans="1:17" hidden="1" x14ac:dyDescent="0.25">
      <c r="A80" s="13">
        <v>2333</v>
      </c>
      <c r="B80" s="13">
        <v>80</v>
      </c>
      <c r="C80" s="13" t="s">
        <v>63</v>
      </c>
      <c r="D80" s="13" t="s">
        <v>63</v>
      </c>
      <c r="E80" s="17" t="s">
        <v>127</v>
      </c>
      <c r="F80" s="12">
        <v>20</v>
      </c>
      <c r="G80" s="6" t="s">
        <v>138</v>
      </c>
      <c r="H80" s="14" t="s">
        <v>63</v>
      </c>
      <c r="I80" s="14" t="s">
        <v>63</v>
      </c>
      <c r="J80" s="7">
        <v>46356</v>
      </c>
      <c r="L80" s="11">
        <f ca="1">Tabela4[[#This Row],[Prazo
Entrega]]-TODAY()</f>
        <v>126</v>
      </c>
      <c r="M80" t="str">
        <f t="shared" ca="1" si="10"/>
        <v>NO PRAZO</v>
      </c>
      <c r="N80" s="14" t="s">
        <v>63</v>
      </c>
      <c r="O80" s="9">
        <v>46233</v>
      </c>
      <c r="P80" s="1" t="s">
        <v>75</v>
      </c>
      <c r="Q80" t="s">
        <v>94</v>
      </c>
    </row>
    <row r="81" spans="1:17" hidden="1" x14ac:dyDescent="0.25">
      <c r="A81" s="13">
        <v>2333</v>
      </c>
      <c r="B81" s="13">
        <v>81</v>
      </c>
      <c r="C81" s="13" t="s">
        <v>63</v>
      </c>
      <c r="D81" s="13" t="s">
        <v>63</v>
      </c>
      <c r="E81" s="17" t="s">
        <v>127</v>
      </c>
      <c r="F81" s="12">
        <v>1</v>
      </c>
      <c r="G81" s="6" t="s">
        <v>139</v>
      </c>
      <c r="H81" s="14" t="s">
        <v>63</v>
      </c>
      <c r="I81" s="14" t="s">
        <v>63</v>
      </c>
      <c r="J81" s="7">
        <v>46356</v>
      </c>
      <c r="L81" s="11">
        <f ca="1">Tabela4[[#This Row],[Prazo
Entrega]]-TODAY()</f>
        <v>126</v>
      </c>
      <c r="M81" t="str">
        <f t="shared" ref="M81:M88" ca="1" si="11">IF(L81&lt;0,"ATRASADO",IF(L81&lt;=15,"ATENÇÃO","NO PRAZO"))</f>
        <v>NO PRAZO</v>
      </c>
      <c r="N81" s="14" t="s">
        <v>63</v>
      </c>
      <c r="O81" s="9">
        <v>46233</v>
      </c>
      <c r="P81" s="1" t="s">
        <v>75</v>
      </c>
      <c r="Q81" t="s">
        <v>94</v>
      </c>
    </row>
    <row r="82" spans="1:17" hidden="1" x14ac:dyDescent="0.25">
      <c r="A82" s="13">
        <v>2333</v>
      </c>
      <c r="B82" s="13">
        <v>82</v>
      </c>
      <c r="C82" s="13" t="s">
        <v>63</v>
      </c>
      <c r="D82" s="13" t="s">
        <v>63</v>
      </c>
      <c r="E82" s="17" t="s">
        <v>127</v>
      </c>
      <c r="F82" s="12">
        <v>1</v>
      </c>
      <c r="G82" s="6" t="s">
        <v>139</v>
      </c>
      <c r="H82" s="14" t="s">
        <v>63</v>
      </c>
      <c r="I82" s="14" t="s">
        <v>63</v>
      </c>
      <c r="J82" s="7">
        <v>46356</v>
      </c>
      <c r="L82" s="11">
        <f ca="1">Tabela4[[#This Row],[Prazo
Entrega]]-TODAY()</f>
        <v>126</v>
      </c>
      <c r="M82" t="str">
        <f t="shared" ca="1" si="11"/>
        <v>NO PRAZO</v>
      </c>
      <c r="N82" s="14" t="s">
        <v>63</v>
      </c>
      <c r="O82" s="9">
        <v>46233</v>
      </c>
      <c r="P82" s="1" t="s">
        <v>75</v>
      </c>
      <c r="Q82" t="s">
        <v>94</v>
      </c>
    </row>
    <row r="83" spans="1:17" hidden="1" x14ac:dyDescent="0.25">
      <c r="A83" s="13">
        <v>2333</v>
      </c>
      <c r="B83" s="13">
        <v>83</v>
      </c>
      <c r="C83" s="13" t="s">
        <v>63</v>
      </c>
      <c r="D83" s="13" t="s">
        <v>63</v>
      </c>
      <c r="E83" s="17" t="s">
        <v>127</v>
      </c>
      <c r="F83" s="12">
        <v>1</v>
      </c>
      <c r="G83" s="6" t="s">
        <v>140</v>
      </c>
      <c r="H83" s="14" t="s">
        <v>63</v>
      </c>
      <c r="I83" s="14" t="s">
        <v>63</v>
      </c>
      <c r="J83" s="7">
        <v>46356</v>
      </c>
      <c r="L83" s="11">
        <f ca="1">Tabela4[[#This Row],[Prazo
Entrega]]-TODAY()</f>
        <v>126</v>
      </c>
      <c r="M83" t="str">
        <f t="shared" ca="1" si="11"/>
        <v>NO PRAZO</v>
      </c>
      <c r="N83" s="14" t="s">
        <v>63</v>
      </c>
      <c r="O83" s="9">
        <v>46233</v>
      </c>
      <c r="P83" s="1" t="s">
        <v>75</v>
      </c>
      <c r="Q83" t="s">
        <v>94</v>
      </c>
    </row>
    <row r="84" spans="1:17" hidden="1" x14ac:dyDescent="0.25">
      <c r="A84" s="13">
        <v>2333</v>
      </c>
      <c r="B84" s="13">
        <v>84</v>
      </c>
      <c r="C84" s="13" t="s">
        <v>63</v>
      </c>
      <c r="D84" s="13" t="s">
        <v>63</v>
      </c>
      <c r="E84" s="17" t="s">
        <v>127</v>
      </c>
      <c r="F84" s="12">
        <v>1</v>
      </c>
      <c r="G84" s="6" t="s">
        <v>140</v>
      </c>
      <c r="H84" s="14" t="s">
        <v>63</v>
      </c>
      <c r="I84" s="14" t="s">
        <v>63</v>
      </c>
      <c r="J84" s="7">
        <v>46356</v>
      </c>
      <c r="L84" s="11">
        <f ca="1">Tabela4[[#This Row],[Prazo
Entrega]]-TODAY()</f>
        <v>126</v>
      </c>
      <c r="M84" t="str">
        <f t="shared" ca="1" si="11"/>
        <v>NO PRAZO</v>
      </c>
      <c r="N84" s="14" t="s">
        <v>63</v>
      </c>
      <c r="O84" s="9">
        <v>46233</v>
      </c>
      <c r="P84" s="1" t="s">
        <v>75</v>
      </c>
      <c r="Q84" t="s">
        <v>94</v>
      </c>
    </row>
    <row r="85" spans="1:17" hidden="1" x14ac:dyDescent="0.25">
      <c r="A85" s="13">
        <v>2333</v>
      </c>
      <c r="B85" s="13">
        <v>85</v>
      </c>
      <c r="C85" s="13" t="s">
        <v>63</v>
      </c>
      <c r="D85" s="13" t="s">
        <v>63</v>
      </c>
      <c r="E85" s="17" t="s">
        <v>127</v>
      </c>
      <c r="F85" s="12">
        <v>1</v>
      </c>
      <c r="G85" s="6" t="s">
        <v>141</v>
      </c>
      <c r="H85" s="14" t="s">
        <v>63</v>
      </c>
      <c r="I85" s="14" t="s">
        <v>63</v>
      </c>
      <c r="J85" s="7">
        <v>46356</v>
      </c>
      <c r="L85" s="11">
        <f ca="1">Tabela4[[#This Row],[Prazo
Entrega]]-TODAY()</f>
        <v>126</v>
      </c>
      <c r="M85" t="str">
        <f t="shared" ca="1" si="11"/>
        <v>NO PRAZO</v>
      </c>
      <c r="N85" s="14" t="s">
        <v>63</v>
      </c>
      <c r="O85" s="9">
        <v>46233</v>
      </c>
      <c r="P85" s="1" t="s">
        <v>75</v>
      </c>
      <c r="Q85" t="s">
        <v>94</v>
      </c>
    </row>
    <row r="86" spans="1:17" hidden="1" x14ac:dyDescent="0.25">
      <c r="A86" s="13">
        <v>2333</v>
      </c>
      <c r="B86" s="13">
        <v>86</v>
      </c>
      <c r="C86" s="13" t="s">
        <v>63</v>
      </c>
      <c r="D86" s="13" t="s">
        <v>63</v>
      </c>
      <c r="E86" s="17" t="s">
        <v>127</v>
      </c>
      <c r="F86" s="12">
        <v>1</v>
      </c>
      <c r="G86" s="6" t="s">
        <v>141</v>
      </c>
      <c r="H86" s="14" t="s">
        <v>63</v>
      </c>
      <c r="I86" s="14" t="s">
        <v>63</v>
      </c>
      <c r="J86" s="7">
        <v>46356</v>
      </c>
      <c r="L86" s="11">
        <f ca="1">Tabela4[[#This Row],[Prazo
Entrega]]-TODAY()</f>
        <v>126</v>
      </c>
      <c r="M86" t="str">
        <f t="shared" ca="1" si="11"/>
        <v>NO PRAZO</v>
      </c>
      <c r="N86" s="14" t="s">
        <v>63</v>
      </c>
      <c r="O86" s="9">
        <v>46233</v>
      </c>
      <c r="P86" s="1" t="s">
        <v>75</v>
      </c>
      <c r="Q86" t="s">
        <v>94</v>
      </c>
    </row>
    <row r="87" spans="1:17" hidden="1" x14ac:dyDescent="0.25">
      <c r="A87" s="13">
        <v>2333</v>
      </c>
      <c r="B87" s="13">
        <v>87</v>
      </c>
      <c r="C87" s="13" t="s">
        <v>63</v>
      </c>
      <c r="D87" s="13" t="s">
        <v>63</v>
      </c>
      <c r="E87" s="17" t="s">
        <v>127</v>
      </c>
      <c r="F87" s="12">
        <v>1</v>
      </c>
      <c r="G87" s="6" t="s">
        <v>141</v>
      </c>
      <c r="H87" s="14" t="s">
        <v>63</v>
      </c>
      <c r="I87" s="14" t="s">
        <v>63</v>
      </c>
      <c r="J87" s="7">
        <v>46356</v>
      </c>
      <c r="L87" s="11">
        <f ca="1">Tabela4[[#This Row],[Prazo
Entrega]]-TODAY()</f>
        <v>126</v>
      </c>
      <c r="M87" t="str">
        <f t="shared" ca="1" si="11"/>
        <v>NO PRAZO</v>
      </c>
      <c r="N87" s="14" t="s">
        <v>63</v>
      </c>
      <c r="O87" s="9">
        <v>46233</v>
      </c>
      <c r="P87" s="1" t="s">
        <v>75</v>
      </c>
      <c r="Q87" t="s">
        <v>94</v>
      </c>
    </row>
    <row r="88" spans="1:17" hidden="1" x14ac:dyDescent="0.25">
      <c r="A88" s="13">
        <v>2333</v>
      </c>
      <c r="B88" s="13">
        <v>88</v>
      </c>
      <c r="C88" s="13" t="s">
        <v>63</v>
      </c>
      <c r="D88" s="13" t="s">
        <v>63</v>
      </c>
      <c r="E88" s="17" t="s">
        <v>127</v>
      </c>
      <c r="F88" s="12">
        <v>1</v>
      </c>
      <c r="G88" s="6" t="s">
        <v>141</v>
      </c>
      <c r="H88" s="14" t="s">
        <v>63</v>
      </c>
      <c r="I88" s="14" t="s">
        <v>63</v>
      </c>
      <c r="J88" s="7">
        <v>46356</v>
      </c>
      <c r="L88" s="11">
        <f ca="1">Tabela4[[#This Row],[Prazo
Entrega]]-TODAY()</f>
        <v>126</v>
      </c>
      <c r="M88" t="str">
        <f t="shared" ca="1" si="11"/>
        <v>NO PRAZO</v>
      </c>
      <c r="N88" s="14" t="s">
        <v>63</v>
      </c>
      <c r="O88" s="9">
        <v>46233</v>
      </c>
      <c r="P88" s="1" t="s">
        <v>75</v>
      </c>
      <c r="Q88" t="s">
        <v>94</v>
      </c>
    </row>
    <row r="89" spans="1:17" hidden="1" x14ac:dyDescent="0.25">
      <c r="A89" s="13">
        <v>1945</v>
      </c>
      <c r="B89" s="13">
        <v>1</v>
      </c>
      <c r="C89" s="13" t="s">
        <v>63</v>
      </c>
      <c r="D89" s="13" t="s">
        <v>63</v>
      </c>
      <c r="E89" s="17" t="s">
        <v>152</v>
      </c>
      <c r="F89" s="12">
        <v>1</v>
      </c>
      <c r="G89" s="6" t="s">
        <v>153</v>
      </c>
      <c r="H89" s="14" t="s">
        <v>63</v>
      </c>
      <c r="I89" s="14" t="s">
        <v>63</v>
      </c>
      <c r="J89" s="7">
        <v>46203</v>
      </c>
      <c r="K89" s="43">
        <v>46172</v>
      </c>
      <c r="L89" s="11">
        <f ca="1">Tabela4[[#This Row],[Prazo
Entrega]]-TODAY()</f>
        <v>-27</v>
      </c>
      <c r="M89" t="s">
        <v>126</v>
      </c>
      <c r="N89" s="14" t="s">
        <v>63</v>
      </c>
      <c r="O89" s="9" t="s">
        <v>56</v>
      </c>
      <c r="P89" s="1" t="s">
        <v>56</v>
      </c>
      <c r="Q89" t="s">
        <v>76</v>
      </c>
    </row>
    <row r="90" spans="1:17" hidden="1" x14ac:dyDescent="0.25">
      <c r="A90" s="13">
        <v>2345</v>
      </c>
      <c r="B90" s="13">
        <v>2</v>
      </c>
      <c r="C90" s="13" t="s">
        <v>63</v>
      </c>
      <c r="D90" s="13" t="s">
        <v>63</v>
      </c>
      <c r="E90" s="15" t="s">
        <v>35</v>
      </c>
      <c r="F90" s="12">
        <v>1</v>
      </c>
      <c r="G90" s="62" t="s">
        <v>312</v>
      </c>
      <c r="H90" s="14" t="s">
        <v>63</v>
      </c>
      <c r="I90" s="14" t="s">
        <v>63</v>
      </c>
      <c r="J90" s="7">
        <v>46371</v>
      </c>
      <c r="L90" s="11">
        <f ca="1">Tabela4[[#This Row],[Prazo
Entrega]]-TODAY()</f>
        <v>141</v>
      </c>
      <c r="M90" t="str">
        <f t="shared" ref="M90:M97" ca="1" si="12">IF(L90&lt;0,"ATRASADO",IF(L90&lt;=15,"ATENÇÃO","NO PRAZO"))</f>
        <v>NO PRAZO</v>
      </c>
      <c r="N90" s="14" t="s">
        <v>63</v>
      </c>
      <c r="O90" s="9">
        <v>46264</v>
      </c>
      <c r="P90" s="1" t="s">
        <v>75</v>
      </c>
      <c r="Q90" t="s">
        <v>94</v>
      </c>
    </row>
    <row r="91" spans="1:17" hidden="1" x14ac:dyDescent="0.25">
      <c r="A91" s="13">
        <v>2345</v>
      </c>
      <c r="B91" s="13">
        <v>3</v>
      </c>
      <c r="C91" s="13" t="s">
        <v>63</v>
      </c>
      <c r="D91" s="13" t="s">
        <v>63</v>
      </c>
      <c r="E91" s="15" t="s">
        <v>35</v>
      </c>
      <c r="F91" s="12">
        <v>1</v>
      </c>
      <c r="G91" s="62" t="s">
        <v>312</v>
      </c>
      <c r="H91" s="14" t="s">
        <v>63</v>
      </c>
      <c r="I91" s="14" t="s">
        <v>63</v>
      </c>
      <c r="J91" s="7">
        <v>46371</v>
      </c>
      <c r="L91" s="11">
        <f ca="1">Tabela4[[#This Row],[Prazo
Entrega]]-TODAY()</f>
        <v>141</v>
      </c>
      <c r="M91" t="str">
        <f t="shared" ca="1" si="12"/>
        <v>NO PRAZO</v>
      </c>
      <c r="N91" s="14" t="s">
        <v>63</v>
      </c>
      <c r="O91" s="9">
        <v>46264</v>
      </c>
      <c r="P91" s="1" t="s">
        <v>75</v>
      </c>
      <c r="Q91" t="s">
        <v>94</v>
      </c>
    </row>
    <row r="92" spans="1:17" hidden="1" x14ac:dyDescent="0.25">
      <c r="A92" s="13">
        <v>2345</v>
      </c>
      <c r="B92" s="13">
        <v>4</v>
      </c>
      <c r="C92" s="13" t="s">
        <v>63</v>
      </c>
      <c r="D92" s="13" t="s">
        <v>63</v>
      </c>
      <c r="E92" s="15" t="s">
        <v>35</v>
      </c>
      <c r="F92" s="12">
        <v>1</v>
      </c>
      <c r="G92" s="62" t="s">
        <v>313</v>
      </c>
      <c r="H92" s="14" t="s">
        <v>63</v>
      </c>
      <c r="I92" s="14" t="s">
        <v>63</v>
      </c>
      <c r="J92" s="7">
        <v>46371</v>
      </c>
      <c r="L92" s="11">
        <f ca="1">Tabela4[[#This Row],[Prazo
Entrega]]-TODAY()</f>
        <v>141</v>
      </c>
      <c r="M92" t="str">
        <f t="shared" ca="1" si="12"/>
        <v>NO PRAZO</v>
      </c>
      <c r="N92" s="14" t="s">
        <v>63</v>
      </c>
      <c r="O92" s="9">
        <v>46264</v>
      </c>
      <c r="P92" s="1" t="s">
        <v>75</v>
      </c>
      <c r="Q92" t="s">
        <v>94</v>
      </c>
    </row>
    <row r="93" spans="1:17" hidden="1" x14ac:dyDescent="0.25">
      <c r="A93" s="13">
        <v>2345</v>
      </c>
      <c r="B93" s="13">
        <v>5</v>
      </c>
      <c r="C93" s="13" t="s">
        <v>63</v>
      </c>
      <c r="D93" s="13" t="s">
        <v>63</v>
      </c>
      <c r="E93" s="15" t="s">
        <v>35</v>
      </c>
      <c r="F93" s="12">
        <v>1</v>
      </c>
      <c r="G93" s="62" t="s">
        <v>313</v>
      </c>
      <c r="H93" s="14" t="s">
        <v>63</v>
      </c>
      <c r="I93" s="14" t="s">
        <v>63</v>
      </c>
      <c r="J93" s="7">
        <v>46371</v>
      </c>
      <c r="L93" s="11">
        <f ca="1">Tabela4[[#This Row],[Prazo
Entrega]]-TODAY()</f>
        <v>141</v>
      </c>
      <c r="M93" t="str">
        <f t="shared" ca="1" si="12"/>
        <v>NO PRAZO</v>
      </c>
      <c r="N93" s="14" t="s">
        <v>63</v>
      </c>
      <c r="O93" s="9">
        <v>46264</v>
      </c>
      <c r="P93" s="1" t="s">
        <v>75</v>
      </c>
      <c r="Q93" t="s">
        <v>94</v>
      </c>
    </row>
    <row r="94" spans="1:17" hidden="1" x14ac:dyDescent="0.25">
      <c r="A94" s="13">
        <v>2345</v>
      </c>
      <c r="B94" s="13">
        <v>6</v>
      </c>
      <c r="C94" s="13" t="s">
        <v>63</v>
      </c>
      <c r="D94" s="13" t="s">
        <v>63</v>
      </c>
      <c r="E94" s="15" t="s">
        <v>35</v>
      </c>
      <c r="F94" s="12">
        <v>1</v>
      </c>
      <c r="G94" s="62" t="s">
        <v>314</v>
      </c>
      <c r="H94" s="14" t="s">
        <v>63</v>
      </c>
      <c r="I94" s="14" t="s">
        <v>63</v>
      </c>
      <c r="J94" s="7">
        <v>46371</v>
      </c>
      <c r="L94" s="11">
        <f ca="1">Tabela4[[#This Row],[Prazo
Entrega]]-TODAY()</f>
        <v>141</v>
      </c>
      <c r="M94" t="str">
        <f t="shared" ca="1" si="12"/>
        <v>NO PRAZO</v>
      </c>
      <c r="N94" s="14" t="s">
        <v>63</v>
      </c>
      <c r="O94" s="9">
        <v>46264</v>
      </c>
      <c r="P94" s="1" t="s">
        <v>75</v>
      </c>
      <c r="Q94" t="s">
        <v>94</v>
      </c>
    </row>
    <row r="95" spans="1:17" hidden="1" x14ac:dyDescent="0.25">
      <c r="A95" s="13">
        <v>2345</v>
      </c>
      <c r="B95" s="13">
        <v>7</v>
      </c>
      <c r="C95" s="13" t="s">
        <v>63</v>
      </c>
      <c r="D95" s="13" t="s">
        <v>63</v>
      </c>
      <c r="E95" s="15" t="s">
        <v>35</v>
      </c>
      <c r="F95" s="12">
        <v>1</v>
      </c>
      <c r="G95" s="62" t="s">
        <v>314</v>
      </c>
      <c r="H95" s="14" t="s">
        <v>63</v>
      </c>
      <c r="I95" s="14" t="s">
        <v>63</v>
      </c>
      <c r="J95" s="7">
        <v>46371</v>
      </c>
      <c r="L95" s="11">
        <f ca="1">Tabela4[[#This Row],[Prazo
Entrega]]-TODAY()</f>
        <v>141</v>
      </c>
      <c r="M95" t="str">
        <f t="shared" ca="1" si="12"/>
        <v>NO PRAZO</v>
      </c>
      <c r="N95" s="14" t="s">
        <v>63</v>
      </c>
      <c r="O95" s="9">
        <v>46264</v>
      </c>
      <c r="P95" s="1" t="s">
        <v>75</v>
      </c>
      <c r="Q95" t="s">
        <v>94</v>
      </c>
    </row>
    <row r="96" spans="1:17" hidden="1" x14ac:dyDescent="0.25">
      <c r="A96" s="13">
        <v>2345</v>
      </c>
      <c r="B96" s="13">
        <v>8</v>
      </c>
      <c r="C96" s="13" t="s">
        <v>63</v>
      </c>
      <c r="D96" s="13" t="s">
        <v>63</v>
      </c>
      <c r="E96" s="15" t="s">
        <v>35</v>
      </c>
      <c r="F96" s="12">
        <v>36</v>
      </c>
      <c r="G96" s="62" t="s">
        <v>315</v>
      </c>
      <c r="H96" s="14" t="s">
        <v>63</v>
      </c>
      <c r="I96" s="14" t="s">
        <v>63</v>
      </c>
      <c r="J96" s="7">
        <v>46371</v>
      </c>
      <c r="L96" s="11">
        <f ca="1">Tabela4[[#This Row],[Prazo
Entrega]]-TODAY()</f>
        <v>141</v>
      </c>
      <c r="M96" t="str">
        <f t="shared" ca="1" si="12"/>
        <v>NO PRAZO</v>
      </c>
      <c r="N96" s="14" t="s">
        <v>63</v>
      </c>
      <c r="O96" s="9">
        <v>46264</v>
      </c>
      <c r="P96" s="1" t="s">
        <v>75</v>
      </c>
      <c r="Q96" t="s">
        <v>94</v>
      </c>
    </row>
    <row r="97" spans="1:17" hidden="1" x14ac:dyDescent="0.25">
      <c r="A97" s="13">
        <v>2345</v>
      </c>
      <c r="B97" s="13">
        <v>9</v>
      </c>
      <c r="C97" s="13" t="s">
        <v>63</v>
      </c>
      <c r="D97" s="13" t="s">
        <v>63</v>
      </c>
      <c r="E97" s="15" t="s">
        <v>35</v>
      </c>
      <c r="F97" s="12">
        <v>36</v>
      </c>
      <c r="G97" s="62" t="s">
        <v>316</v>
      </c>
      <c r="H97" s="14" t="s">
        <v>63</v>
      </c>
      <c r="I97" s="14" t="s">
        <v>63</v>
      </c>
      <c r="J97" s="7">
        <v>46371</v>
      </c>
      <c r="L97" s="11">
        <f ca="1">Tabela4[[#This Row],[Prazo
Entrega]]-TODAY()</f>
        <v>141</v>
      </c>
      <c r="M97" t="str">
        <f t="shared" ca="1" si="12"/>
        <v>NO PRAZO</v>
      </c>
      <c r="N97" s="14" t="s">
        <v>63</v>
      </c>
      <c r="O97" s="9">
        <v>46264</v>
      </c>
      <c r="P97" s="1" t="s">
        <v>75</v>
      </c>
      <c r="Q97" t="s">
        <v>94</v>
      </c>
    </row>
    <row r="98" spans="1:17" hidden="1" x14ac:dyDescent="0.25">
      <c r="A98" s="13">
        <v>2348</v>
      </c>
      <c r="B98" s="13">
        <v>9</v>
      </c>
      <c r="C98" s="13" t="s">
        <v>63</v>
      </c>
      <c r="D98" s="13" t="s">
        <v>63</v>
      </c>
      <c r="E98" s="17" t="s">
        <v>578</v>
      </c>
      <c r="F98" s="63">
        <v>2</v>
      </c>
      <c r="G98" s="62" t="s">
        <v>318</v>
      </c>
      <c r="H98" s="14" t="s">
        <v>63</v>
      </c>
      <c r="I98" s="14" t="s">
        <v>63</v>
      </c>
      <c r="J98" s="7">
        <v>46297</v>
      </c>
      <c r="L98" s="11">
        <f ca="1">Tabela4[[#This Row],[Prazo
Entrega]]-TODAY()</f>
        <v>67</v>
      </c>
      <c r="M98" t="str">
        <f t="shared" ref="M98:M103" ca="1" si="13">IF(L98&lt;0,"ATRASADO",IF(L98&lt;=15,"ATENÇÃO","NO PRAZO"))</f>
        <v>NO PRAZO</v>
      </c>
      <c r="N98" s="14" t="s">
        <v>63</v>
      </c>
      <c r="O98" s="9">
        <v>46264</v>
      </c>
      <c r="P98" s="1" t="s">
        <v>75</v>
      </c>
      <c r="Q98" t="s">
        <v>94</v>
      </c>
    </row>
    <row r="99" spans="1:17" hidden="1" x14ac:dyDescent="0.25">
      <c r="A99" s="13">
        <v>2348</v>
      </c>
      <c r="B99" s="13">
        <v>10</v>
      </c>
      <c r="C99" s="13" t="s">
        <v>63</v>
      </c>
      <c r="D99" s="13" t="s">
        <v>63</v>
      </c>
      <c r="E99" s="17" t="s">
        <v>578</v>
      </c>
      <c r="F99" s="63">
        <v>2</v>
      </c>
      <c r="G99" s="62" t="s">
        <v>318</v>
      </c>
      <c r="H99" s="14" t="s">
        <v>63</v>
      </c>
      <c r="I99" s="14" t="s">
        <v>63</v>
      </c>
      <c r="J99" s="7">
        <v>46297</v>
      </c>
      <c r="L99" s="11">
        <f ca="1">Tabela4[[#This Row],[Prazo
Entrega]]-TODAY()</f>
        <v>67</v>
      </c>
      <c r="M99" t="str">
        <f t="shared" ca="1" si="13"/>
        <v>NO PRAZO</v>
      </c>
      <c r="N99" s="14" t="s">
        <v>63</v>
      </c>
      <c r="O99" s="9">
        <v>46264</v>
      </c>
      <c r="P99" s="1" t="s">
        <v>75</v>
      </c>
      <c r="Q99" t="s">
        <v>94</v>
      </c>
    </row>
    <row r="100" spans="1:17" hidden="1" x14ac:dyDescent="0.25">
      <c r="A100" s="13">
        <v>2348</v>
      </c>
      <c r="B100" s="13">
        <v>11</v>
      </c>
      <c r="C100" s="13" t="s">
        <v>63</v>
      </c>
      <c r="D100" s="13" t="s">
        <v>63</v>
      </c>
      <c r="E100" s="17" t="s">
        <v>578</v>
      </c>
      <c r="F100" s="63">
        <v>2</v>
      </c>
      <c r="G100" s="62" t="s">
        <v>318</v>
      </c>
      <c r="H100" s="14" t="s">
        <v>63</v>
      </c>
      <c r="I100" s="14" t="s">
        <v>63</v>
      </c>
      <c r="J100" s="7">
        <v>46297</v>
      </c>
      <c r="L100" s="11">
        <f ca="1">Tabela4[[#This Row],[Prazo
Entrega]]-TODAY()</f>
        <v>67</v>
      </c>
      <c r="M100" t="str">
        <f t="shared" ca="1" si="13"/>
        <v>NO PRAZO</v>
      </c>
      <c r="N100" s="14" t="s">
        <v>63</v>
      </c>
      <c r="O100" s="9">
        <v>46264</v>
      </c>
      <c r="P100" s="1" t="s">
        <v>75</v>
      </c>
      <c r="Q100" t="s">
        <v>94</v>
      </c>
    </row>
    <row r="101" spans="1:17" hidden="1" x14ac:dyDescent="0.25">
      <c r="A101" s="13">
        <v>2348</v>
      </c>
      <c r="B101" s="13">
        <v>12</v>
      </c>
      <c r="C101" s="13" t="s">
        <v>63</v>
      </c>
      <c r="D101" s="13" t="s">
        <v>63</v>
      </c>
      <c r="E101" s="17" t="s">
        <v>578</v>
      </c>
      <c r="F101" s="63">
        <v>1</v>
      </c>
      <c r="G101" s="62" t="s">
        <v>319</v>
      </c>
      <c r="H101" s="14" t="s">
        <v>63</v>
      </c>
      <c r="I101" s="14" t="s">
        <v>63</v>
      </c>
      <c r="J101" s="7">
        <v>46297</v>
      </c>
      <c r="L101" s="11">
        <f ca="1">Tabela4[[#This Row],[Prazo
Entrega]]-TODAY()</f>
        <v>67</v>
      </c>
      <c r="M101" t="str">
        <f t="shared" ca="1" si="13"/>
        <v>NO PRAZO</v>
      </c>
      <c r="N101" s="14" t="s">
        <v>63</v>
      </c>
      <c r="O101" s="9">
        <v>46264</v>
      </c>
      <c r="P101" s="1" t="s">
        <v>75</v>
      </c>
      <c r="Q101" t="s">
        <v>94</v>
      </c>
    </row>
    <row r="102" spans="1:17" hidden="1" x14ac:dyDescent="0.25">
      <c r="A102" s="13">
        <v>2348</v>
      </c>
      <c r="B102" s="13">
        <v>13</v>
      </c>
      <c r="C102" s="13" t="s">
        <v>63</v>
      </c>
      <c r="D102" s="13" t="s">
        <v>63</v>
      </c>
      <c r="E102" s="17" t="s">
        <v>578</v>
      </c>
      <c r="F102" s="63">
        <v>1</v>
      </c>
      <c r="G102" s="62" t="s">
        <v>319</v>
      </c>
      <c r="H102" s="14" t="s">
        <v>63</v>
      </c>
      <c r="I102" s="14" t="s">
        <v>63</v>
      </c>
      <c r="J102" s="7">
        <v>46297</v>
      </c>
      <c r="L102" s="11">
        <f ca="1">Tabela4[[#This Row],[Prazo
Entrega]]-TODAY()</f>
        <v>67</v>
      </c>
      <c r="M102" t="str">
        <f t="shared" ca="1" si="13"/>
        <v>NO PRAZO</v>
      </c>
      <c r="N102" s="14" t="s">
        <v>63</v>
      </c>
      <c r="O102" s="9">
        <v>46264</v>
      </c>
      <c r="P102" s="1" t="s">
        <v>75</v>
      </c>
      <c r="Q102" t="s">
        <v>94</v>
      </c>
    </row>
    <row r="103" spans="1:17" hidden="1" x14ac:dyDescent="0.25">
      <c r="A103" s="13">
        <v>2348</v>
      </c>
      <c r="B103" s="13">
        <v>14</v>
      </c>
      <c r="C103" s="13" t="s">
        <v>63</v>
      </c>
      <c r="D103" s="13" t="s">
        <v>63</v>
      </c>
      <c r="E103" s="17" t="s">
        <v>578</v>
      </c>
      <c r="F103" s="63">
        <v>8</v>
      </c>
      <c r="G103" s="62" t="s">
        <v>317</v>
      </c>
      <c r="H103" s="14" t="s">
        <v>63</v>
      </c>
      <c r="I103" s="14" t="s">
        <v>63</v>
      </c>
      <c r="J103" s="7">
        <v>46297</v>
      </c>
      <c r="L103" s="11">
        <f ca="1">Tabela4[[#This Row],[Prazo
Entrega]]-TODAY()</f>
        <v>67</v>
      </c>
      <c r="M103" t="str">
        <f t="shared" ca="1" si="13"/>
        <v>NO PRAZO</v>
      </c>
      <c r="N103" s="14" t="s">
        <v>63</v>
      </c>
      <c r="O103" s="9">
        <v>46264</v>
      </c>
      <c r="P103" s="1" t="s">
        <v>75</v>
      </c>
      <c r="Q103" t="s">
        <v>94</v>
      </c>
    </row>
    <row r="104" spans="1:17" hidden="1" x14ac:dyDescent="0.25">
      <c r="A104" s="13">
        <v>2349</v>
      </c>
      <c r="B104" s="64">
        <v>6</v>
      </c>
      <c r="C104" s="65" t="s">
        <v>63</v>
      </c>
      <c r="D104" s="65" t="s">
        <v>63</v>
      </c>
      <c r="E104" s="66" t="s">
        <v>579</v>
      </c>
      <c r="F104" s="67">
        <v>1</v>
      </c>
      <c r="G104" s="68" t="s">
        <v>322</v>
      </c>
      <c r="H104" s="14" t="s">
        <v>63</v>
      </c>
      <c r="I104" s="14" t="s">
        <v>63</v>
      </c>
      <c r="J104" s="69">
        <v>46356</v>
      </c>
      <c r="K104" s="70"/>
      <c r="L104" s="71">
        <f ca="1">Tabela4[[#This Row],[Prazo
Entrega]]-TODAY()</f>
        <v>126</v>
      </c>
      <c r="M104" s="70" t="str">
        <f t="shared" ref="M104:M123" ca="1" si="14">IF(L104&lt;0,"ATRASADO",IF(L104&lt;=15,"ATENÇÃO","NO PRAZO"))</f>
        <v>NO PRAZO</v>
      </c>
      <c r="N104" s="14" t="s">
        <v>63</v>
      </c>
      <c r="O104" s="9">
        <v>46264</v>
      </c>
      <c r="P104" s="1" t="s">
        <v>75</v>
      </c>
      <c r="Q104" t="s">
        <v>94</v>
      </c>
    </row>
    <row r="105" spans="1:17" hidden="1" x14ac:dyDescent="0.25">
      <c r="A105" s="13">
        <v>2349</v>
      </c>
      <c r="B105" s="64">
        <v>7</v>
      </c>
      <c r="C105" s="65" t="s">
        <v>63</v>
      </c>
      <c r="D105" s="65" t="s">
        <v>63</v>
      </c>
      <c r="E105" s="66" t="s">
        <v>579</v>
      </c>
      <c r="F105" s="67">
        <v>1</v>
      </c>
      <c r="G105" s="68" t="s">
        <v>322</v>
      </c>
      <c r="H105" s="14" t="s">
        <v>63</v>
      </c>
      <c r="I105" s="14" t="s">
        <v>63</v>
      </c>
      <c r="J105" s="69">
        <v>46356</v>
      </c>
      <c r="K105" s="70"/>
      <c r="L105" s="71">
        <f ca="1">Tabela4[[#This Row],[Prazo
Entrega]]-TODAY()</f>
        <v>126</v>
      </c>
      <c r="M105" s="70" t="str">
        <f t="shared" ca="1" si="14"/>
        <v>NO PRAZO</v>
      </c>
      <c r="N105" s="14" t="s">
        <v>63</v>
      </c>
      <c r="O105" s="9">
        <v>46264</v>
      </c>
      <c r="P105" s="1" t="s">
        <v>75</v>
      </c>
      <c r="Q105" t="s">
        <v>94</v>
      </c>
    </row>
    <row r="106" spans="1:17" hidden="1" x14ac:dyDescent="0.25">
      <c r="A106" s="13">
        <v>2349</v>
      </c>
      <c r="B106" s="64">
        <v>8</v>
      </c>
      <c r="C106" s="65" t="s">
        <v>63</v>
      </c>
      <c r="D106" s="65" t="s">
        <v>63</v>
      </c>
      <c r="E106" s="66" t="s">
        <v>579</v>
      </c>
      <c r="F106" s="67">
        <v>1</v>
      </c>
      <c r="G106" s="68" t="s">
        <v>322</v>
      </c>
      <c r="H106" s="14" t="s">
        <v>63</v>
      </c>
      <c r="I106" s="14" t="s">
        <v>63</v>
      </c>
      <c r="J106" s="69">
        <v>46356</v>
      </c>
      <c r="K106" s="70"/>
      <c r="L106" s="71">
        <f ca="1">Tabela4[[#This Row],[Prazo
Entrega]]-TODAY()</f>
        <v>126</v>
      </c>
      <c r="M106" s="70" t="str">
        <f t="shared" ca="1" si="14"/>
        <v>NO PRAZO</v>
      </c>
      <c r="N106" s="14" t="s">
        <v>63</v>
      </c>
      <c r="O106" s="9">
        <v>46264</v>
      </c>
      <c r="P106" s="1" t="s">
        <v>75</v>
      </c>
      <c r="Q106" t="s">
        <v>94</v>
      </c>
    </row>
    <row r="107" spans="1:17" hidden="1" x14ac:dyDescent="0.25">
      <c r="A107" s="13">
        <v>2349</v>
      </c>
      <c r="B107" s="64">
        <v>9</v>
      </c>
      <c r="C107" s="65" t="s">
        <v>63</v>
      </c>
      <c r="D107" s="65" t="s">
        <v>63</v>
      </c>
      <c r="E107" s="66" t="s">
        <v>579</v>
      </c>
      <c r="F107" s="67">
        <v>1</v>
      </c>
      <c r="G107" s="68" t="s">
        <v>322</v>
      </c>
      <c r="H107" s="14" t="s">
        <v>63</v>
      </c>
      <c r="I107" s="14" t="s">
        <v>63</v>
      </c>
      <c r="J107" s="69">
        <v>46356</v>
      </c>
      <c r="K107" s="70"/>
      <c r="L107" s="71">
        <f ca="1">Tabela4[[#This Row],[Prazo
Entrega]]-TODAY()</f>
        <v>126</v>
      </c>
      <c r="M107" s="70" t="str">
        <f t="shared" ca="1" si="14"/>
        <v>NO PRAZO</v>
      </c>
      <c r="N107" s="14" t="s">
        <v>63</v>
      </c>
      <c r="O107" s="9">
        <v>46264</v>
      </c>
      <c r="P107" s="1" t="s">
        <v>75</v>
      </c>
      <c r="Q107" t="s">
        <v>94</v>
      </c>
    </row>
    <row r="108" spans="1:17" hidden="1" x14ac:dyDescent="0.25">
      <c r="A108" s="13">
        <v>2349</v>
      </c>
      <c r="B108" s="64">
        <v>10</v>
      </c>
      <c r="C108" s="12">
        <v>1343012</v>
      </c>
      <c r="D108" s="65" t="s">
        <v>63</v>
      </c>
      <c r="E108" s="66" t="s">
        <v>579</v>
      </c>
      <c r="F108" s="67">
        <v>1</v>
      </c>
      <c r="G108" s="68" t="s">
        <v>323</v>
      </c>
      <c r="H108" s="69">
        <v>46275</v>
      </c>
      <c r="I108" s="70"/>
      <c r="J108" s="69">
        <v>46356</v>
      </c>
      <c r="K108" s="70"/>
      <c r="L108" s="71">
        <f ca="1">Tabela4[[#This Row],[Prazo
Entrega]]-TODAY()</f>
        <v>126</v>
      </c>
      <c r="M108" s="70" t="str">
        <f t="shared" ca="1" si="14"/>
        <v>NO PRAZO</v>
      </c>
      <c r="N108" s="14" t="s">
        <v>63</v>
      </c>
      <c r="O108" s="9" t="s">
        <v>56</v>
      </c>
      <c r="P108" s="1" t="s">
        <v>56</v>
      </c>
      <c r="Q108" t="s">
        <v>48</v>
      </c>
    </row>
    <row r="109" spans="1:17" hidden="1" x14ac:dyDescent="0.25">
      <c r="A109" s="13">
        <v>2349</v>
      </c>
      <c r="B109" s="64">
        <v>11</v>
      </c>
      <c r="C109" s="12">
        <v>1343012</v>
      </c>
      <c r="D109" s="65" t="s">
        <v>63</v>
      </c>
      <c r="E109" s="66" t="s">
        <v>579</v>
      </c>
      <c r="F109" s="67">
        <v>1</v>
      </c>
      <c r="G109" s="68" t="s">
        <v>323</v>
      </c>
      <c r="H109" s="69">
        <v>46275</v>
      </c>
      <c r="I109" s="70"/>
      <c r="J109" s="69">
        <v>46356</v>
      </c>
      <c r="K109" s="70"/>
      <c r="L109" s="71">
        <f ca="1">Tabela4[[#This Row],[Prazo
Entrega]]-TODAY()</f>
        <v>126</v>
      </c>
      <c r="M109" s="70" t="str">
        <f t="shared" ca="1" si="14"/>
        <v>NO PRAZO</v>
      </c>
      <c r="N109" s="14" t="s">
        <v>63</v>
      </c>
      <c r="O109" s="9" t="s">
        <v>56</v>
      </c>
      <c r="P109" s="1" t="s">
        <v>56</v>
      </c>
      <c r="Q109" t="s">
        <v>48</v>
      </c>
    </row>
    <row r="110" spans="1:17" hidden="1" x14ac:dyDescent="0.25">
      <c r="A110" s="13">
        <v>2349</v>
      </c>
      <c r="B110" s="64">
        <v>12</v>
      </c>
      <c r="C110" s="12">
        <v>1343012</v>
      </c>
      <c r="D110" s="65" t="s">
        <v>63</v>
      </c>
      <c r="E110" s="66" t="s">
        <v>579</v>
      </c>
      <c r="F110" s="67">
        <v>1</v>
      </c>
      <c r="G110" s="68" t="s">
        <v>323</v>
      </c>
      <c r="H110" s="69">
        <v>46275</v>
      </c>
      <c r="I110" s="70"/>
      <c r="J110" s="69">
        <v>46356</v>
      </c>
      <c r="K110" s="70"/>
      <c r="L110" s="71">
        <f ca="1">Tabela4[[#This Row],[Prazo
Entrega]]-TODAY()</f>
        <v>126</v>
      </c>
      <c r="M110" s="70" t="str">
        <f t="shared" ca="1" si="14"/>
        <v>NO PRAZO</v>
      </c>
      <c r="N110" s="14" t="s">
        <v>63</v>
      </c>
      <c r="O110" s="9" t="s">
        <v>56</v>
      </c>
      <c r="P110" s="1" t="s">
        <v>56</v>
      </c>
      <c r="Q110" t="s">
        <v>48</v>
      </c>
    </row>
    <row r="111" spans="1:17" hidden="1" x14ac:dyDescent="0.25">
      <c r="A111" s="13">
        <v>2349</v>
      </c>
      <c r="B111" s="64">
        <v>13</v>
      </c>
      <c r="C111" s="12">
        <v>1343012</v>
      </c>
      <c r="D111" s="65" t="s">
        <v>63</v>
      </c>
      <c r="E111" s="66" t="s">
        <v>579</v>
      </c>
      <c r="F111" s="67">
        <v>1</v>
      </c>
      <c r="G111" s="68" t="s">
        <v>323</v>
      </c>
      <c r="H111" s="69">
        <v>46275</v>
      </c>
      <c r="I111" s="70"/>
      <c r="J111" s="69">
        <v>46356</v>
      </c>
      <c r="K111" s="70"/>
      <c r="L111" s="71">
        <f ca="1">Tabela4[[#This Row],[Prazo
Entrega]]-TODAY()</f>
        <v>126</v>
      </c>
      <c r="M111" s="70" t="str">
        <f t="shared" ca="1" si="14"/>
        <v>NO PRAZO</v>
      </c>
      <c r="N111" s="14" t="s">
        <v>63</v>
      </c>
      <c r="O111" s="9" t="s">
        <v>56</v>
      </c>
      <c r="P111" s="1" t="s">
        <v>56</v>
      </c>
      <c r="Q111" t="s">
        <v>48</v>
      </c>
    </row>
    <row r="112" spans="1:17" hidden="1" x14ac:dyDescent="0.25">
      <c r="A112" s="13">
        <v>2349</v>
      </c>
      <c r="B112" s="64">
        <v>14</v>
      </c>
      <c r="C112" s="65" t="s">
        <v>63</v>
      </c>
      <c r="D112" s="65" t="s">
        <v>63</v>
      </c>
      <c r="E112" s="66" t="s">
        <v>579</v>
      </c>
      <c r="F112" s="67">
        <v>1</v>
      </c>
      <c r="G112" s="68" t="s">
        <v>320</v>
      </c>
      <c r="H112" s="14" t="s">
        <v>63</v>
      </c>
      <c r="I112" s="14" t="s">
        <v>63</v>
      </c>
      <c r="J112" s="69">
        <v>46356</v>
      </c>
      <c r="K112" s="70"/>
      <c r="L112" s="71">
        <f ca="1">Tabela4[[#This Row],[Prazo
Entrega]]-TODAY()</f>
        <v>126</v>
      </c>
      <c r="M112" s="70" t="str">
        <f t="shared" ca="1" si="14"/>
        <v>NO PRAZO</v>
      </c>
      <c r="N112" s="14" t="s">
        <v>63</v>
      </c>
      <c r="O112" s="9">
        <v>46264</v>
      </c>
      <c r="P112" s="1" t="s">
        <v>75</v>
      </c>
      <c r="Q112" t="s">
        <v>94</v>
      </c>
    </row>
    <row r="113" spans="1:17" hidden="1" x14ac:dyDescent="0.25">
      <c r="A113" s="13">
        <v>2349</v>
      </c>
      <c r="B113" s="64">
        <v>15</v>
      </c>
      <c r="C113" s="65" t="s">
        <v>63</v>
      </c>
      <c r="D113" s="65" t="s">
        <v>63</v>
      </c>
      <c r="E113" s="66" t="s">
        <v>579</v>
      </c>
      <c r="F113" s="67">
        <v>1</v>
      </c>
      <c r="G113" s="68" t="s">
        <v>320</v>
      </c>
      <c r="H113" s="14" t="s">
        <v>63</v>
      </c>
      <c r="I113" s="14" t="s">
        <v>63</v>
      </c>
      <c r="J113" s="69">
        <v>46356</v>
      </c>
      <c r="K113" s="70"/>
      <c r="L113" s="71">
        <f ca="1">Tabela4[[#This Row],[Prazo
Entrega]]-TODAY()</f>
        <v>126</v>
      </c>
      <c r="M113" s="70" t="str">
        <f t="shared" ca="1" si="14"/>
        <v>NO PRAZO</v>
      </c>
      <c r="N113" s="14" t="s">
        <v>63</v>
      </c>
      <c r="O113" s="9">
        <v>46264</v>
      </c>
      <c r="P113" s="1" t="s">
        <v>75</v>
      </c>
      <c r="Q113" t="s">
        <v>94</v>
      </c>
    </row>
    <row r="114" spans="1:17" hidden="1" x14ac:dyDescent="0.25">
      <c r="A114" s="13">
        <v>2349</v>
      </c>
      <c r="B114" s="64">
        <v>16</v>
      </c>
      <c r="C114" s="65" t="s">
        <v>63</v>
      </c>
      <c r="D114" s="65" t="s">
        <v>63</v>
      </c>
      <c r="E114" s="66" t="s">
        <v>579</v>
      </c>
      <c r="F114" s="67">
        <v>1</v>
      </c>
      <c r="G114" s="68" t="s">
        <v>320</v>
      </c>
      <c r="H114" s="14" t="s">
        <v>63</v>
      </c>
      <c r="I114" s="14" t="s">
        <v>63</v>
      </c>
      <c r="J114" s="69">
        <v>46356</v>
      </c>
      <c r="K114" s="70"/>
      <c r="L114" s="71">
        <f ca="1">Tabela4[[#This Row],[Prazo
Entrega]]-TODAY()</f>
        <v>126</v>
      </c>
      <c r="M114" s="70" t="str">
        <f t="shared" ca="1" si="14"/>
        <v>NO PRAZO</v>
      </c>
      <c r="N114" s="14" t="s">
        <v>63</v>
      </c>
      <c r="O114" s="9">
        <v>46264</v>
      </c>
      <c r="P114" s="1" t="s">
        <v>75</v>
      </c>
      <c r="Q114" t="s">
        <v>94</v>
      </c>
    </row>
    <row r="115" spans="1:17" hidden="1" x14ac:dyDescent="0.25">
      <c r="A115" s="13">
        <v>2349</v>
      </c>
      <c r="B115" s="64">
        <v>17</v>
      </c>
      <c r="C115" s="65" t="s">
        <v>63</v>
      </c>
      <c r="D115" s="65" t="s">
        <v>63</v>
      </c>
      <c r="E115" s="66" t="s">
        <v>579</v>
      </c>
      <c r="F115" s="67">
        <v>1</v>
      </c>
      <c r="G115" s="68" t="s">
        <v>320</v>
      </c>
      <c r="H115" s="14" t="s">
        <v>63</v>
      </c>
      <c r="I115" s="14" t="s">
        <v>63</v>
      </c>
      <c r="J115" s="69">
        <v>46356</v>
      </c>
      <c r="K115" s="70"/>
      <c r="L115" s="71">
        <f ca="1">Tabela4[[#This Row],[Prazo
Entrega]]-TODAY()</f>
        <v>126</v>
      </c>
      <c r="M115" s="70" t="str">
        <f t="shared" ca="1" si="14"/>
        <v>NO PRAZO</v>
      </c>
      <c r="N115" s="14" t="s">
        <v>63</v>
      </c>
      <c r="O115" s="9">
        <v>46264</v>
      </c>
      <c r="P115" s="1" t="s">
        <v>75</v>
      </c>
      <c r="Q115" t="s">
        <v>94</v>
      </c>
    </row>
    <row r="116" spans="1:17" hidden="1" x14ac:dyDescent="0.25">
      <c r="A116" s="13">
        <v>2349</v>
      </c>
      <c r="B116" s="64">
        <v>18</v>
      </c>
      <c r="C116" s="65" t="s">
        <v>63</v>
      </c>
      <c r="D116" s="65" t="s">
        <v>63</v>
      </c>
      <c r="E116" s="66" t="s">
        <v>579</v>
      </c>
      <c r="F116" s="67">
        <v>1</v>
      </c>
      <c r="G116" s="68" t="s">
        <v>320</v>
      </c>
      <c r="H116" s="14" t="s">
        <v>63</v>
      </c>
      <c r="I116" s="14" t="s">
        <v>63</v>
      </c>
      <c r="J116" s="69">
        <v>46356</v>
      </c>
      <c r="K116" s="70"/>
      <c r="L116" s="71">
        <f ca="1">Tabela4[[#This Row],[Prazo
Entrega]]-TODAY()</f>
        <v>126</v>
      </c>
      <c r="M116" s="70" t="str">
        <f t="shared" ca="1" si="14"/>
        <v>NO PRAZO</v>
      </c>
      <c r="N116" s="14" t="s">
        <v>63</v>
      </c>
      <c r="O116" s="9">
        <v>46264</v>
      </c>
      <c r="P116" s="1" t="s">
        <v>75</v>
      </c>
      <c r="Q116" t="s">
        <v>94</v>
      </c>
    </row>
    <row r="117" spans="1:17" hidden="1" x14ac:dyDescent="0.25">
      <c r="A117" s="13">
        <v>2349</v>
      </c>
      <c r="B117" s="64">
        <v>19</v>
      </c>
      <c r="C117" s="65" t="s">
        <v>63</v>
      </c>
      <c r="D117" s="65" t="s">
        <v>63</v>
      </c>
      <c r="E117" s="66" t="s">
        <v>579</v>
      </c>
      <c r="F117" s="67">
        <v>1</v>
      </c>
      <c r="G117" s="68" t="s">
        <v>320</v>
      </c>
      <c r="H117" s="14" t="s">
        <v>63</v>
      </c>
      <c r="I117" s="14" t="s">
        <v>63</v>
      </c>
      <c r="J117" s="69">
        <v>46356</v>
      </c>
      <c r="K117" s="70"/>
      <c r="L117" s="71">
        <f ca="1">Tabela4[[#This Row],[Prazo
Entrega]]-TODAY()</f>
        <v>126</v>
      </c>
      <c r="M117" s="70" t="str">
        <f t="shared" ca="1" si="14"/>
        <v>NO PRAZO</v>
      </c>
      <c r="N117" s="14" t="s">
        <v>63</v>
      </c>
      <c r="O117" s="9">
        <v>46264</v>
      </c>
      <c r="P117" s="1" t="s">
        <v>75</v>
      </c>
      <c r="Q117" t="s">
        <v>94</v>
      </c>
    </row>
    <row r="118" spans="1:17" hidden="1" x14ac:dyDescent="0.25">
      <c r="A118" s="13">
        <v>2349</v>
      </c>
      <c r="B118" s="64">
        <v>20</v>
      </c>
      <c r="C118" s="65" t="s">
        <v>63</v>
      </c>
      <c r="D118" s="65" t="s">
        <v>63</v>
      </c>
      <c r="E118" s="66" t="s">
        <v>579</v>
      </c>
      <c r="F118" s="67">
        <v>1</v>
      </c>
      <c r="G118" s="68" t="s">
        <v>320</v>
      </c>
      <c r="H118" s="14" t="s">
        <v>63</v>
      </c>
      <c r="I118" s="14" t="s">
        <v>63</v>
      </c>
      <c r="J118" s="69">
        <v>46356</v>
      </c>
      <c r="K118" s="70"/>
      <c r="L118" s="71">
        <f ca="1">Tabela4[[#This Row],[Prazo
Entrega]]-TODAY()</f>
        <v>126</v>
      </c>
      <c r="M118" s="70" t="str">
        <f t="shared" ca="1" si="14"/>
        <v>NO PRAZO</v>
      </c>
      <c r="N118" s="14" t="s">
        <v>63</v>
      </c>
      <c r="O118" s="9">
        <v>46264</v>
      </c>
      <c r="P118" s="1" t="s">
        <v>75</v>
      </c>
      <c r="Q118" t="s">
        <v>94</v>
      </c>
    </row>
    <row r="119" spans="1:17" hidden="1" x14ac:dyDescent="0.25">
      <c r="A119" s="13">
        <v>2349</v>
      </c>
      <c r="B119" s="64">
        <v>21</v>
      </c>
      <c r="C119" s="65" t="s">
        <v>63</v>
      </c>
      <c r="D119" s="65" t="s">
        <v>63</v>
      </c>
      <c r="E119" s="66" t="s">
        <v>579</v>
      </c>
      <c r="F119" s="67">
        <v>1</v>
      </c>
      <c r="G119" s="68" t="s">
        <v>320</v>
      </c>
      <c r="H119" s="14" t="s">
        <v>63</v>
      </c>
      <c r="I119" s="14" t="s">
        <v>63</v>
      </c>
      <c r="J119" s="69">
        <v>46356</v>
      </c>
      <c r="K119" s="70"/>
      <c r="L119" s="71">
        <f ca="1">Tabela4[[#This Row],[Prazo
Entrega]]-TODAY()</f>
        <v>126</v>
      </c>
      <c r="M119" s="70" t="str">
        <f t="shared" ca="1" si="14"/>
        <v>NO PRAZO</v>
      </c>
      <c r="N119" s="14" t="s">
        <v>63</v>
      </c>
      <c r="O119" s="9">
        <v>46264</v>
      </c>
      <c r="P119" s="1" t="s">
        <v>75</v>
      </c>
      <c r="Q119" t="s">
        <v>94</v>
      </c>
    </row>
    <row r="120" spans="1:17" hidden="1" x14ac:dyDescent="0.25">
      <c r="A120" s="13">
        <v>2349</v>
      </c>
      <c r="B120" s="64">
        <v>23</v>
      </c>
      <c r="C120" s="65" t="s">
        <v>63</v>
      </c>
      <c r="D120" s="65" t="s">
        <v>63</v>
      </c>
      <c r="E120" s="66" t="s">
        <v>579</v>
      </c>
      <c r="F120" s="67">
        <v>1</v>
      </c>
      <c r="G120" s="68" t="s">
        <v>321</v>
      </c>
      <c r="H120" s="14" t="s">
        <v>63</v>
      </c>
      <c r="I120" s="14" t="s">
        <v>63</v>
      </c>
      <c r="J120" s="69">
        <v>46356</v>
      </c>
      <c r="K120" s="70"/>
      <c r="L120" s="71">
        <f ca="1">Tabela4[[#This Row],[Prazo
Entrega]]-TODAY()</f>
        <v>126</v>
      </c>
      <c r="M120" s="70" t="str">
        <f t="shared" ca="1" si="14"/>
        <v>NO PRAZO</v>
      </c>
      <c r="N120" s="14" t="s">
        <v>63</v>
      </c>
      <c r="O120" s="9">
        <v>46264</v>
      </c>
      <c r="P120" s="1" t="s">
        <v>75</v>
      </c>
      <c r="Q120" t="s">
        <v>94</v>
      </c>
    </row>
    <row r="121" spans="1:17" hidden="1" x14ac:dyDescent="0.25">
      <c r="A121" s="13">
        <v>2349</v>
      </c>
      <c r="B121" s="64">
        <v>24</v>
      </c>
      <c r="C121" s="65" t="s">
        <v>63</v>
      </c>
      <c r="D121" s="65" t="s">
        <v>63</v>
      </c>
      <c r="E121" s="66" t="s">
        <v>579</v>
      </c>
      <c r="F121" s="67">
        <v>1</v>
      </c>
      <c r="G121" s="68" t="s">
        <v>321</v>
      </c>
      <c r="H121" s="14" t="s">
        <v>63</v>
      </c>
      <c r="I121" s="14" t="s">
        <v>63</v>
      </c>
      <c r="J121" s="69">
        <v>46356</v>
      </c>
      <c r="K121" s="70"/>
      <c r="L121" s="71">
        <f ca="1">Tabela4[[#This Row],[Prazo
Entrega]]-TODAY()</f>
        <v>126</v>
      </c>
      <c r="M121" s="70" t="str">
        <f t="shared" ca="1" si="14"/>
        <v>NO PRAZO</v>
      </c>
      <c r="N121" s="14" t="s">
        <v>63</v>
      </c>
      <c r="O121" s="9">
        <v>46264</v>
      </c>
      <c r="P121" s="1" t="s">
        <v>75</v>
      </c>
      <c r="Q121" t="s">
        <v>94</v>
      </c>
    </row>
    <row r="122" spans="1:17" hidden="1" x14ac:dyDescent="0.25">
      <c r="A122" s="13">
        <v>2349</v>
      </c>
      <c r="B122" s="64">
        <v>25</v>
      </c>
      <c r="C122" s="65" t="s">
        <v>63</v>
      </c>
      <c r="D122" s="65" t="s">
        <v>63</v>
      </c>
      <c r="E122" s="66" t="s">
        <v>579</v>
      </c>
      <c r="F122" s="67">
        <v>1</v>
      </c>
      <c r="G122" s="68" t="s">
        <v>321</v>
      </c>
      <c r="H122" s="14" t="s">
        <v>63</v>
      </c>
      <c r="I122" s="14" t="s">
        <v>63</v>
      </c>
      <c r="J122" s="69">
        <v>46356</v>
      </c>
      <c r="K122" s="70"/>
      <c r="L122" s="71">
        <f ca="1">Tabela4[[#This Row],[Prazo
Entrega]]-TODAY()</f>
        <v>126</v>
      </c>
      <c r="M122" s="70" t="str">
        <f t="shared" ca="1" si="14"/>
        <v>NO PRAZO</v>
      </c>
      <c r="N122" s="14" t="s">
        <v>63</v>
      </c>
      <c r="O122" s="9">
        <v>46264</v>
      </c>
      <c r="P122" s="1" t="s">
        <v>75</v>
      </c>
      <c r="Q122" t="s">
        <v>94</v>
      </c>
    </row>
    <row r="123" spans="1:17" hidden="1" x14ac:dyDescent="0.25">
      <c r="A123" s="13">
        <v>2349</v>
      </c>
      <c r="B123" s="64">
        <v>26</v>
      </c>
      <c r="C123" s="65" t="s">
        <v>63</v>
      </c>
      <c r="D123" s="65" t="s">
        <v>63</v>
      </c>
      <c r="E123" s="66" t="s">
        <v>579</v>
      </c>
      <c r="F123" s="67">
        <v>1</v>
      </c>
      <c r="G123" s="68" t="s">
        <v>321</v>
      </c>
      <c r="H123" s="14" t="s">
        <v>63</v>
      </c>
      <c r="I123" s="14" t="s">
        <v>63</v>
      </c>
      <c r="J123" s="69">
        <v>46356</v>
      </c>
      <c r="K123" s="70"/>
      <c r="L123" s="71">
        <f ca="1">Tabela4[[#This Row],[Prazo
Entrega]]-TODAY()</f>
        <v>126</v>
      </c>
      <c r="M123" s="70" t="str">
        <f t="shared" ca="1" si="14"/>
        <v>NO PRAZO</v>
      </c>
      <c r="N123" s="14" t="s">
        <v>63</v>
      </c>
      <c r="O123" s="9">
        <v>46264</v>
      </c>
      <c r="P123" s="1" t="s">
        <v>75</v>
      </c>
      <c r="Q123" t="s">
        <v>94</v>
      </c>
    </row>
    <row r="124" spans="1:17" hidden="1" x14ac:dyDescent="0.25">
      <c r="A124" s="13">
        <v>2354</v>
      </c>
      <c r="B124" s="13">
        <v>6</v>
      </c>
      <c r="C124" s="12">
        <v>27639</v>
      </c>
      <c r="D124" s="65" t="s">
        <v>63</v>
      </c>
      <c r="E124" s="17" t="s">
        <v>576</v>
      </c>
      <c r="F124" s="12">
        <v>1</v>
      </c>
      <c r="G124" s="6" t="s">
        <v>530</v>
      </c>
      <c r="H124" s="7">
        <v>46295</v>
      </c>
      <c r="I124" s="14" t="s">
        <v>63</v>
      </c>
      <c r="J124" s="7">
        <v>46386</v>
      </c>
      <c r="L124" s="11">
        <f ca="1">Tabela4[[#This Row],[Prazo
Entrega]]-TODAY()</f>
        <v>156</v>
      </c>
      <c r="M124" t="str">
        <f ca="1">IF(L124&lt;0,"ATRASADO",IF(L124&lt;=15,"ATENÇÃO","NO PRAZO"))</f>
        <v>NO PRAZO</v>
      </c>
      <c r="N124" s="14" t="s">
        <v>63</v>
      </c>
      <c r="O124" s="9">
        <v>46264</v>
      </c>
      <c r="P124" s="1" t="s">
        <v>75</v>
      </c>
      <c r="Q124" t="s">
        <v>48</v>
      </c>
    </row>
    <row r="125" spans="1:17" hidden="1" x14ac:dyDescent="0.25">
      <c r="A125" s="13">
        <v>2354</v>
      </c>
      <c r="B125" s="13">
        <v>7</v>
      </c>
      <c r="C125" s="12">
        <v>27639</v>
      </c>
      <c r="D125" s="65" t="s">
        <v>63</v>
      </c>
      <c r="E125" s="17" t="s">
        <v>576</v>
      </c>
      <c r="F125" s="12">
        <v>1</v>
      </c>
      <c r="G125" s="6" t="s">
        <v>530</v>
      </c>
      <c r="H125" s="7">
        <v>46295</v>
      </c>
      <c r="I125" s="14" t="s">
        <v>63</v>
      </c>
      <c r="J125" s="7">
        <v>46386</v>
      </c>
      <c r="L125" s="11">
        <f ca="1">Tabela4[[#This Row],[Prazo
Entrega]]-TODAY()</f>
        <v>156</v>
      </c>
      <c r="M125" t="str">
        <f t="shared" ref="M125:M127" ca="1" si="15">IF(L125&lt;0,"ATRASADO",IF(L125&lt;=15,"ATENÇÃO","NO PRAZO"))</f>
        <v>NO PRAZO</v>
      </c>
      <c r="N125" s="14" t="s">
        <v>63</v>
      </c>
      <c r="O125" s="9">
        <v>46264</v>
      </c>
      <c r="P125" s="1" t="s">
        <v>75</v>
      </c>
      <c r="Q125" t="s">
        <v>48</v>
      </c>
    </row>
    <row r="126" spans="1:17" hidden="1" x14ac:dyDescent="0.25">
      <c r="A126" s="13">
        <v>2354</v>
      </c>
      <c r="B126" s="13">
        <v>8</v>
      </c>
      <c r="C126" s="12">
        <v>27639</v>
      </c>
      <c r="D126" s="65" t="s">
        <v>63</v>
      </c>
      <c r="E126" s="17" t="s">
        <v>576</v>
      </c>
      <c r="F126" s="12">
        <v>1</v>
      </c>
      <c r="G126" s="6" t="s">
        <v>531</v>
      </c>
      <c r="H126" s="7">
        <v>46295</v>
      </c>
      <c r="I126" s="14" t="s">
        <v>63</v>
      </c>
      <c r="J126" s="7">
        <v>46386</v>
      </c>
      <c r="L126" s="11">
        <f ca="1">Tabela4[[#This Row],[Prazo
Entrega]]-TODAY()</f>
        <v>156</v>
      </c>
      <c r="M126" t="str">
        <f t="shared" ca="1" si="15"/>
        <v>NO PRAZO</v>
      </c>
      <c r="N126" s="14" t="s">
        <v>63</v>
      </c>
      <c r="O126" s="9">
        <v>46264</v>
      </c>
      <c r="P126" s="1" t="s">
        <v>75</v>
      </c>
      <c r="Q126" t="s">
        <v>48</v>
      </c>
    </row>
    <row r="127" spans="1:17" hidden="1" x14ac:dyDescent="0.25">
      <c r="A127" s="13">
        <v>2354</v>
      </c>
      <c r="B127" s="13">
        <v>9</v>
      </c>
      <c r="C127" s="12">
        <v>27639</v>
      </c>
      <c r="D127" s="65" t="s">
        <v>63</v>
      </c>
      <c r="E127" s="17" t="s">
        <v>576</v>
      </c>
      <c r="F127" s="12">
        <v>1</v>
      </c>
      <c r="G127" s="6" t="s">
        <v>531</v>
      </c>
      <c r="H127" s="7">
        <v>46295</v>
      </c>
      <c r="I127" s="14" t="s">
        <v>63</v>
      </c>
      <c r="J127" s="7">
        <v>46386</v>
      </c>
      <c r="L127" s="11">
        <f ca="1">Tabela4[[#This Row],[Prazo
Entrega]]-TODAY()</f>
        <v>156</v>
      </c>
      <c r="M127" t="str">
        <f t="shared" ca="1" si="15"/>
        <v>NO PRAZO</v>
      </c>
      <c r="N127" s="14" t="s">
        <v>63</v>
      </c>
      <c r="O127" s="9">
        <v>46264</v>
      </c>
      <c r="P127" s="1" t="s">
        <v>75</v>
      </c>
      <c r="Q127" t="s">
        <v>48</v>
      </c>
    </row>
    <row r="128" spans="1:17" ht="30" hidden="1" x14ac:dyDescent="0.25">
      <c r="A128" s="13">
        <v>2354</v>
      </c>
      <c r="B128" s="100">
        <v>10</v>
      </c>
      <c r="C128" s="65" t="s">
        <v>63</v>
      </c>
      <c r="D128" s="65" t="s">
        <v>63</v>
      </c>
      <c r="E128" s="17" t="s">
        <v>576</v>
      </c>
      <c r="F128" s="101">
        <v>1</v>
      </c>
      <c r="G128" s="62" t="s">
        <v>536</v>
      </c>
      <c r="H128" s="14" t="s">
        <v>63</v>
      </c>
      <c r="I128" s="14" t="s">
        <v>63</v>
      </c>
      <c r="J128" s="7">
        <v>46386</v>
      </c>
      <c r="L128" s="11">
        <f ca="1">Tabela4[[#This Row],[Prazo
Entrega]]-TODAY()</f>
        <v>156</v>
      </c>
      <c r="M128" t="str">
        <f t="shared" ref="M128:M137" ca="1" si="16">IF(L128&lt;0,"ATRASADO",IF(L128&lt;=15,"ATENÇÃO","NO PRAZO"))</f>
        <v>NO PRAZO</v>
      </c>
      <c r="N128" s="14" t="s">
        <v>63</v>
      </c>
      <c r="O128" s="9">
        <v>46264</v>
      </c>
      <c r="P128" s="1" t="s">
        <v>75</v>
      </c>
      <c r="Q128" t="s">
        <v>94</v>
      </c>
    </row>
    <row r="129" spans="1:17" hidden="1" x14ac:dyDescent="0.25">
      <c r="A129" s="13">
        <v>2354</v>
      </c>
      <c r="B129" s="100">
        <v>11</v>
      </c>
      <c r="C129" s="65" t="s">
        <v>63</v>
      </c>
      <c r="D129" s="65" t="s">
        <v>63</v>
      </c>
      <c r="E129" s="17" t="s">
        <v>576</v>
      </c>
      <c r="F129" s="101">
        <v>1</v>
      </c>
      <c r="G129" s="62" t="s">
        <v>535</v>
      </c>
      <c r="H129" s="14" t="s">
        <v>63</v>
      </c>
      <c r="I129" s="14" t="s">
        <v>63</v>
      </c>
      <c r="J129" s="7">
        <v>46386</v>
      </c>
      <c r="L129" s="11">
        <f ca="1">Tabela4[[#This Row],[Prazo
Entrega]]-TODAY()</f>
        <v>156</v>
      </c>
      <c r="M129" t="str">
        <f t="shared" ca="1" si="16"/>
        <v>NO PRAZO</v>
      </c>
      <c r="N129" s="14" t="s">
        <v>63</v>
      </c>
      <c r="O129" s="9">
        <v>46264</v>
      </c>
      <c r="P129" s="1" t="s">
        <v>75</v>
      </c>
      <c r="Q129" t="s">
        <v>94</v>
      </c>
    </row>
    <row r="130" spans="1:17" hidden="1" x14ac:dyDescent="0.25">
      <c r="A130" s="17">
        <v>2354</v>
      </c>
      <c r="B130" s="108">
        <v>12</v>
      </c>
      <c r="C130" s="66" t="s">
        <v>63</v>
      </c>
      <c r="D130" s="66" t="s">
        <v>63</v>
      </c>
      <c r="E130" s="17" t="s">
        <v>576</v>
      </c>
      <c r="F130" s="109">
        <v>2</v>
      </c>
      <c r="G130" s="110" t="s">
        <v>532</v>
      </c>
      <c r="H130" s="14" t="s">
        <v>63</v>
      </c>
      <c r="I130" s="14" t="s">
        <v>63</v>
      </c>
      <c r="J130" s="7">
        <v>46386</v>
      </c>
      <c r="L130" s="11">
        <f ca="1">Tabela4[[#This Row],[Prazo
Entrega]]-TODAY()</f>
        <v>156</v>
      </c>
      <c r="M130" t="str">
        <f t="shared" ca="1" si="16"/>
        <v>NO PRAZO</v>
      </c>
      <c r="N130" s="14" t="s">
        <v>63</v>
      </c>
      <c r="O130" s="9">
        <v>46264</v>
      </c>
      <c r="P130" s="1" t="s">
        <v>75</v>
      </c>
      <c r="Q130" t="s">
        <v>94</v>
      </c>
    </row>
    <row r="131" spans="1:17" ht="30" hidden="1" x14ac:dyDescent="0.25">
      <c r="A131" s="17">
        <v>2354</v>
      </c>
      <c r="B131" s="108">
        <v>13</v>
      </c>
      <c r="C131" s="66" t="s">
        <v>63</v>
      </c>
      <c r="D131" s="66" t="s">
        <v>63</v>
      </c>
      <c r="E131" s="17" t="s">
        <v>576</v>
      </c>
      <c r="F131" s="109">
        <v>2</v>
      </c>
      <c r="G131" s="110" t="s">
        <v>537</v>
      </c>
      <c r="H131" s="14" t="s">
        <v>63</v>
      </c>
      <c r="I131" s="14" t="s">
        <v>63</v>
      </c>
      <c r="J131" s="7">
        <v>46386</v>
      </c>
      <c r="L131" s="11">
        <f ca="1">Tabela4[[#This Row],[Prazo
Entrega]]-TODAY()</f>
        <v>156</v>
      </c>
      <c r="M131" t="str">
        <f t="shared" ca="1" si="16"/>
        <v>NO PRAZO</v>
      </c>
      <c r="N131" s="14" t="s">
        <v>63</v>
      </c>
      <c r="O131" s="9">
        <v>46264</v>
      </c>
      <c r="P131" s="1" t="s">
        <v>75</v>
      </c>
      <c r="Q131" t="s">
        <v>94</v>
      </c>
    </row>
    <row r="132" spans="1:17" hidden="1" x14ac:dyDescent="0.25">
      <c r="A132" s="13">
        <v>2354</v>
      </c>
      <c r="B132" s="100">
        <v>14</v>
      </c>
      <c r="C132" s="65" t="s">
        <v>63</v>
      </c>
      <c r="D132" s="65" t="s">
        <v>63</v>
      </c>
      <c r="E132" s="17" t="s">
        <v>576</v>
      </c>
      <c r="F132" s="101">
        <v>2</v>
      </c>
      <c r="G132" s="62" t="s">
        <v>533</v>
      </c>
      <c r="H132" s="14" t="s">
        <v>63</v>
      </c>
      <c r="I132" s="14" t="s">
        <v>63</v>
      </c>
      <c r="J132" s="7">
        <v>46386</v>
      </c>
      <c r="L132" s="11">
        <f ca="1">Tabela4[[#This Row],[Prazo
Entrega]]-TODAY()</f>
        <v>156</v>
      </c>
      <c r="M132" t="str">
        <f t="shared" ca="1" si="16"/>
        <v>NO PRAZO</v>
      </c>
      <c r="N132" s="14" t="s">
        <v>63</v>
      </c>
      <c r="O132" s="9">
        <v>46264</v>
      </c>
      <c r="P132" s="1" t="s">
        <v>75</v>
      </c>
      <c r="Q132" t="s">
        <v>94</v>
      </c>
    </row>
    <row r="133" spans="1:17" hidden="1" x14ac:dyDescent="0.25">
      <c r="A133" s="13">
        <v>2354</v>
      </c>
      <c r="B133" s="100">
        <v>15</v>
      </c>
      <c r="C133" s="65" t="s">
        <v>63</v>
      </c>
      <c r="D133" s="65" t="s">
        <v>63</v>
      </c>
      <c r="E133" s="17" t="s">
        <v>576</v>
      </c>
      <c r="F133" s="101">
        <v>2</v>
      </c>
      <c r="G133" s="62" t="s">
        <v>538</v>
      </c>
      <c r="H133" s="14" t="s">
        <v>63</v>
      </c>
      <c r="I133" s="14" t="s">
        <v>63</v>
      </c>
      <c r="J133" s="7">
        <v>46386</v>
      </c>
      <c r="L133" s="11">
        <f ca="1">Tabela4[[#This Row],[Prazo
Entrega]]-TODAY()</f>
        <v>156</v>
      </c>
      <c r="M133" t="str">
        <f t="shared" ca="1" si="16"/>
        <v>NO PRAZO</v>
      </c>
      <c r="N133" s="14" t="s">
        <v>63</v>
      </c>
      <c r="O133" s="9">
        <v>46264</v>
      </c>
      <c r="P133" s="1" t="s">
        <v>75</v>
      </c>
      <c r="Q133" t="s">
        <v>94</v>
      </c>
    </row>
    <row r="134" spans="1:17" hidden="1" x14ac:dyDescent="0.25">
      <c r="A134" s="13">
        <v>2354</v>
      </c>
      <c r="B134" s="100">
        <v>16</v>
      </c>
      <c r="C134" s="65" t="s">
        <v>63</v>
      </c>
      <c r="D134" s="65" t="s">
        <v>63</v>
      </c>
      <c r="E134" s="17" t="s">
        <v>576</v>
      </c>
      <c r="F134" s="101">
        <v>1</v>
      </c>
      <c r="G134" s="62" t="s">
        <v>539</v>
      </c>
      <c r="H134" s="14" t="s">
        <v>63</v>
      </c>
      <c r="I134" s="14" t="s">
        <v>63</v>
      </c>
      <c r="J134" s="7">
        <v>46386</v>
      </c>
      <c r="L134" s="11">
        <f ca="1">Tabela4[[#This Row],[Prazo
Entrega]]-TODAY()</f>
        <v>156</v>
      </c>
      <c r="M134" t="str">
        <f t="shared" ca="1" si="16"/>
        <v>NO PRAZO</v>
      </c>
      <c r="N134" s="14" t="s">
        <v>63</v>
      </c>
      <c r="O134" s="9">
        <v>46264</v>
      </c>
      <c r="P134" s="1" t="s">
        <v>75</v>
      </c>
      <c r="Q134" t="s">
        <v>94</v>
      </c>
    </row>
    <row r="135" spans="1:17" hidden="1" x14ac:dyDescent="0.25">
      <c r="A135" s="13">
        <v>2354</v>
      </c>
      <c r="B135" s="100">
        <v>17</v>
      </c>
      <c r="C135" s="65" t="s">
        <v>63</v>
      </c>
      <c r="D135" s="65" t="s">
        <v>63</v>
      </c>
      <c r="E135" s="17" t="s">
        <v>576</v>
      </c>
      <c r="F135" s="101">
        <v>1</v>
      </c>
      <c r="G135" s="62" t="s">
        <v>539</v>
      </c>
      <c r="H135" s="14" t="s">
        <v>63</v>
      </c>
      <c r="I135" s="14" t="s">
        <v>63</v>
      </c>
      <c r="J135" s="7">
        <v>46386</v>
      </c>
      <c r="L135" s="11">
        <f ca="1">Tabela4[[#This Row],[Prazo
Entrega]]-TODAY()</f>
        <v>156</v>
      </c>
      <c r="M135" t="str">
        <f t="shared" ca="1" si="16"/>
        <v>NO PRAZO</v>
      </c>
      <c r="N135" s="14" t="s">
        <v>63</v>
      </c>
      <c r="O135" s="9">
        <v>46264</v>
      </c>
      <c r="P135" s="1" t="s">
        <v>75</v>
      </c>
      <c r="Q135" t="s">
        <v>94</v>
      </c>
    </row>
    <row r="136" spans="1:17" hidden="1" x14ac:dyDescent="0.25">
      <c r="A136" s="13">
        <v>2354</v>
      </c>
      <c r="B136" s="100">
        <v>18</v>
      </c>
      <c r="C136" s="65" t="s">
        <v>63</v>
      </c>
      <c r="D136" s="65" t="s">
        <v>63</v>
      </c>
      <c r="E136" s="17" t="s">
        <v>576</v>
      </c>
      <c r="F136" s="101">
        <v>1</v>
      </c>
      <c r="G136" s="62" t="s">
        <v>539</v>
      </c>
      <c r="H136" s="14" t="s">
        <v>63</v>
      </c>
      <c r="I136" s="14" t="s">
        <v>63</v>
      </c>
      <c r="J136" s="7">
        <v>46386</v>
      </c>
      <c r="L136" s="11">
        <f ca="1">Tabela4[[#This Row],[Prazo
Entrega]]-TODAY()</f>
        <v>156</v>
      </c>
      <c r="M136" t="str">
        <f t="shared" ca="1" si="16"/>
        <v>NO PRAZO</v>
      </c>
      <c r="N136" s="14" t="s">
        <v>63</v>
      </c>
      <c r="O136" s="9">
        <v>46264</v>
      </c>
      <c r="P136" s="1" t="s">
        <v>75</v>
      </c>
      <c r="Q136" t="s">
        <v>94</v>
      </c>
    </row>
    <row r="137" spans="1:17" hidden="1" x14ac:dyDescent="0.25">
      <c r="A137" s="13">
        <v>2354</v>
      </c>
      <c r="B137" s="100">
        <v>19</v>
      </c>
      <c r="C137" s="65" t="s">
        <v>63</v>
      </c>
      <c r="D137" s="65" t="s">
        <v>63</v>
      </c>
      <c r="E137" s="17" t="s">
        <v>576</v>
      </c>
      <c r="F137" s="101">
        <v>1</v>
      </c>
      <c r="G137" s="62" t="s">
        <v>539</v>
      </c>
      <c r="H137" s="14" t="s">
        <v>63</v>
      </c>
      <c r="I137" s="14" t="s">
        <v>63</v>
      </c>
      <c r="J137" s="7">
        <v>46386</v>
      </c>
      <c r="L137" s="11">
        <f ca="1">Tabela4[[#This Row],[Prazo
Entrega]]-TODAY()</f>
        <v>156</v>
      </c>
      <c r="M137" t="str">
        <f t="shared" ca="1" si="16"/>
        <v>NO PRAZO</v>
      </c>
      <c r="N137" s="14" t="s">
        <v>63</v>
      </c>
      <c r="O137" s="9">
        <v>46264</v>
      </c>
      <c r="P137" s="1" t="s">
        <v>75</v>
      </c>
      <c r="Q137" t="s">
        <v>94</v>
      </c>
    </row>
    <row r="138" spans="1:17" hidden="1" x14ac:dyDescent="0.25">
      <c r="A138" s="13">
        <v>2354</v>
      </c>
      <c r="B138" s="100">
        <v>22</v>
      </c>
      <c r="C138" s="65" t="s">
        <v>63</v>
      </c>
      <c r="D138" s="65" t="s">
        <v>63</v>
      </c>
      <c r="E138" s="17" t="s">
        <v>576</v>
      </c>
      <c r="F138" s="12">
        <v>16</v>
      </c>
      <c r="G138" s="62" t="s">
        <v>540</v>
      </c>
      <c r="H138" s="14" t="s">
        <v>63</v>
      </c>
      <c r="I138" s="14" t="s">
        <v>63</v>
      </c>
      <c r="J138" s="7">
        <v>46386</v>
      </c>
      <c r="L138" s="11">
        <f ca="1">Tabela4[[#This Row],[Prazo
Entrega]]-TODAY()</f>
        <v>156</v>
      </c>
      <c r="M138" t="str">
        <f t="shared" ref="M138:M139" ca="1" si="17">IF(L138&lt;0,"ATRASADO",IF(L138&lt;=15,"ATENÇÃO","NO PRAZO"))</f>
        <v>NO PRAZO</v>
      </c>
      <c r="N138" s="14" t="s">
        <v>63</v>
      </c>
      <c r="O138" s="9">
        <v>46264</v>
      </c>
      <c r="P138" s="1" t="s">
        <v>75</v>
      </c>
      <c r="Q138" t="s">
        <v>94</v>
      </c>
    </row>
    <row r="139" spans="1:17" hidden="1" x14ac:dyDescent="0.25">
      <c r="A139" s="13">
        <v>2354</v>
      </c>
      <c r="B139" s="100">
        <v>23</v>
      </c>
      <c r="C139" s="65" t="s">
        <v>63</v>
      </c>
      <c r="D139" s="65" t="s">
        <v>63</v>
      </c>
      <c r="E139" s="17" t="s">
        <v>576</v>
      </c>
      <c r="F139" s="12">
        <v>16</v>
      </c>
      <c r="G139" s="62" t="s">
        <v>534</v>
      </c>
      <c r="H139" s="14" t="s">
        <v>63</v>
      </c>
      <c r="I139" s="14" t="s">
        <v>63</v>
      </c>
      <c r="J139" s="7">
        <v>46386</v>
      </c>
      <c r="L139" s="11">
        <f ca="1">Tabela4[[#This Row],[Prazo
Entrega]]-TODAY()</f>
        <v>156</v>
      </c>
      <c r="M139" t="str">
        <f t="shared" ca="1" si="17"/>
        <v>NO PRAZO</v>
      </c>
      <c r="N139" s="14" t="s">
        <v>63</v>
      </c>
      <c r="O139" s="9">
        <v>46264</v>
      </c>
      <c r="P139" s="1" t="s">
        <v>75</v>
      </c>
      <c r="Q139" t="s">
        <v>94</v>
      </c>
    </row>
    <row r="140" spans="1:17" hidden="1" x14ac:dyDescent="0.25">
      <c r="A140" s="13">
        <v>2362</v>
      </c>
      <c r="B140" s="13">
        <v>1</v>
      </c>
      <c r="C140" s="12">
        <v>27662</v>
      </c>
      <c r="D140" s="12">
        <v>1</v>
      </c>
      <c r="E140" s="17" t="s">
        <v>551</v>
      </c>
      <c r="F140" s="12">
        <v>1</v>
      </c>
      <c r="G140" s="6" t="s">
        <v>552</v>
      </c>
      <c r="H140" s="7">
        <v>46287</v>
      </c>
      <c r="J140" s="7">
        <v>46328</v>
      </c>
      <c r="L140" s="11">
        <f ca="1">Tabela4[[#This Row],[Prazo
Entrega]]-TODAY()</f>
        <v>98</v>
      </c>
      <c r="M140" t="str">
        <f ca="1">IF(L140&lt;0,"ATRASADO",IF(L140&lt;=15,"ATENÇÃO","NO PRAZO"))</f>
        <v>NO PRAZO</v>
      </c>
      <c r="N140" s="14" t="s">
        <v>63</v>
      </c>
      <c r="O140" s="9">
        <v>46275</v>
      </c>
      <c r="P140" s="1" t="s">
        <v>75</v>
      </c>
      <c r="Q140" t="s">
        <v>94</v>
      </c>
    </row>
    <row r="141" spans="1:17" hidden="1" x14ac:dyDescent="0.25">
      <c r="A141" s="13">
        <v>2362</v>
      </c>
      <c r="B141" s="13">
        <v>2</v>
      </c>
      <c r="C141" s="12">
        <v>27662</v>
      </c>
      <c r="D141" s="12">
        <v>2</v>
      </c>
      <c r="E141" s="17" t="s">
        <v>551</v>
      </c>
      <c r="F141" s="12">
        <v>1</v>
      </c>
      <c r="G141" s="6" t="s">
        <v>552</v>
      </c>
      <c r="H141" s="7">
        <v>46287</v>
      </c>
      <c r="J141" s="7">
        <v>46328</v>
      </c>
      <c r="L141" s="11">
        <f ca="1">Tabela4[[#This Row],[Prazo
Entrega]]-TODAY()</f>
        <v>98</v>
      </c>
      <c r="M141" t="str">
        <f t="shared" ref="M141:M147" ca="1" si="18">IF(L141&lt;0,"ATRASADO",IF(L141&lt;=15,"ATENÇÃO","NO PRAZO"))</f>
        <v>NO PRAZO</v>
      </c>
      <c r="N141" s="14" t="s">
        <v>63</v>
      </c>
      <c r="O141" s="9">
        <v>46275</v>
      </c>
      <c r="P141" s="1" t="s">
        <v>75</v>
      </c>
      <c r="Q141" t="s">
        <v>94</v>
      </c>
    </row>
    <row r="142" spans="1:17" hidden="1" x14ac:dyDescent="0.25">
      <c r="A142" s="13">
        <v>2362</v>
      </c>
      <c r="B142" s="13">
        <v>3</v>
      </c>
      <c r="C142" s="12">
        <v>27662</v>
      </c>
      <c r="D142" s="12">
        <v>3</v>
      </c>
      <c r="E142" s="17" t="s">
        <v>551</v>
      </c>
      <c r="F142" s="12">
        <v>1</v>
      </c>
      <c r="G142" s="6" t="s">
        <v>552</v>
      </c>
      <c r="H142" s="7">
        <v>46287</v>
      </c>
      <c r="J142" s="7">
        <v>46328</v>
      </c>
      <c r="L142" s="11">
        <f ca="1">Tabela4[[#This Row],[Prazo
Entrega]]-TODAY()</f>
        <v>98</v>
      </c>
      <c r="M142" t="str">
        <f t="shared" ca="1" si="18"/>
        <v>NO PRAZO</v>
      </c>
      <c r="N142" s="14" t="s">
        <v>63</v>
      </c>
      <c r="O142" s="9">
        <v>46275</v>
      </c>
      <c r="P142" s="1" t="s">
        <v>75</v>
      </c>
      <c r="Q142" t="s">
        <v>94</v>
      </c>
    </row>
    <row r="143" spans="1:17" hidden="1" x14ac:dyDescent="0.25">
      <c r="A143" s="13">
        <v>2362</v>
      </c>
      <c r="B143" s="13">
        <v>4</v>
      </c>
      <c r="C143" s="12">
        <v>27662</v>
      </c>
      <c r="D143" s="12">
        <v>4</v>
      </c>
      <c r="E143" s="17" t="s">
        <v>551</v>
      </c>
      <c r="F143" s="12">
        <v>1</v>
      </c>
      <c r="G143" s="6" t="s">
        <v>552</v>
      </c>
      <c r="H143" s="7">
        <v>46287</v>
      </c>
      <c r="J143" s="7">
        <v>46328</v>
      </c>
      <c r="L143" s="11">
        <f ca="1">Tabela4[[#This Row],[Prazo
Entrega]]-TODAY()</f>
        <v>98</v>
      </c>
      <c r="M143" t="str">
        <f t="shared" ca="1" si="18"/>
        <v>NO PRAZO</v>
      </c>
      <c r="N143" s="14" t="s">
        <v>63</v>
      </c>
      <c r="O143" s="9">
        <v>46275</v>
      </c>
      <c r="P143" s="1" t="s">
        <v>75</v>
      </c>
      <c r="Q143" t="s">
        <v>94</v>
      </c>
    </row>
    <row r="144" spans="1:17" hidden="1" x14ac:dyDescent="0.25">
      <c r="A144" s="13">
        <v>2362</v>
      </c>
      <c r="B144" s="13">
        <v>5</v>
      </c>
      <c r="C144" s="12">
        <v>27662</v>
      </c>
      <c r="D144" s="12">
        <v>5</v>
      </c>
      <c r="E144" s="17" t="s">
        <v>551</v>
      </c>
      <c r="F144" s="12">
        <v>1</v>
      </c>
      <c r="G144" s="6" t="s">
        <v>552</v>
      </c>
      <c r="H144" s="7">
        <v>46287</v>
      </c>
      <c r="J144" s="7">
        <v>46328</v>
      </c>
      <c r="L144" s="11">
        <f ca="1">Tabela4[[#This Row],[Prazo
Entrega]]-TODAY()</f>
        <v>98</v>
      </c>
      <c r="M144" t="str">
        <f t="shared" ca="1" si="18"/>
        <v>NO PRAZO</v>
      </c>
      <c r="N144" s="14" t="s">
        <v>63</v>
      </c>
      <c r="O144" s="9">
        <v>46275</v>
      </c>
      <c r="P144" s="1" t="s">
        <v>75</v>
      </c>
      <c r="Q144" t="s">
        <v>94</v>
      </c>
    </row>
    <row r="145" spans="1:17" hidden="1" x14ac:dyDescent="0.25">
      <c r="A145" s="13">
        <v>2362</v>
      </c>
      <c r="B145" s="13">
        <v>6</v>
      </c>
      <c r="C145" s="12">
        <v>27662</v>
      </c>
      <c r="D145" s="12">
        <v>6</v>
      </c>
      <c r="E145" s="17" t="s">
        <v>551</v>
      </c>
      <c r="F145" s="12">
        <v>1</v>
      </c>
      <c r="G145" s="6" t="s">
        <v>552</v>
      </c>
      <c r="H145" s="7">
        <v>46287</v>
      </c>
      <c r="J145" s="7">
        <v>46328</v>
      </c>
      <c r="L145" s="11">
        <f ca="1">Tabela4[[#This Row],[Prazo
Entrega]]-TODAY()</f>
        <v>98</v>
      </c>
      <c r="M145" t="str">
        <f t="shared" ca="1" si="18"/>
        <v>NO PRAZO</v>
      </c>
      <c r="N145" s="14" t="s">
        <v>63</v>
      </c>
      <c r="O145" s="9">
        <v>46275</v>
      </c>
      <c r="P145" s="1" t="s">
        <v>75</v>
      </c>
      <c r="Q145" t="s">
        <v>94</v>
      </c>
    </row>
    <row r="146" spans="1:17" hidden="1" x14ac:dyDescent="0.25">
      <c r="A146" s="13">
        <v>2362</v>
      </c>
      <c r="B146" s="13">
        <v>7</v>
      </c>
      <c r="C146" s="12">
        <v>27662</v>
      </c>
      <c r="D146" s="12">
        <v>7</v>
      </c>
      <c r="E146" s="17" t="s">
        <v>551</v>
      </c>
      <c r="F146" s="12">
        <v>1</v>
      </c>
      <c r="G146" s="6" t="s">
        <v>552</v>
      </c>
      <c r="H146" s="7">
        <v>46287</v>
      </c>
      <c r="J146" s="7">
        <v>46328</v>
      </c>
      <c r="L146" s="11">
        <f ca="1">Tabela4[[#This Row],[Prazo
Entrega]]-TODAY()</f>
        <v>98</v>
      </c>
      <c r="M146" t="str">
        <f t="shared" ca="1" si="18"/>
        <v>NO PRAZO</v>
      </c>
      <c r="N146" s="14" t="s">
        <v>63</v>
      </c>
      <c r="O146" s="9">
        <v>46275</v>
      </c>
      <c r="P146" s="1" t="s">
        <v>75</v>
      </c>
      <c r="Q146" t="s">
        <v>94</v>
      </c>
    </row>
    <row r="147" spans="1:17" hidden="1" x14ac:dyDescent="0.25">
      <c r="A147" s="13">
        <v>2362</v>
      </c>
      <c r="B147" s="13">
        <v>8</v>
      </c>
      <c r="C147" s="12">
        <v>27662</v>
      </c>
      <c r="D147" s="12">
        <v>8</v>
      </c>
      <c r="E147" s="17" t="s">
        <v>551</v>
      </c>
      <c r="F147" s="12">
        <v>1</v>
      </c>
      <c r="G147" s="6" t="s">
        <v>552</v>
      </c>
      <c r="H147" s="7">
        <v>46287</v>
      </c>
      <c r="J147" s="7">
        <v>46328</v>
      </c>
      <c r="L147" s="11">
        <f ca="1">Tabela4[[#This Row],[Prazo
Entrega]]-TODAY()</f>
        <v>98</v>
      </c>
      <c r="M147" t="str">
        <f t="shared" ca="1" si="18"/>
        <v>NO PRAZO</v>
      </c>
      <c r="N147" s="14" t="s">
        <v>63</v>
      </c>
      <c r="O147" s="9">
        <v>46275</v>
      </c>
      <c r="P147" s="1" t="s">
        <v>75</v>
      </c>
      <c r="Q147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CF3D-4567-423F-9856-686FB94A96D5}">
  <dimension ref="A1:AB388"/>
  <sheetViews>
    <sheetView topLeftCell="B1" zoomScale="90" zoomScaleNormal="90" workbookViewId="0">
      <selection activeCell="AB29" sqref="AB29"/>
    </sheetView>
  </sheetViews>
  <sheetFormatPr defaultRowHeight="13.5" x14ac:dyDescent="0.25"/>
  <cols>
    <col min="1" max="2" width="9.140625" style="50"/>
    <col min="3" max="3" width="16" style="50" customWidth="1"/>
    <col min="4" max="4" width="9.140625" style="50"/>
    <col min="5" max="5" width="21.85546875" style="50" bestFit="1" customWidth="1"/>
    <col min="6" max="6" width="10.5703125" style="50" bestFit="1" customWidth="1"/>
    <col min="7" max="7" width="8.42578125" style="50" bestFit="1" customWidth="1"/>
    <col min="8" max="9" width="8.42578125" style="50" customWidth="1"/>
    <col min="10" max="10" width="7.42578125" style="50" customWidth="1"/>
    <col min="11" max="12" width="9.140625" style="50"/>
    <col min="13" max="13" width="10.140625" style="50" bestFit="1" customWidth="1"/>
    <col min="14" max="14" width="10.28515625" style="50" customWidth="1"/>
    <col min="15" max="16" width="10.140625" style="50" bestFit="1" customWidth="1"/>
    <col min="17" max="26" width="9.140625" style="50"/>
    <col min="27" max="27" width="18.5703125" style="50" customWidth="1"/>
    <col min="28" max="28" width="25.42578125" style="50" customWidth="1"/>
    <col min="29" max="16384" width="9.140625" style="50"/>
  </cols>
  <sheetData>
    <row r="1" spans="1:28" ht="40.5" x14ac:dyDescent="0.25">
      <c r="A1" s="48" t="s">
        <v>7</v>
      </c>
      <c r="B1" s="48" t="s">
        <v>1</v>
      </c>
      <c r="C1" s="48" t="s">
        <v>3</v>
      </c>
      <c r="D1" s="49" t="s">
        <v>215</v>
      </c>
      <c r="E1" s="48" t="s">
        <v>6</v>
      </c>
      <c r="F1" s="48" t="s">
        <v>2</v>
      </c>
      <c r="G1" s="48" t="s">
        <v>216</v>
      </c>
      <c r="H1" s="48" t="s">
        <v>251</v>
      </c>
      <c r="I1" s="48" t="s">
        <v>250</v>
      </c>
      <c r="J1" s="48" t="s">
        <v>203</v>
      </c>
      <c r="K1" s="48" t="s">
        <v>196</v>
      </c>
      <c r="L1" s="49" t="s">
        <v>249</v>
      </c>
      <c r="M1" s="49" t="s">
        <v>213</v>
      </c>
      <c r="N1" s="49" t="s">
        <v>214</v>
      </c>
      <c r="O1" s="49" t="s">
        <v>212</v>
      </c>
      <c r="P1" s="49" t="s">
        <v>84</v>
      </c>
      <c r="Q1" s="49" t="s">
        <v>68</v>
      </c>
      <c r="R1" s="49" t="s">
        <v>234</v>
      </c>
      <c r="S1" s="49" t="s">
        <v>235</v>
      </c>
      <c r="T1" s="49" t="s">
        <v>236</v>
      </c>
      <c r="U1" s="49" t="s">
        <v>237</v>
      </c>
      <c r="V1" s="49" t="s">
        <v>238</v>
      </c>
      <c r="W1" s="49" t="s">
        <v>239</v>
      </c>
      <c r="X1" s="49" t="s">
        <v>240</v>
      </c>
      <c r="Y1" s="49" t="s">
        <v>241</v>
      </c>
      <c r="Z1" s="49" t="s">
        <v>242</v>
      </c>
      <c r="AA1" s="49" t="s">
        <v>198</v>
      </c>
      <c r="AB1" s="49" t="s">
        <v>59</v>
      </c>
    </row>
    <row r="2" spans="1:28" ht="20.100000000000001" hidden="1" customHeight="1" x14ac:dyDescent="0.25">
      <c r="A2" s="51">
        <v>1015</v>
      </c>
      <c r="B2" s="51" t="s">
        <v>63</v>
      </c>
      <c r="C2" s="51" t="s">
        <v>199</v>
      </c>
      <c r="D2" s="51">
        <v>6635</v>
      </c>
      <c r="E2" s="51" t="s">
        <v>259</v>
      </c>
      <c r="F2" s="51">
        <v>1</v>
      </c>
      <c r="G2" s="51">
        <v>2300</v>
      </c>
      <c r="H2" s="51" t="s">
        <v>253</v>
      </c>
      <c r="I2" s="51" t="s">
        <v>63</v>
      </c>
      <c r="J2" s="51" t="s">
        <v>63</v>
      </c>
      <c r="K2" s="51" t="s">
        <v>197</v>
      </c>
      <c r="L2" s="105"/>
      <c r="M2" s="52">
        <v>46233</v>
      </c>
      <c r="N2" s="51"/>
      <c r="O2" s="52">
        <v>46233</v>
      </c>
      <c r="P2" s="51" t="s">
        <v>56</v>
      </c>
      <c r="Q2" s="51" t="s">
        <v>56</v>
      </c>
      <c r="R2" s="53" t="s">
        <v>224</v>
      </c>
      <c r="S2" s="53" t="s">
        <v>226</v>
      </c>
      <c r="T2" s="53" t="s">
        <v>227</v>
      </c>
      <c r="U2" s="53" t="s">
        <v>229</v>
      </c>
      <c r="V2" s="53" t="s">
        <v>230</v>
      </c>
      <c r="W2" s="53" t="s">
        <v>231</v>
      </c>
      <c r="X2" s="53" t="s">
        <v>228</v>
      </c>
      <c r="Y2" s="51" t="s">
        <v>232</v>
      </c>
      <c r="Z2" s="51" t="s">
        <v>233</v>
      </c>
      <c r="AA2" s="51" t="s">
        <v>256</v>
      </c>
      <c r="AB2" s="51" t="s">
        <v>370</v>
      </c>
    </row>
    <row r="3" spans="1:28" ht="20.100000000000001" hidden="1" customHeight="1" x14ac:dyDescent="0.25">
      <c r="A3" s="51">
        <v>1027</v>
      </c>
      <c r="B3" s="51" t="s">
        <v>63</v>
      </c>
      <c r="C3" s="51" t="s">
        <v>89</v>
      </c>
      <c r="D3" s="51" t="s">
        <v>63</v>
      </c>
      <c r="E3" s="51" t="s">
        <v>259</v>
      </c>
      <c r="F3" s="51">
        <v>1</v>
      </c>
      <c r="G3" s="51" t="s">
        <v>201</v>
      </c>
      <c r="H3" s="51" t="s">
        <v>252</v>
      </c>
      <c r="I3" s="51" t="s">
        <v>371</v>
      </c>
      <c r="J3" s="51" t="s">
        <v>204</v>
      </c>
      <c r="K3" s="51" t="s">
        <v>209</v>
      </c>
      <c r="L3" s="105" t="s">
        <v>383</v>
      </c>
      <c r="M3" s="51" t="s">
        <v>63</v>
      </c>
      <c r="N3" s="51" t="s">
        <v>63</v>
      </c>
      <c r="O3" s="52">
        <v>46410</v>
      </c>
      <c r="P3" s="51" t="s">
        <v>58</v>
      </c>
      <c r="Q3" s="51" t="s">
        <v>58</v>
      </c>
      <c r="R3" s="51" t="s">
        <v>369</v>
      </c>
      <c r="S3" s="51" t="s">
        <v>225</v>
      </c>
      <c r="T3" s="51" t="s">
        <v>224</v>
      </c>
      <c r="U3" s="51" t="s">
        <v>228</v>
      </c>
      <c r="V3" s="51"/>
      <c r="W3" s="51"/>
      <c r="X3" s="51"/>
      <c r="Y3" s="51"/>
      <c r="Z3" s="51"/>
      <c r="AA3" s="51" t="s">
        <v>200</v>
      </c>
      <c r="AB3" s="51"/>
    </row>
    <row r="4" spans="1:28" ht="20.100000000000001" hidden="1" customHeight="1" x14ac:dyDescent="0.25">
      <c r="A4" s="51">
        <v>1027</v>
      </c>
      <c r="B4" s="51" t="s">
        <v>63</v>
      </c>
      <c r="C4" s="51" t="s">
        <v>89</v>
      </c>
      <c r="D4" s="51" t="s">
        <v>63</v>
      </c>
      <c r="E4" s="51" t="s">
        <v>259</v>
      </c>
      <c r="F4" s="51">
        <v>1</v>
      </c>
      <c r="G4" s="51" t="s">
        <v>201</v>
      </c>
      <c r="H4" s="51" t="s">
        <v>252</v>
      </c>
      <c r="I4" s="51" t="s">
        <v>372</v>
      </c>
      <c r="J4" s="51" t="s">
        <v>204</v>
      </c>
      <c r="K4" s="51" t="s">
        <v>209</v>
      </c>
      <c r="L4" s="105" t="s">
        <v>384</v>
      </c>
      <c r="M4" s="51" t="s">
        <v>63</v>
      </c>
      <c r="N4" s="51" t="s">
        <v>63</v>
      </c>
      <c r="O4" s="52">
        <v>46414</v>
      </c>
      <c r="P4" s="51" t="s">
        <v>58</v>
      </c>
      <c r="Q4" s="51" t="s">
        <v>58</v>
      </c>
      <c r="R4" s="51" t="s">
        <v>369</v>
      </c>
      <c r="S4" s="51" t="s">
        <v>225</v>
      </c>
      <c r="T4" s="51" t="s">
        <v>224</v>
      </c>
      <c r="U4" s="51" t="s">
        <v>228</v>
      </c>
      <c r="V4" s="51"/>
      <c r="W4" s="51"/>
      <c r="X4" s="51"/>
      <c r="Y4" s="51"/>
      <c r="Z4" s="51"/>
      <c r="AA4" s="51" t="s">
        <v>200</v>
      </c>
      <c r="AB4" s="51"/>
    </row>
    <row r="5" spans="1:28" ht="20.100000000000001" hidden="1" customHeight="1" x14ac:dyDescent="0.25">
      <c r="A5" s="51">
        <v>1027</v>
      </c>
      <c r="B5" s="51" t="s">
        <v>63</v>
      </c>
      <c r="C5" s="51" t="s">
        <v>89</v>
      </c>
      <c r="D5" s="51" t="s">
        <v>63</v>
      </c>
      <c r="E5" s="51" t="s">
        <v>259</v>
      </c>
      <c r="F5" s="51">
        <v>1</v>
      </c>
      <c r="G5" s="51" t="s">
        <v>201</v>
      </c>
      <c r="H5" s="51" t="s">
        <v>252</v>
      </c>
      <c r="I5" s="51" t="s">
        <v>371</v>
      </c>
      <c r="J5" s="51" t="s">
        <v>205</v>
      </c>
      <c r="K5" s="51" t="s">
        <v>209</v>
      </c>
      <c r="L5" s="105">
        <v>9</v>
      </c>
      <c r="M5" s="51" t="s">
        <v>63</v>
      </c>
      <c r="N5" s="51" t="s">
        <v>63</v>
      </c>
      <c r="O5" s="52">
        <v>46416</v>
      </c>
      <c r="P5" s="51" t="s">
        <v>58</v>
      </c>
      <c r="Q5" s="51" t="s">
        <v>58</v>
      </c>
      <c r="R5" s="51" t="s">
        <v>369</v>
      </c>
      <c r="S5" s="51" t="s">
        <v>225</v>
      </c>
      <c r="T5" s="51" t="s">
        <v>224</v>
      </c>
      <c r="U5" s="51" t="s">
        <v>228</v>
      </c>
      <c r="V5" s="51"/>
      <c r="W5" s="51"/>
      <c r="X5" s="51"/>
      <c r="Y5" s="51"/>
      <c r="Z5" s="51"/>
      <c r="AA5" s="51" t="s">
        <v>200</v>
      </c>
      <c r="AB5" s="51"/>
    </row>
    <row r="6" spans="1:28" ht="20.100000000000001" hidden="1" customHeight="1" x14ac:dyDescent="0.25">
      <c r="A6" s="51">
        <v>1027</v>
      </c>
      <c r="B6" s="51" t="s">
        <v>63</v>
      </c>
      <c r="C6" s="51" t="s">
        <v>89</v>
      </c>
      <c r="D6" s="51" t="s">
        <v>63</v>
      </c>
      <c r="E6" s="51" t="s">
        <v>259</v>
      </c>
      <c r="F6" s="51">
        <v>1</v>
      </c>
      <c r="G6" s="51">
        <v>1700</v>
      </c>
      <c r="H6" s="51" t="s">
        <v>252</v>
      </c>
      <c r="I6" s="51" t="s">
        <v>372</v>
      </c>
      <c r="J6" s="51" t="s">
        <v>205</v>
      </c>
      <c r="K6" s="51" t="s">
        <v>209</v>
      </c>
      <c r="L6" s="105">
        <v>17</v>
      </c>
      <c r="M6" s="51" t="s">
        <v>63</v>
      </c>
      <c r="N6" s="51" t="s">
        <v>63</v>
      </c>
      <c r="O6" s="52">
        <v>46417</v>
      </c>
      <c r="P6" s="51" t="s">
        <v>58</v>
      </c>
      <c r="Q6" s="51" t="s">
        <v>58</v>
      </c>
      <c r="R6" s="51" t="s">
        <v>369</v>
      </c>
      <c r="S6" s="51" t="s">
        <v>225</v>
      </c>
      <c r="T6" s="51" t="s">
        <v>224</v>
      </c>
      <c r="U6" s="51" t="s">
        <v>228</v>
      </c>
      <c r="V6" s="51"/>
      <c r="W6" s="51"/>
      <c r="X6" s="51"/>
      <c r="Y6" s="51"/>
      <c r="Z6" s="51"/>
      <c r="AA6" s="51" t="s">
        <v>200</v>
      </c>
      <c r="AB6" s="51"/>
    </row>
    <row r="7" spans="1:28" ht="20.100000000000001" hidden="1" customHeight="1" x14ac:dyDescent="0.25">
      <c r="A7" s="51">
        <v>1027</v>
      </c>
      <c r="B7" s="51" t="s">
        <v>63</v>
      </c>
      <c r="C7" s="51" t="s">
        <v>89</v>
      </c>
      <c r="D7" s="51" t="s">
        <v>63</v>
      </c>
      <c r="E7" s="51" t="s">
        <v>259</v>
      </c>
      <c r="F7" s="51">
        <v>1</v>
      </c>
      <c r="G7" s="51">
        <v>1700</v>
      </c>
      <c r="H7" s="51" t="s">
        <v>252</v>
      </c>
      <c r="I7" s="51" t="s">
        <v>371</v>
      </c>
      <c r="J7" s="51" t="s">
        <v>206</v>
      </c>
      <c r="K7" s="51" t="s">
        <v>209</v>
      </c>
      <c r="L7" s="105">
        <v>7</v>
      </c>
      <c r="M7" s="51" t="s">
        <v>63</v>
      </c>
      <c r="N7" s="51" t="s">
        <v>63</v>
      </c>
      <c r="O7" s="52">
        <v>46420</v>
      </c>
      <c r="P7" s="51" t="s">
        <v>58</v>
      </c>
      <c r="Q7" s="51" t="s">
        <v>58</v>
      </c>
      <c r="R7" s="51" t="s">
        <v>369</v>
      </c>
      <c r="S7" s="51" t="s">
        <v>225</v>
      </c>
      <c r="T7" s="51" t="s">
        <v>224</v>
      </c>
      <c r="U7" s="51" t="s">
        <v>228</v>
      </c>
      <c r="V7" s="51"/>
      <c r="W7" s="51"/>
      <c r="X7" s="51"/>
      <c r="Y7" s="51"/>
      <c r="Z7" s="51"/>
      <c r="AA7" s="51" t="s">
        <v>200</v>
      </c>
      <c r="AB7" s="51"/>
    </row>
    <row r="8" spans="1:28" ht="20.100000000000001" hidden="1" customHeight="1" x14ac:dyDescent="0.25">
      <c r="A8" s="51">
        <v>1027</v>
      </c>
      <c r="B8" s="51" t="s">
        <v>63</v>
      </c>
      <c r="C8" s="51" t="s">
        <v>89</v>
      </c>
      <c r="D8" s="51">
        <v>6822</v>
      </c>
      <c r="E8" s="51" t="s">
        <v>259</v>
      </c>
      <c r="F8" s="51">
        <v>1</v>
      </c>
      <c r="G8" s="51">
        <v>1700</v>
      </c>
      <c r="H8" s="51" t="s">
        <v>252</v>
      </c>
      <c r="I8" s="51" t="s">
        <v>372</v>
      </c>
      <c r="J8" s="51" t="s">
        <v>206</v>
      </c>
      <c r="K8" s="51" t="s">
        <v>197</v>
      </c>
      <c r="L8" s="105">
        <v>2</v>
      </c>
      <c r="M8" s="52">
        <v>46233</v>
      </c>
      <c r="N8" s="52">
        <v>46210</v>
      </c>
      <c r="O8" s="52">
        <v>46408</v>
      </c>
      <c r="P8" s="51" t="s">
        <v>56</v>
      </c>
      <c r="Q8" s="51" t="s">
        <v>56</v>
      </c>
      <c r="R8" s="53" t="s">
        <v>224</v>
      </c>
      <c r="S8" s="51" t="s">
        <v>227</v>
      </c>
      <c r="T8" s="51" t="s">
        <v>228</v>
      </c>
      <c r="U8" s="51" t="s">
        <v>232</v>
      </c>
      <c r="V8" s="51" t="s">
        <v>233</v>
      </c>
      <c r="W8" s="51"/>
      <c r="X8" s="51"/>
      <c r="Y8" s="51"/>
      <c r="Z8" s="51"/>
      <c r="AA8" s="51" t="s">
        <v>202</v>
      </c>
      <c r="AB8" s="83"/>
    </row>
    <row r="9" spans="1:28" ht="20.100000000000001" hidden="1" customHeight="1" x14ac:dyDescent="0.25">
      <c r="A9" s="51">
        <v>1027</v>
      </c>
      <c r="B9" s="51" t="s">
        <v>63</v>
      </c>
      <c r="C9" s="51" t="s">
        <v>89</v>
      </c>
      <c r="D9" s="51" t="s">
        <v>63</v>
      </c>
      <c r="E9" s="51" t="s">
        <v>259</v>
      </c>
      <c r="F9" s="51">
        <v>1</v>
      </c>
      <c r="G9" s="51">
        <v>1700</v>
      </c>
      <c r="H9" s="51" t="s">
        <v>252</v>
      </c>
      <c r="I9" s="51" t="s">
        <v>371</v>
      </c>
      <c r="J9" s="51" t="s">
        <v>207</v>
      </c>
      <c r="K9" s="51" t="s">
        <v>209</v>
      </c>
      <c r="L9" s="105">
        <v>3</v>
      </c>
      <c r="M9" s="51" t="s">
        <v>63</v>
      </c>
      <c r="N9" s="51" t="s">
        <v>63</v>
      </c>
      <c r="O9" s="52">
        <v>46421</v>
      </c>
      <c r="P9" s="51" t="s">
        <v>58</v>
      </c>
      <c r="Q9" s="51" t="s">
        <v>58</v>
      </c>
      <c r="R9" s="51" t="s">
        <v>369</v>
      </c>
      <c r="S9" s="51" t="s">
        <v>225</v>
      </c>
      <c r="T9" s="51" t="s">
        <v>224</v>
      </c>
      <c r="U9" s="51" t="s">
        <v>228</v>
      </c>
      <c r="V9" s="51"/>
      <c r="W9" s="51"/>
      <c r="X9" s="51"/>
      <c r="Y9" s="51"/>
      <c r="Z9" s="51"/>
      <c r="AA9" s="51" t="s">
        <v>200</v>
      </c>
      <c r="AB9" s="51"/>
    </row>
    <row r="10" spans="1:28" ht="20.100000000000001" hidden="1" customHeight="1" x14ac:dyDescent="0.25">
      <c r="A10" s="51">
        <v>1027</v>
      </c>
      <c r="B10" s="51" t="s">
        <v>63</v>
      </c>
      <c r="C10" s="51" t="s">
        <v>89</v>
      </c>
      <c r="D10" s="51">
        <v>6820</v>
      </c>
      <c r="E10" s="51" t="s">
        <v>259</v>
      </c>
      <c r="F10" s="51">
        <v>1</v>
      </c>
      <c r="G10" s="51">
        <v>1700</v>
      </c>
      <c r="H10" s="51" t="s">
        <v>252</v>
      </c>
      <c r="I10" s="51" t="s">
        <v>372</v>
      </c>
      <c r="J10" s="51" t="s">
        <v>207</v>
      </c>
      <c r="K10" s="51" t="s">
        <v>197</v>
      </c>
      <c r="L10" s="105">
        <v>10</v>
      </c>
      <c r="M10" s="52">
        <v>46233</v>
      </c>
      <c r="N10" s="52">
        <v>46206</v>
      </c>
      <c r="O10" s="52">
        <v>46403</v>
      </c>
      <c r="P10" s="51" t="s">
        <v>56</v>
      </c>
      <c r="Q10" s="51" t="s">
        <v>56</v>
      </c>
      <c r="R10" s="53" t="s">
        <v>224</v>
      </c>
      <c r="S10" s="53" t="s">
        <v>227</v>
      </c>
      <c r="T10" s="51" t="s">
        <v>228</v>
      </c>
      <c r="U10" s="51" t="s">
        <v>232</v>
      </c>
      <c r="V10" s="51" t="s">
        <v>233</v>
      </c>
      <c r="W10" s="51"/>
      <c r="X10" s="51"/>
      <c r="Y10" s="51"/>
      <c r="Z10" s="51"/>
      <c r="AA10" s="51" t="s">
        <v>202</v>
      </c>
      <c r="AB10" s="83"/>
    </row>
    <row r="11" spans="1:28" ht="20.100000000000001" hidden="1" customHeight="1" x14ac:dyDescent="0.25">
      <c r="A11" s="51">
        <v>1027</v>
      </c>
      <c r="B11" s="51" t="s">
        <v>63</v>
      </c>
      <c r="C11" s="51" t="s">
        <v>89</v>
      </c>
      <c r="D11" s="51" t="s">
        <v>63</v>
      </c>
      <c r="E11" s="51" t="s">
        <v>259</v>
      </c>
      <c r="F11" s="51">
        <v>1</v>
      </c>
      <c r="G11" s="51">
        <v>1700</v>
      </c>
      <c r="H11" s="51" t="s">
        <v>252</v>
      </c>
      <c r="I11" s="51" t="s">
        <v>371</v>
      </c>
      <c r="J11" s="51" t="s">
        <v>208</v>
      </c>
      <c r="K11" s="51" t="s">
        <v>209</v>
      </c>
      <c r="L11" s="105">
        <v>20</v>
      </c>
      <c r="M11" s="51" t="s">
        <v>63</v>
      </c>
      <c r="N11" s="51" t="s">
        <v>63</v>
      </c>
      <c r="O11" s="52">
        <v>46423</v>
      </c>
      <c r="P11" s="51" t="s">
        <v>58</v>
      </c>
      <c r="Q11" s="51" t="s">
        <v>58</v>
      </c>
      <c r="R11" s="51" t="s">
        <v>369</v>
      </c>
      <c r="S11" s="51" t="s">
        <v>225</v>
      </c>
      <c r="T11" s="51" t="s">
        <v>224</v>
      </c>
      <c r="U11" s="51" t="s">
        <v>228</v>
      </c>
      <c r="V11" s="51"/>
      <c r="W11" s="51"/>
      <c r="X11" s="51"/>
      <c r="Y11" s="51"/>
      <c r="Z11" s="51"/>
      <c r="AA11" s="51" t="s">
        <v>200</v>
      </c>
      <c r="AB11" s="51"/>
    </row>
    <row r="12" spans="1:28" ht="20.100000000000001" hidden="1" customHeight="1" x14ac:dyDescent="0.25">
      <c r="A12" s="51">
        <v>1027</v>
      </c>
      <c r="B12" s="51" t="s">
        <v>63</v>
      </c>
      <c r="C12" s="51" t="s">
        <v>89</v>
      </c>
      <c r="D12" s="51">
        <v>6821</v>
      </c>
      <c r="E12" s="51" t="s">
        <v>259</v>
      </c>
      <c r="F12" s="51">
        <v>1</v>
      </c>
      <c r="G12" s="51">
        <v>1700</v>
      </c>
      <c r="H12" s="51" t="s">
        <v>253</v>
      </c>
      <c r="I12" s="51" t="s">
        <v>372</v>
      </c>
      <c r="J12" s="51" t="s">
        <v>208</v>
      </c>
      <c r="K12" s="51" t="s">
        <v>197</v>
      </c>
      <c r="L12" s="105">
        <v>18</v>
      </c>
      <c r="M12" s="52">
        <v>46233</v>
      </c>
      <c r="N12" s="52">
        <v>46206</v>
      </c>
      <c r="O12" s="52">
        <v>46406</v>
      </c>
      <c r="P12" s="51" t="s">
        <v>56</v>
      </c>
      <c r="Q12" s="51" t="s">
        <v>56</v>
      </c>
      <c r="R12" s="53" t="s">
        <v>224</v>
      </c>
      <c r="S12" s="51" t="s">
        <v>226</v>
      </c>
      <c r="T12" s="51" t="s">
        <v>227</v>
      </c>
      <c r="U12" s="51" t="s">
        <v>229</v>
      </c>
      <c r="V12" s="51" t="s">
        <v>230</v>
      </c>
      <c r="W12" s="51" t="s">
        <v>231</v>
      </c>
      <c r="X12" s="51" t="s">
        <v>228</v>
      </c>
      <c r="Y12" s="51" t="s">
        <v>232</v>
      </c>
      <c r="Z12" s="51" t="s">
        <v>233</v>
      </c>
      <c r="AA12" s="51" t="s">
        <v>202</v>
      </c>
      <c r="AB12" s="83" t="s">
        <v>542</v>
      </c>
    </row>
    <row r="13" spans="1:28" ht="20.100000000000001" hidden="1" customHeight="1" x14ac:dyDescent="0.25">
      <c r="A13" s="51">
        <v>1027</v>
      </c>
      <c r="B13" s="51" t="s">
        <v>63</v>
      </c>
      <c r="C13" s="51" t="s">
        <v>89</v>
      </c>
      <c r="D13" s="51" t="s">
        <v>63</v>
      </c>
      <c r="E13" s="51" t="s">
        <v>259</v>
      </c>
      <c r="F13" s="51">
        <v>1</v>
      </c>
      <c r="G13" s="51">
        <v>1700</v>
      </c>
      <c r="H13" s="51" t="s">
        <v>252</v>
      </c>
      <c r="I13" s="51" t="s">
        <v>254</v>
      </c>
      <c r="J13" s="51" t="s">
        <v>207</v>
      </c>
      <c r="K13" s="51" t="s">
        <v>210</v>
      </c>
      <c r="L13" s="105" t="s">
        <v>385</v>
      </c>
      <c r="M13" s="51" t="s">
        <v>63</v>
      </c>
      <c r="N13" s="51" t="s">
        <v>63</v>
      </c>
      <c r="O13" s="52">
        <v>46424</v>
      </c>
      <c r="P13" s="51" t="s">
        <v>58</v>
      </c>
      <c r="Q13" s="51" t="s">
        <v>58</v>
      </c>
      <c r="R13" s="51" t="s">
        <v>225</v>
      </c>
      <c r="S13" s="51" t="s">
        <v>224</v>
      </c>
      <c r="T13" s="51" t="s">
        <v>228</v>
      </c>
      <c r="U13" s="51"/>
      <c r="V13" s="51"/>
      <c r="W13" s="51"/>
      <c r="X13" s="51"/>
      <c r="Y13" s="51"/>
      <c r="Z13" s="51"/>
      <c r="AA13" s="51" t="s">
        <v>200</v>
      </c>
      <c r="AB13" s="51" t="s">
        <v>389</v>
      </c>
    </row>
    <row r="14" spans="1:28" ht="20.100000000000001" hidden="1" customHeight="1" x14ac:dyDescent="0.25">
      <c r="A14" s="51">
        <v>1027</v>
      </c>
      <c r="B14" s="51" t="s">
        <v>63</v>
      </c>
      <c r="C14" s="51" t="s">
        <v>89</v>
      </c>
      <c r="D14" s="51">
        <v>6010</v>
      </c>
      <c r="E14" s="51" t="s">
        <v>259</v>
      </c>
      <c r="F14" s="51">
        <v>1</v>
      </c>
      <c r="G14" s="51" t="s">
        <v>201</v>
      </c>
      <c r="H14" s="51" t="s">
        <v>253</v>
      </c>
      <c r="I14" s="51" t="s">
        <v>373</v>
      </c>
      <c r="J14" s="51" t="s">
        <v>204</v>
      </c>
      <c r="K14" s="51" t="s">
        <v>197</v>
      </c>
      <c r="L14" s="105" t="s">
        <v>386</v>
      </c>
      <c r="M14" s="52">
        <v>46233</v>
      </c>
      <c r="N14" s="52">
        <v>46225</v>
      </c>
      <c r="O14" s="52">
        <v>46426</v>
      </c>
      <c r="P14" s="51" t="s">
        <v>56</v>
      </c>
      <c r="Q14" s="51" t="s">
        <v>56</v>
      </c>
      <c r="R14" s="99" t="s">
        <v>224</v>
      </c>
      <c r="S14" s="51" t="s">
        <v>226</v>
      </c>
      <c r="T14" s="51" t="s">
        <v>227</v>
      </c>
      <c r="U14" s="51" t="s">
        <v>229</v>
      </c>
      <c r="V14" s="51" t="s">
        <v>230</v>
      </c>
      <c r="W14" s="51" t="s">
        <v>231</v>
      </c>
      <c r="X14" s="51" t="s">
        <v>228</v>
      </c>
      <c r="Y14" s="51" t="s">
        <v>232</v>
      </c>
      <c r="Z14" s="51" t="s">
        <v>233</v>
      </c>
      <c r="AA14" s="51" t="s">
        <v>202</v>
      </c>
      <c r="AB14" s="83" t="s">
        <v>543</v>
      </c>
    </row>
    <row r="15" spans="1:28" ht="20.100000000000001" hidden="1" customHeight="1" x14ac:dyDescent="0.25">
      <c r="A15" s="51">
        <v>1027</v>
      </c>
      <c r="B15" s="51" t="s">
        <v>63</v>
      </c>
      <c r="C15" s="51" t="s">
        <v>89</v>
      </c>
      <c r="D15" s="51" t="s">
        <v>63</v>
      </c>
      <c r="E15" s="51" t="s">
        <v>259</v>
      </c>
      <c r="F15" s="51">
        <v>1</v>
      </c>
      <c r="G15" s="51">
        <v>1700</v>
      </c>
      <c r="H15" s="51" t="s">
        <v>253</v>
      </c>
      <c r="I15" s="51" t="s">
        <v>373</v>
      </c>
      <c r="J15" s="51" t="s">
        <v>205</v>
      </c>
      <c r="K15" s="51" t="s">
        <v>209</v>
      </c>
      <c r="L15" s="105">
        <v>24</v>
      </c>
      <c r="M15" s="51" t="s">
        <v>63</v>
      </c>
      <c r="N15" s="51" t="s">
        <v>63</v>
      </c>
      <c r="O15" s="52">
        <v>46427</v>
      </c>
      <c r="P15" s="51" t="s">
        <v>58</v>
      </c>
      <c r="Q15" s="51" t="s">
        <v>58</v>
      </c>
      <c r="R15" s="51" t="s">
        <v>369</v>
      </c>
      <c r="S15" s="51" t="s">
        <v>225</v>
      </c>
      <c r="T15" s="51" t="s">
        <v>224</v>
      </c>
      <c r="U15" s="51" t="s">
        <v>228</v>
      </c>
      <c r="V15" s="51"/>
      <c r="W15" s="51"/>
      <c r="X15" s="51"/>
      <c r="Y15" s="51"/>
      <c r="Z15" s="51"/>
      <c r="AA15" s="51" t="s">
        <v>200</v>
      </c>
      <c r="AB15" s="51"/>
    </row>
    <row r="16" spans="1:28" ht="20.100000000000001" hidden="1" customHeight="1" x14ac:dyDescent="0.25">
      <c r="A16" s="51">
        <v>1027</v>
      </c>
      <c r="B16" s="51" t="s">
        <v>63</v>
      </c>
      <c r="C16" s="51" t="s">
        <v>89</v>
      </c>
      <c r="D16" s="51">
        <v>6824</v>
      </c>
      <c r="E16" s="51" t="s">
        <v>259</v>
      </c>
      <c r="F16" s="51">
        <v>1</v>
      </c>
      <c r="G16" s="51">
        <v>1700</v>
      </c>
      <c r="H16" s="51" t="s">
        <v>253</v>
      </c>
      <c r="I16" s="51" t="s">
        <v>373</v>
      </c>
      <c r="J16" s="51" t="s">
        <v>206</v>
      </c>
      <c r="K16" s="51" t="s">
        <v>197</v>
      </c>
      <c r="L16" s="105">
        <v>14</v>
      </c>
      <c r="M16" s="52">
        <v>46233</v>
      </c>
      <c r="N16" s="52">
        <v>46206</v>
      </c>
      <c r="O16" s="52">
        <v>46428</v>
      </c>
      <c r="P16" s="51" t="s">
        <v>56</v>
      </c>
      <c r="Q16" s="51" t="s">
        <v>56</v>
      </c>
      <c r="R16" s="53" t="s">
        <v>224</v>
      </c>
      <c r="S16" s="51" t="s">
        <v>226</v>
      </c>
      <c r="T16" s="51" t="s">
        <v>227</v>
      </c>
      <c r="U16" s="51" t="s">
        <v>229</v>
      </c>
      <c r="V16" s="51" t="s">
        <v>230</v>
      </c>
      <c r="W16" s="51" t="s">
        <v>231</v>
      </c>
      <c r="X16" s="51" t="s">
        <v>228</v>
      </c>
      <c r="Y16" s="51" t="s">
        <v>232</v>
      </c>
      <c r="Z16" s="51" t="s">
        <v>233</v>
      </c>
      <c r="AA16" s="51" t="s">
        <v>202</v>
      </c>
      <c r="AB16" s="83" t="s">
        <v>542</v>
      </c>
    </row>
    <row r="17" spans="1:28" ht="20.100000000000001" hidden="1" customHeight="1" x14ac:dyDescent="0.25">
      <c r="A17" s="51">
        <v>1027</v>
      </c>
      <c r="B17" s="51" t="s">
        <v>63</v>
      </c>
      <c r="C17" s="51" t="s">
        <v>89</v>
      </c>
      <c r="D17" s="51" t="s">
        <v>63</v>
      </c>
      <c r="E17" s="51" t="s">
        <v>259</v>
      </c>
      <c r="F17" s="51">
        <v>1</v>
      </c>
      <c r="G17" s="51">
        <v>1700</v>
      </c>
      <c r="H17" s="51" t="s">
        <v>253</v>
      </c>
      <c r="I17" s="51" t="s">
        <v>373</v>
      </c>
      <c r="J17" s="51" t="s">
        <v>207</v>
      </c>
      <c r="K17" s="51" t="s">
        <v>209</v>
      </c>
      <c r="L17" s="105">
        <v>15</v>
      </c>
      <c r="M17" s="51" t="s">
        <v>63</v>
      </c>
      <c r="N17" s="51" t="s">
        <v>63</v>
      </c>
      <c r="O17" s="52">
        <v>46430</v>
      </c>
      <c r="P17" s="51" t="s">
        <v>58</v>
      </c>
      <c r="Q17" s="51" t="s">
        <v>58</v>
      </c>
      <c r="R17" s="51" t="s">
        <v>369</v>
      </c>
      <c r="S17" s="51" t="s">
        <v>225</v>
      </c>
      <c r="T17" s="51" t="s">
        <v>224</v>
      </c>
      <c r="U17" s="51" t="s">
        <v>228</v>
      </c>
      <c r="V17" s="51"/>
      <c r="W17" s="51"/>
      <c r="X17" s="51"/>
      <c r="Y17" s="51"/>
      <c r="Z17" s="51"/>
      <c r="AA17" s="51" t="s">
        <v>200</v>
      </c>
      <c r="AB17" s="51"/>
    </row>
    <row r="18" spans="1:28" ht="20.100000000000001" hidden="1" customHeight="1" x14ac:dyDescent="0.25">
      <c r="A18" s="51">
        <v>1027</v>
      </c>
      <c r="B18" s="51" t="s">
        <v>63</v>
      </c>
      <c r="C18" s="51" t="s">
        <v>89</v>
      </c>
      <c r="D18" s="51" t="s">
        <v>63</v>
      </c>
      <c r="E18" s="51" t="s">
        <v>259</v>
      </c>
      <c r="F18" s="51">
        <v>1</v>
      </c>
      <c r="G18" s="51">
        <v>1700</v>
      </c>
      <c r="H18" s="51" t="s">
        <v>253</v>
      </c>
      <c r="I18" s="51" t="s">
        <v>373</v>
      </c>
      <c r="J18" s="51" t="s">
        <v>208</v>
      </c>
      <c r="K18" s="51" t="s">
        <v>209</v>
      </c>
      <c r="L18" s="105">
        <v>16</v>
      </c>
      <c r="M18" s="51" t="s">
        <v>63</v>
      </c>
      <c r="N18" s="51" t="s">
        <v>63</v>
      </c>
      <c r="O18" s="52">
        <v>46431</v>
      </c>
      <c r="P18" s="51" t="s">
        <v>58</v>
      </c>
      <c r="Q18" s="51" t="s">
        <v>58</v>
      </c>
      <c r="R18" s="51" t="s">
        <v>369</v>
      </c>
      <c r="S18" s="51" t="s">
        <v>225</v>
      </c>
      <c r="T18" s="51" t="s">
        <v>224</v>
      </c>
      <c r="U18" s="51" t="s">
        <v>228</v>
      </c>
      <c r="V18" s="51"/>
      <c r="W18" s="51"/>
      <c r="X18" s="51"/>
      <c r="Y18" s="51"/>
      <c r="Z18" s="51"/>
      <c r="AA18" s="51" t="s">
        <v>200</v>
      </c>
      <c r="AB18" s="51"/>
    </row>
    <row r="19" spans="1:28" ht="20.100000000000001" customHeight="1" x14ac:dyDescent="0.25">
      <c r="A19" s="51">
        <v>1005</v>
      </c>
      <c r="B19" s="51" t="s">
        <v>63</v>
      </c>
      <c r="C19" s="51" t="s">
        <v>152</v>
      </c>
      <c r="D19" s="51" t="s">
        <v>63</v>
      </c>
      <c r="E19" s="51" t="s">
        <v>259</v>
      </c>
      <c r="F19" s="51">
        <v>1</v>
      </c>
      <c r="G19" s="51" t="s">
        <v>247</v>
      </c>
      <c r="H19" s="51" t="s">
        <v>252</v>
      </c>
      <c r="I19" s="51" t="s">
        <v>371</v>
      </c>
      <c r="J19" s="51" t="s">
        <v>204</v>
      </c>
      <c r="K19" s="51" t="s">
        <v>209</v>
      </c>
      <c r="L19" s="51">
        <v>31</v>
      </c>
      <c r="M19" s="51" t="s">
        <v>63</v>
      </c>
      <c r="N19" s="51" t="s">
        <v>63</v>
      </c>
      <c r="O19" s="52">
        <v>46122</v>
      </c>
      <c r="P19" s="51" t="s">
        <v>56</v>
      </c>
      <c r="Q19" s="51" t="s">
        <v>56</v>
      </c>
      <c r="R19" s="53" t="s">
        <v>369</v>
      </c>
      <c r="S19" s="53" t="s">
        <v>225</v>
      </c>
      <c r="T19" s="53" t="s">
        <v>224</v>
      </c>
      <c r="U19" s="53" t="s">
        <v>228</v>
      </c>
      <c r="V19" s="51"/>
      <c r="W19" s="51"/>
      <c r="X19" s="51"/>
      <c r="Y19" s="51"/>
      <c r="Z19" s="51"/>
      <c r="AA19" s="51" t="s">
        <v>256</v>
      </c>
      <c r="AB19" s="51" t="s">
        <v>448</v>
      </c>
    </row>
    <row r="20" spans="1:28" ht="20.100000000000001" customHeight="1" x14ac:dyDescent="0.25">
      <c r="A20" s="51">
        <v>1005</v>
      </c>
      <c r="B20" s="51" t="s">
        <v>63</v>
      </c>
      <c r="C20" s="51" t="s">
        <v>152</v>
      </c>
      <c r="D20" s="51" t="s">
        <v>63</v>
      </c>
      <c r="E20" s="51" t="s">
        <v>259</v>
      </c>
      <c r="F20" s="51">
        <v>1</v>
      </c>
      <c r="G20" s="51" t="s">
        <v>247</v>
      </c>
      <c r="H20" s="51" t="s">
        <v>252</v>
      </c>
      <c r="I20" s="51" t="s">
        <v>371</v>
      </c>
      <c r="J20" s="51" t="s">
        <v>205</v>
      </c>
      <c r="K20" s="51" t="s">
        <v>209</v>
      </c>
      <c r="L20" s="51">
        <v>32</v>
      </c>
      <c r="M20" s="51" t="s">
        <v>63</v>
      </c>
      <c r="N20" s="51" t="s">
        <v>63</v>
      </c>
      <c r="O20" s="52">
        <v>46122</v>
      </c>
      <c r="P20" s="51" t="s">
        <v>56</v>
      </c>
      <c r="Q20" s="51" t="s">
        <v>56</v>
      </c>
      <c r="R20" s="53" t="s">
        <v>369</v>
      </c>
      <c r="S20" s="53" t="s">
        <v>225</v>
      </c>
      <c r="T20" s="53" t="s">
        <v>224</v>
      </c>
      <c r="U20" s="53" t="s">
        <v>228</v>
      </c>
      <c r="V20" s="51"/>
      <c r="W20" s="51"/>
      <c r="X20" s="51"/>
      <c r="Y20" s="51"/>
      <c r="Z20" s="51"/>
      <c r="AA20" s="51" t="s">
        <v>256</v>
      </c>
      <c r="AB20" s="51" t="s">
        <v>448</v>
      </c>
    </row>
    <row r="21" spans="1:28" ht="20.100000000000001" customHeight="1" x14ac:dyDescent="0.25">
      <c r="A21" s="51">
        <v>1005</v>
      </c>
      <c r="B21" s="51" t="s">
        <v>63</v>
      </c>
      <c r="C21" s="51" t="s">
        <v>152</v>
      </c>
      <c r="D21" s="51" t="s">
        <v>63</v>
      </c>
      <c r="E21" s="51" t="s">
        <v>259</v>
      </c>
      <c r="F21" s="51">
        <v>1</v>
      </c>
      <c r="G21" s="51" t="s">
        <v>247</v>
      </c>
      <c r="H21" s="51" t="s">
        <v>252</v>
      </c>
      <c r="I21" s="51" t="s">
        <v>373</v>
      </c>
      <c r="J21" s="51" t="s">
        <v>205</v>
      </c>
      <c r="K21" s="51" t="s">
        <v>209</v>
      </c>
      <c r="L21" s="51">
        <v>17</v>
      </c>
      <c r="M21" s="51" t="s">
        <v>63</v>
      </c>
      <c r="N21" s="51" t="s">
        <v>63</v>
      </c>
      <c r="O21" s="52">
        <v>46122</v>
      </c>
      <c r="P21" s="51" t="s">
        <v>56</v>
      </c>
      <c r="Q21" s="51" t="s">
        <v>56</v>
      </c>
      <c r="R21" s="53" t="s">
        <v>369</v>
      </c>
      <c r="S21" s="53" t="s">
        <v>225</v>
      </c>
      <c r="T21" s="53" t="s">
        <v>224</v>
      </c>
      <c r="U21" s="53" t="s">
        <v>228</v>
      </c>
      <c r="V21" s="51"/>
      <c r="W21" s="51"/>
      <c r="X21" s="51"/>
      <c r="Y21" s="51"/>
      <c r="Z21" s="51"/>
      <c r="AA21" s="51" t="s">
        <v>256</v>
      </c>
      <c r="AB21" s="51" t="s">
        <v>448</v>
      </c>
    </row>
    <row r="22" spans="1:28" ht="20.100000000000001" customHeight="1" x14ac:dyDescent="0.25">
      <c r="A22" s="51">
        <v>1005</v>
      </c>
      <c r="B22" s="51" t="s">
        <v>63</v>
      </c>
      <c r="C22" s="51" t="s">
        <v>152</v>
      </c>
      <c r="D22" s="51" t="s">
        <v>63</v>
      </c>
      <c r="E22" s="51" t="s">
        <v>259</v>
      </c>
      <c r="F22" s="51">
        <v>1</v>
      </c>
      <c r="G22" s="51" t="s">
        <v>247</v>
      </c>
      <c r="H22" s="51" t="s">
        <v>252</v>
      </c>
      <c r="I22" s="51" t="s">
        <v>450</v>
      </c>
      <c r="J22" s="51" t="s">
        <v>205</v>
      </c>
      <c r="K22" s="51" t="s">
        <v>209</v>
      </c>
      <c r="L22" s="51">
        <v>7</v>
      </c>
      <c r="M22" s="51" t="s">
        <v>63</v>
      </c>
      <c r="N22" s="51" t="s">
        <v>63</v>
      </c>
      <c r="O22" s="52">
        <v>46122</v>
      </c>
      <c r="P22" s="51" t="s">
        <v>56</v>
      </c>
      <c r="Q22" s="51" t="s">
        <v>56</v>
      </c>
      <c r="R22" s="53" t="s">
        <v>369</v>
      </c>
      <c r="S22" s="53" t="s">
        <v>225</v>
      </c>
      <c r="T22" s="53" t="s">
        <v>224</v>
      </c>
      <c r="U22" s="53" t="s">
        <v>228</v>
      </c>
      <c r="V22" s="51"/>
      <c r="W22" s="51"/>
      <c r="X22" s="51"/>
      <c r="Y22" s="51"/>
      <c r="Z22" s="51"/>
      <c r="AA22" s="51" t="s">
        <v>256</v>
      </c>
      <c r="AB22" s="51" t="s">
        <v>448</v>
      </c>
    </row>
    <row r="23" spans="1:28" ht="20.100000000000001" customHeight="1" x14ac:dyDescent="0.25">
      <c r="A23" s="51">
        <v>1005</v>
      </c>
      <c r="B23" s="51" t="s">
        <v>63</v>
      </c>
      <c r="C23" s="51" t="s">
        <v>152</v>
      </c>
      <c r="D23" s="51" t="s">
        <v>63</v>
      </c>
      <c r="E23" s="51" t="s">
        <v>259</v>
      </c>
      <c r="F23" s="51">
        <v>1</v>
      </c>
      <c r="G23" s="51" t="s">
        <v>247</v>
      </c>
      <c r="H23" s="51" t="s">
        <v>252</v>
      </c>
      <c r="I23" s="51" t="s">
        <v>371</v>
      </c>
      <c r="J23" s="51" t="s">
        <v>206</v>
      </c>
      <c r="K23" s="51" t="s">
        <v>209</v>
      </c>
      <c r="L23" s="51">
        <v>21</v>
      </c>
      <c r="M23" s="51" t="s">
        <v>63</v>
      </c>
      <c r="N23" s="51" t="s">
        <v>63</v>
      </c>
      <c r="O23" s="52">
        <v>46122</v>
      </c>
      <c r="P23" s="51" t="s">
        <v>56</v>
      </c>
      <c r="Q23" s="51" t="s">
        <v>56</v>
      </c>
      <c r="R23" s="53" t="s">
        <v>369</v>
      </c>
      <c r="S23" s="53" t="s">
        <v>225</v>
      </c>
      <c r="T23" s="53" t="s">
        <v>224</v>
      </c>
      <c r="U23" s="53" t="s">
        <v>228</v>
      </c>
      <c r="V23" s="51"/>
      <c r="W23" s="51"/>
      <c r="X23" s="51"/>
      <c r="Y23" s="51"/>
      <c r="Z23" s="51"/>
      <c r="AA23" s="51" t="s">
        <v>256</v>
      </c>
      <c r="AB23" s="51" t="s">
        <v>448</v>
      </c>
    </row>
    <row r="24" spans="1:28" ht="20.100000000000001" customHeight="1" x14ac:dyDescent="0.25">
      <c r="A24" s="51">
        <v>1005</v>
      </c>
      <c r="B24" s="51" t="s">
        <v>63</v>
      </c>
      <c r="C24" s="51" t="s">
        <v>152</v>
      </c>
      <c r="D24" s="51" t="s">
        <v>63</v>
      </c>
      <c r="E24" s="51" t="s">
        <v>259</v>
      </c>
      <c r="F24" s="51">
        <v>1</v>
      </c>
      <c r="G24" s="51" t="s">
        <v>247</v>
      </c>
      <c r="H24" s="51" t="s">
        <v>252</v>
      </c>
      <c r="I24" s="51" t="s">
        <v>450</v>
      </c>
      <c r="J24" s="51" t="s">
        <v>206</v>
      </c>
      <c r="K24" s="51" t="s">
        <v>209</v>
      </c>
      <c r="L24" s="51">
        <v>4</v>
      </c>
      <c r="M24" s="51" t="s">
        <v>63</v>
      </c>
      <c r="N24" s="51" t="s">
        <v>63</v>
      </c>
      <c r="O24" s="52">
        <v>46122</v>
      </c>
      <c r="P24" s="51" t="s">
        <v>56</v>
      </c>
      <c r="Q24" s="51" t="s">
        <v>56</v>
      </c>
      <c r="R24" s="53" t="s">
        <v>369</v>
      </c>
      <c r="S24" s="53" t="s">
        <v>225</v>
      </c>
      <c r="T24" s="53" t="s">
        <v>224</v>
      </c>
      <c r="U24" s="53" t="s">
        <v>228</v>
      </c>
      <c r="V24" s="51"/>
      <c r="W24" s="51"/>
      <c r="X24" s="51"/>
      <c r="Y24" s="51"/>
      <c r="Z24" s="51"/>
      <c r="AA24" s="51" t="s">
        <v>256</v>
      </c>
      <c r="AB24" s="51" t="s">
        <v>448</v>
      </c>
    </row>
    <row r="25" spans="1:28" ht="20.100000000000001" customHeight="1" x14ac:dyDescent="0.25">
      <c r="A25" s="51">
        <v>1005</v>
      </c>
      <c r="B25" s="51" t="s">
        <v>63</v>
      </c>
      <c r="C25" s="51" t="s">
        <v>152</v>
      </c>
      <c r="D25" s="51" t="s">
        <v>63</v>
      </c>
      <c r="E25" s="51" t="s">
        <v>259</v>
      </c>
      <c r="F25" s="51">
        <v>1</v>
      </c>
      <c r="G25" s="51" t="s">
        <v>247</v>
      </c>
      <c r="H25" s="51" t="s">
        <v>252</v>
      </c>
      <c r="I25" s="51" t="s">
        <v>371</v>
      </c>
      <c r="J25" s="51" t="s">
        <v>207</v>
      </c>
      <c r="K25" s="51" t="s">
        <v>209</v>
      </c>
      <c r="L25" s="51">
        <v>5</v>
      </c>
      <c r="M25" s="51" t="s">
        <v>63</v>
      </c>
      <c r="N25" s="51" t="s">
        <v>63</v>
      </c>
      <c r="O25" s="52">
        <v>46122</v>
      </c>
      <c r="P25" s="51" t="s">
        <v>56</v>
      </c>
      <c r="Q25" s="51" t="s">
        <v>56</v>
      </c>
      <c r="R25" s="53" t="s">
        <v>369</v>
      </c>
      <c r="S25" s="53" t="s">
        <v>225</v>
      </c>
      <c r="T25" s="53" t="s">
        <v>224</v>
      </c>
      <c r="U25" s="53" t="s">
        <v>228</v>
      </c>
      <c r="V25" s="51"/>
      <c r="W25" s="51"/>
      <c r="X25" s="51"/>
      <c r="Y25" s="51"/>
      <c r="Z25" s="51"/>
      <c r="AA25" s="51" t="s">
        <v>256</v>
      </c>
      <c r="AB25" s="51" t="s">
        <v>448</v>
      </c>
    </row>
    <row r="26" spans="1:28" ht="20.100000000000001" customHeight="1" x14ac:dyDescent="0.25">
      <c r="A26" s="51">
        <v>1005</v>
      </c>
      <c r="B26" s="51" t="s">
        <v>63</v>
      </c>
      <c r="C26" s="51" t="s">
        <v>152</v>
      </c>
      <c r="D26" s="51" t="s">
        <v>63</v>
      </c>
      <c r="E26" s="51" t="s">
        <v>259</v>
      </c>
      <c r="F26" s="51">
        <v>1</v>
      </c>
      <c r="G26" s="51" t="s">
        <v>247</v>
      </c>
      <c r="H26" s="51" t="s">
        <v>252</v>
      </c>
      <c r="I26" s="51" t="s">
        <v>373</v>
      </c>
      <c r="J26" s="51" t="s">
        <v>207</v>
      </c>
      <c r="K26" s="51" t="s">
        <v>209</v>
      </c>
      <c r="L26" s="51">
        <v>33</v>
      </c>
      <c r="M26" s="51" t="s">
        <v>63</v>
      </c>
      <c r="N26" s="51" t="s">
        <v>63</v>
      </c>
      <c r="O26" s="52">
        <v>46122</v>
      </c>
      <c r="P26" s="51" t="s">
        <v>56</v>
      </c>
      <c r="Q26" s="51" t="s">
        <v>56</v>
      </c>
      <c r="R26" s="53" t="s">
        <v>369</v>
      </c>
      <c r="S26" s="53" t="s">
        <v>225</v>
      </c>
      <c r="T26" s="53" t="s">
        <v>224</v>
      </c>
      <c r="U26" s="53" t="s">
        <v>228</v>
      </c>
      <c r="V26" s="51"/>
      <c r="W26" s="51"/>
      <c r="X26" s="51"/>
      <c r="Y26" s="51"/>
      <c r="Z26" s="51"/>
      <c r="AA26" s="51" t="s">
        <v>256</v>
      </c>
      <c r="AB26" s="51" t="s">
        <v>448</v>
      </c>
    </row>
    <row r="27" spans="1:28" ht="20.100000000000001" customHeight="1" x14ac:dyDescent="0.25">
      <c r="A27" s="51">
        <v>1005</v>
      </c>
      <c r="B27" s="51" t="s">
        <v>63</v>
      </c>
      <c r="C27" s="51" t="s">
        <v>152</v>
      </c>
      <c r="D27" s="51" t="s">
        <v>63</v>
      </c>
      <c r="E27" s="51" t="s">
        <v>259</v>
      </c>
      <c r="F27" s="51">
        <v>1</v>
      </c>
      <c r="G27" s="51" t="s">
        <v>247</v>
      </c>
      <c r="H27" s="51" t="s">
        <v>252</v>
      </c>
      <c r="I27" s="51" t="s">
        <v>371</v>
      </c>
      <c r="J27" s="51" t="s">
        <v>208</v>
      </c>
      <c r="K27" s="51" t="s">
        <v>209</v>
      </c>
      <c r="L27" s="51">
        <v>13</v>
      </c>
      <c r="M27" s="51" t="s">
        <v>63</v>
      </c>
      <c r="N27" s="51" t="s">
        <v>63</v>
      </c>
      <c r="O27" s="52">
        <v>46122</v>
      </c>
      <c r="P27" s="51" t="s">
        <v>56</v>
      </c>
      <c r="Q27" s="51" t="s">
        <v>56</v>
      </c>
      <c r="R27" s="53" t="s">
        <v>369</v>
      </c>
      <c r="S27" s="53" t="s">
        <v>225</v>
      </c>
      <c r="T27" s="53" t="s">
        <v>224</v>
      </c>
      <c r="U27" s="53" t="s">
        <v>228</v>
      </c>
      <c r="V27" s="51"/>
      <c r="W27" s="51"/>
      <c r="X27" s="51"/>
      <c r="Y27" s="51"/>
      <c r="Z27" s="51"/>
      <c r="AA27" s="51" t="s">
        <v>256</v>
      </c>
      <c r="AB27" s="51" t="s">
        <v>448</v>
      </c>
    </row>
    <row r="28" spans="1:28" ht="20.100000000000001" customHeight="1" x14ac:dyDescent="0.25">
      <c r="A28" s="51">
        <v>1005</v>
      </c>
      <c r="B28" s="51" t="s">
        <v>63</v>
      </c>
      <c r="C28" s="51" t="s">
        <v>152</v>
      </c>
      <c r="D28" s="51" t="s">
        <v>63</v>
      </c>
      <c r="E28" s="51" t="s">
        <v>259</v>
      </c>
      <c r="F28" s="51">
        <v>1</v>
      </c>
      <c r="G28" s="51" t="s">
        <v>247</v>
      </c>
      <c r="H28" s="51" t="s">
        <v>252</v>
      </c>
      <c r="I28" s="51" t="s">
        <v>373</v>
      </c>
      <c r="J28" s="51" t="s">
        <v>208</v>
      </c>
      <c r="K28" s="51" t="s">
        <v>209</v>
      </c>
      <c r="L28" s="51">
        <v>30</v>
      </c>
      <c r="M28" s="51" t="s">
        <v>63</v>
      </c>
      <c r="N28" s="51" t="s">
        <v>63</v>
      </c>
      <c r="O28" s="52">
        <v>46122</v>
      </c>
      <c r="P28" s="51" t="s">
        <v>56</v>
      </c>
      <c r="Q28" s="51" t="s">
        <v>56</v>
      </c>
      <c r="R28" s="53" t="s">
        <v>369</v>
      </c>
      <c r="S28" s="53" t="s">
        <v>225</v>
      </c>
      <c r="T28" s="53" t="s">
        <v>224</v>
      </c>
      <c r="U28" s="53" t="s">
        <v>228</v>
      </c>
      <c r="V28" s="51"/>
      <c r="W28" s="51"/>
      <c r="X28" s="51"/>
      <c r="Y28" s="51"/>
      <c r="Z28" s="51"/>
      <c r="AA28" s="51" t="s">
        <v>256</v>
      </c>
      <c r="AB28" s="51" t="s">
        <v>448</v>
      </c>
    </row>
    <row r="29" spans="1:28" ht="20.100000000000001" customHeight="1" x14ac:dyDescent="0.25">
      <c r="A29" s="51">
        <v>1005</v>
      </c>
      <c r="B29" s="51" t="s">
        <v>63</v>
      </c>
      <c r="C29" s="51" t="s">
        <v>152</v>
      </c>
      <c r="D29" s="51" t="s">
        <v>63</v>
      </c>
      <c r="E29" s="51" t="s">
        <v>259</v>
      </c>
      <c r="F29" s="51">
        <v>1</v>
      </c>
      <c r="G29" s="51" t="s">
        <v>247</v>
      </c>
      <c r="H29" s="51" t="s">
        <v>252</v>
      </c>
      <c r="I29" s="51" t="s">
        <v>450</v>
      </c>
      <c r="J29" s="51" t="s">
        <v>208</v>
      </c>
      <c r="K29" s="51" t="s">
        <v>209</v>
      </c>
      <c r="L29" s="51">
        <v>23</v>
      </c>
      <c r="M29" s="51" t="s">
        <v>63</v>
      </c>
      <c r="N29" s="51" t="s">
        <v>63</v>
      </c>
      <c r="O29" s="52">
        <v>46122</v>
      </c>
      <c r="P29" s="51" t="s">
        <v>56</v>
      </c>
      <c r="Q29" s="51" t="s">
        <v>56</v>
      </c>
      <c r="R29" s="53" t="s">
        <v>369</v>
      </c>
      <c r="S29" s="53" t="s">
        <v>225</v>
      </c>
      <c r="T29" s="53" t="s">
        <v>224</v>
      </c>
      <c r="U29" s="53" t="s">
        <v>228</v>
      </c>
      <c r="V29" s="51"/>
      <c r="W29" s="51"/>
      <c r="X29" s="51"/>
      <c r="Y29" s="51"/>
      <c r="Z29" s="51"/>
      <c r="AA29" s="51" t="s">
        <v>326</v>
      </c>
      <c r="AB29" s="51"/>
    </row>
    <row r="30" spans="1:28" ht="20.100000000000001" hidden="1" customHeight="1" x14ac:dyDescent="0.25">
      <c r="A30" s="54">
        <v>2077</v>
      </c>
      <c r="B30" s="51" t="s">
        <v>63</v>
      </c>
      <c r="C30" s="54" t="s">
        <v>255</v>
      </c>
      <c r="D30" s="54">
        <v>6728</v>
      </c>
      <c r="E30" s="54" t="s">
        <v>259</v>
      </c>
      <c r="F30" s="54">
        <v>1</v>
      </c>
      <c r="G30" s="54" t="s">
        <v>201</v>
      </c>
      <c r="H30" s="54" t="s">
        <v>252</v>
      </c>
      <c r="I30" s="54" t="s">
        <v>63</v>
      </c>
      <c r="J30" s="54" t="s">
        <v>63</v>
      </c>
      <c r="K30" s="54" t="s">
        <v>197</v>
      </c>
      <c r="L30" s="54">
        <v>6032</v>
      </c>
      <c r="M30" s="52">
        <v>46054</v>
      </c>
      <c r="N30" s="52">
        <v>46054</v>
      </c>
      <c r="O30" s="55">
        <v>46090</v>
      </c>
      <c r="P30" s="54" t="s">
        <v>56</v>
      </c>
      <c r="Q30" s="54" t="s">
        <v>56</v>
      </c>
      <c r="R30" s="56" t="s">
        <v>224</v>
      </c>
      <c r="S30" s="56" t="s">
        <v>227</v>
      </c>
      <c r="T30" s="56" t="s">
        <v>232</v>
      </c>
      <c r="U30" s="56" t="s">
        <v>233</v>
      </c>
      <c r="V30" s="54"/>
      <c r="W30" s="54"/>
      <c r="X30" s="54"/>
      <c r="Y30" s="54"/>
      <c r="Z30" s="54"/>
      <c r="AA30" s="54" t="s">
        <v>326</v>
      </c>
      <c r="AB30" s="54"/>
    </row>
    <row r="31" spans="1:28" ht="20.100000000000001" hidden="1" customHeight="1" x14ac:dyDescent="0.25">
      <c r="A31" s="54">
        <v>2077</v>
      </c>
      <c r="B31" s="51" t="s">
        <v>63</v>
      </c>
      <c r="C31" s="54" t="s">
        <v>255</v>
      </c>
      <c r="D31" s="54">
        <v>6727</v>
      </c>
      <c r="E31" s="54" t="s">
        <v>259</v>
      </c>
      <c r="F31" s="54">
        <v>1</v>
      </c>
      <c r="G31" s="54" t="s">
        <v>201</v>
      </c>
      <c r="H31" s="54" t="s">
        <v>253</v>
      </c>
      <c r="I31" s="54" t="s">
        <v>63</v>
      </c>
      <c r="J31" s="54" t="s">
        <v>63</v>
      </c>
      <c r="K31" s="54" t="s">
        <v>197</v>
      </c>
      <c r="L31" s="54">
        <v>6040</v>
      </c>
      <c r="M31" s="52">
        <v>46054</v>
      </c>
      <c r="N31" s="52">
        <v>46054</v>
      </c>
      <c r="O31" s="55">
        <v>46192</v>
      </c>
      <c r="P31" s="54" t="s">
        <v>56</v>
      </c>
      <c r="Q31" s="54" t="s">
        <v>56</v>
      </c>
      <c r="R31" s="56" t="s">
        <v>224</v>
      </c>
      <c r="S31" s="56" t="s">
        <v>226</v>
      </c>
      <c r="T31" s="56" t="s">
        <v>227</v>
      </c>
      <c r="U31" s="56" t="s">
        <v>229</v>
      </c>
      <c r="V31" s="56" t="s">
        <v>230</v>
      </c>
      <c r="W31" s="56" t="s">
        <v>231</v>
      </c>
      <c r="X31" s="56" t="s">
        <v>232</v>
      </c>
      <c r="Y31" s="56" t="s">
        <v>233</v>
      </c>
      <c r="Z31" s="54"/>
      <c r="AA31" s="54" t="s">
        <v>76</v>
      </c>
      <c r="AB31" s="54"/>
    </row>
    <row r="32" spans="1:28" ht="20.100000000000001" hidden="1" customHeight="1" x14ac:dyDescent="0.25">
      <c r="A32" s="54">
        <v>1386</v>
      </c>
      <c r="B32" s="51" t="s">
        <v>63</v>
      </c>
      <c r="C32" s="54" t="s">
        <v>255</v>
      </c>
      <c r="D32" s="54">
        <v>6169</v>
      </c>
      <c r="E32" s="54" t="s">
        <v>259</v>
      </c>
      <c r="F32" s="54">
        <v>1</v>
      </c>
      <c r="G32" s="54" t="s">
        <v>201</v>
      </c>
      <c r="H32" s="54" t="s">
        <v>252</v>
      </c>
      <c r="I32" s="54" t="s">
        <v>63</v>
      </c>
      <c r="J32" s="54" t="s">
        <v>63</v>
      </c>
      <c r="K32" s="54" t="s">
        <v>197</v>
      </c>
      <c r="L32" s="54">
        <v>6075</v>
      </c>
      <c r="M32" s="52">
        <v>46054</v>
      </c>
      <c r="N32" s="52">
        <v>46054</v>
      </c>
      <c r="O32" s="54"/>
      <c r="P32" s="54" t="s">
        <v>56</v>
      </c>
      <c r="Q32" s="54" t="s">
        <v>56</v>
      </c>
      <c r="R32" s="56" t="s">
        <v>224</v>
      </c>
      <c r="S32" s="56" t="s">
        <v>227</v>
      </c>
      <c r="T32" s="56" t="s">
        <v>232</v>
      </c>
      <c r="U32" s="56" t="s">
        <v>233</v>
      </c>
      <c r="V32" s="54"/>
      <c r="W32" s="54"/>
      <c r="X32" s="54"/>
      <c r="Y32" s="54"/>
      <c r="Z32" s="54"/>
      <c r="AA32" s="54" t="s">
        <v>256</v>
      </c>
      <c r="AB32" s="54" t="s">
        <v>370</v>
      </c>
    </row>
    <row r="33" spans="1:28" ht="20.100000000000001" hidden="1" customHeight="1" x14ac:dyDescent="0.25">
      <c r="A33" s="54">
        <v>2078</v>
      </c>
      <c r="B33" s="51" t="s">
        <v>63</v>
      </c>
      <c r="C33" s="51" t="s">
        <v>258</v>
      </c>
      <c r="D33" s="54">
        <v>6741</v>
      </c>
      <c r="E33" s="54" t="s">
        <v>259</v>
      </c>
      <c r="F33" s="54">
        <v>1</v>
      </c>
      <c r="G33" s="51" t="s">
        <v>260</v>
      </c>
      <c r="H33" s="51" t="s">
        <v>252</v>
      </c>
      <c r="I33" s="54" t="s">
        <v>63</v>
      </c>
      <c r="J33" s="54" t="s">
        <v>63</v>
      </c>
      <c r="K33" s="54" t="s">
        <v>197</v>
      </c>
      <c r="L33" s="54">
        <v>123</v>
      </c>
      <c r="M33" s="52">
        <v>46054</v>
      </c>
      <c r="N33" s="52">
        <v>46054</v>
      </c>
      <c r="O33" s="55">
        <v>46090</v>
      </c>
      <c r="P33" s="54" t="s">
        <v>56</v>
      </c>
      <c r="Q33" s="54" t="s">
        <v>56</v>
      </c>
      <c r="R33" s="56" t="s">
        <v>224</v>
      </c>
      <c r="S33" s="56" t="s">
        <v>227</v>
      </c>
      <c r="T33" s="56" t="s">
        <v>232</v>
      </c>
      <c r="U33" s="56" t="s">
        <v>233</v>
      </c>
      <c r="V33" s="51"/>
      <c r="W33" s="51"/>
      <c r="X33" s="51"/>
      <c r="Y33" s="51"/>
      <c r="Z33" s="51"/>
      <c r="AA33" s="51" t="s">
        <v>326</v>
      </c>
      <c r="AB33" s="54"/>
    </row>
    <row r="34" spans="1:28" ht="20.100000000000001" hidden="1" customHeight="1" x14ac:dyDescent="0.25">
      <c r="A34" s="54">
        <v>2078</v>
      </c>
      <c r="B34" s="51" t="s">
        <v>63</v>
      </c>
      <c r="C34" s="51" t="s">
        <v>258</v>
      </c>
      <c r="D34" s="54">
        <v>6734</v>
      </c>
      <c r="E34" s="54" t="s">
        <v>259</v>
      </c>
      <c r="F34" s="54">
        <v>1</v>
      </c>
      <c r="G34" s="51" t="s">
        <v>260</v>
      </c>
      <c r="H34" s="51" t="s">
        <v>252</v>
      </c>
      <c r="I34" s="54" t="s">
        <v>63</v>
      </c>
      <c r="J34" s="54" t="s">
        <v>63</v>
      </c>
      <c r="K34" s="54" t="s">
        <v>197</v>
      </c>
      <c r="L34" s="54">
        <v>6734</v>
      </c>
      <c r="M34" s="52">
        <v>46054</v>
      </c>
      <c r="N34" s="52">
        <v>46054</v>
      </c>
      <c r="O34" s="55">
        <v>46090</v>
      </c>
      <c r="P34" s="54" t="s">
        <v>56</v>
      </c>
      <c r="Q34" s="54" t="s">
        <v>56</v>
      </c>
      <c r="R34" s="56" t="s">
        <v>224</v>
      </c>
      <c r="S34" s="56" t="s">
        <v>227</v>
      </c>
      <c r="T34" s="56" t="s">
        <v>232</v>
      </c>
      <c r="U34" s="56" t="s">
        <v>233</v>
      </c>
      <c r="V34" s="51"/>
      <c r="W34" s="51"/>
      <c r="X34" s="51"/>
      <c r="Y34" s="51"/>
      <c r="Z34" s="51"/>
      <c r="AA34" s="51" t="s">
        <v>326</v>
      </c>
      <c r="AB34" s="54"/>
    </row>
    <row r="35" spans="1:28" ht="20.100000000000001" hidden="1" customHeight="1" x14ac:dyDescent="0.25">
      <c r="A35" s="54">
        <v>2078</v>
      </c>
      <c r="B35" s="51" t="s">
        <v>63</v>
      </c>
      <c r="C35" s="51" t="s">
        <v>258</v>
      </c>
      <c r="D35" s="54">
        <v>6737</v>
      </c>
      <c r="E35" s="54" t="s">
        <v>259</v>
      </c>
      <c r="F35" s="54">
        <v>1</v>
      </c>
      <c r="G35" s="51" t="s">
        <v>260</v>
      </c>
      <c r="H35" s="51" t="s">
        <v>252</v>
      </c>
      <c r="I35" s="54" t="s">
        <v>63</v>
      </c>
      <c r="J35" s="54" t="s">
        <v>63</v>
      </c>
      <c r="K35" s="54" t="s">
        <v>197</v>
      </c>
      <c r="L35" s="54">
        <v>173</v>
      </c>
      <c r="M35" s="52">
        <v>46054</v>
      </c>
      <c r="N35" s="52">
        <v>46054</v>
      </c>
      <c r="O35" s="55">
        <v>46090</v>
      </c>
      <c r="P35" s="54" t="s">
        <v>56</v>
      </c>
      <c r="Q35" s="54" t="s">
        <v>56</v>
      </c>
      <c r="R35" s="56" t="s">
        <v>224</v>
      </c>
      <c r="S35" s="56" t="s">
        <v>227</v>
      </c>
      <c r="T35" s="56" t="s">
        <v>232</v>
      </c>
      <c r="U35" s="56" t="s">
        <v>233</v>
      </c>
      <c r="V35" s="51"/>
      <c r="W35" s="51"/>
      <c r="X35" s="51"/>
      <c r="Y35" s="51"/>
      <c r="Z35" s="51"/>
      <c r="AA35" s="51" t="s">
        <v>326</v>
      </c>
      <c r="AB35" s="54"/>
    </row>
    <row r="36" spans="1:28" ht="20.100000000000001" hidden="1" customHeight="1" x14ac:dyDescent="0.25">
      <c r="A36" s="54">
        <v>2078</v>
      </c>
      <c r="B36" s="51" t="s">
        <v>63</v>
      </c>
      <c r="C36" s="51" t="s">
        <v>258</v>
      </c>
      <c r="D36" s="54">
        <v>6742</v>
      </c>
      <c r="E36" s="54" t="s">
        <v>259</v>
      </c>
      <c r="F36" s="54">
        <v>1</v>
      </c>
      <c r="G36" s="51" t="s">
        <v>260</v>
      </c>
      <c r="H36" s="51" t="s">
        <v>253</v>
      </c>
      <c r="I36" s="54" t="s">
        <v>63</v>
      </c>
      <c r="J36" s="54" t="s">
        <v>63</v>
      </c>
      <c r="K36" s="54" t="s">
        <v>197</v>
      </c>
      <c r="L36" s="54">
        <v>181</v>
      </c>
      <c r="M36" s="52">
        <v>46054</v>
      </c>
      <c r="N36" s="52">
        <v>46054</v>
      </c>
      <c r="O36" s="55">
        <v>46127</v>
      </c>
      <c r="P36" s="54" t="s">
        <v>56</v>
      </c>
      <c r="Q36" s="54" t="s">
        <v>56</v>
      </c>
      <c r="R36" s="56" t="s">
        <v>224</v>
      </c>
      <c r="S36" s="56" t="s">
        <v>226</v>
      </c>
      <c r="T36" s="56" t="s">
        <v>227</v>
      </c>
      <c r="U36" s="56" t="s">
        <v>229</v>
      </c>
      <c r="V36" s="56" t="s">
        <v>230</v>
      </c>
      <c r="W36" s="56" t="s">
        <v>231</v>
      </c>
      <c r="X36" s="56" t="s">
        <v>232</v>
      </c>
      <c r="Y36" s="56" t="s">
        <v>233</v>
      </c>
      <c r="Z36" s="51"/>
      <c r="AA36" s="54" t="s">
        <v>76</v>
      </c>
      <c r="AB36" s="51"/>
    </row>
    <row r="37" spans="1:28" ht="20.100000000000001" hidden="1" customHeight="1" x14ac:dyDescent="0.25">
      <c r="A37" s="54">
        <v>2078</v>
      </c>
      <c r="B37" s="51" t="s">
        <v>63</v>
      </c>
      <c r="C37" s="51" t="s">
        <v>258</v>
      </c>
      <c r="D37" s="54">
        <v>6743</v>
      </c>
      <c r="E37" s="54" t="s">
        <v>259</v>
      </c>
      <c r="F37" s="54">
        <v>1</v>
      </c>
      <c r="G37" s="51" t="s">
        <v>260</v>
      </c>
      <c r="H37" s="51" t="s">
        <v>253</v>
      </c>
      <c r="I37" s="54" t="s">
        <v>63</v>
      </c>
      <c r="J37" s="54" t="s">
        <v>63</v>
      </c>
      <c r="K37" s="54" t="s">
        <v>197</v>
      </c>
      <c r="L37" s="54">
        <v>187</v>
      </c>
      <c r="M37" s="52">
        <v>46054</v>
      </c>
      <c r="N37" s="52">
        <v>46054</v>
      </c>
      <c r="O37" s="55">
        <v>46185</v>
      </c>
      <c r="P37" s="54" t="s">
        <v>56</v>
      </c>
      <c r="Q37" s="54" t="s">
        <v>56</v>
      </c>
      <c r="R37" s="56" t="s">
        <v>224</v>
      </c>
      <c r="S37" s="56" t="s">
        <v>226</v>
      </c>
      <c r="T37" s="56" t="s">
        <v>227</v>
      </c>
      <c r="U37" s="56" t="s">
        <v>229</v>
      </c>
      <c r="V37" s="56" t="s">
        <v>230</v>
      </c>
      <c r="W37" s="56" t="s">
        <v>231</v>
      </c>
      <c r="X37" s="56" t="s">
        <v>232</v>
      </c>
      <c r="Y37" s="56" t="s">
        <v>233</v>
      </c>
      <c r="Z37" s="51"/>
      <c r="AA37" s="51" t="s">
        <v>76</v>
      </c>
      <c r="AB37" s="54"/>
    </row>
    <row r="38" spans="1:28" ht="20.100000000000001" hidden="1" customHeight="1" x14ac:dyDescent="0.25">
      <c r="A38" s="54">
        <v>2078</v>
      </c>
      <c r="B38" s="51" t="s">
        <v>63</v>
      </c>
      <c r="C38" s="51" t="s">
        <v>258</v>
      </c>
      <c r="D38" s="54">
        <v>6736</v>
      </c>
      <c r="E38" s="54" t="s">
        <v>259</v>
      </c>
      <c r="F38" s="54">
        <v>1</v>
      </c>
      <c r="G38" s="51" t="s">
        <v>260</v>
      </c>
      <c r="H38" s="51" t="s">
        <v>252</v>
      </c>
      <c r="I38" s="54" t="s">
        <v>63</v>
      </c>
      <c r="J38" s="54" t="s">
        <v>63</v>
      </c>
      <c r="K38" s="54" t="s">
        <v>197</v>
      </c>
      <c r="L38" s="54">
        <v>199</v>
      </c>
      <c r="M38" s="52">
        <v>46054</v>
      </c>
      <c r="N38" s="52">
        <v>46054</v>
      </c>
      <c r="O38" s="55">
        <v>46090</v>
      </c>
      <c r="P38" s="54" t="s">
        <v>56</v>
      </c>
      <c r="Q38" s="54" t="s">
        <v>56</v>
      </c>
      <c r="R38" s="56" t="s">
        <v>224</v>
      </c>
      <c r="S38" s="56" t="s">
        <v>227</v>
      </c>
      <c r="T38" s="56" t="s">
        <v>232</v>
      </c>
      <c r="U38" s="56" t="s">
        <v>233</v>
      </c>
      <c r="V38" s="51"/>
      <c r="W38" s="51"/>
      <c r="X38" s="51"/>
      <c r="Y38" s="51"/>
      <c r="Z38" s="51"/>
      <c r="AA38" s="51" t="s">
        <v>326</v>
      </c>
      <c r="AB38" s="54"/>
    </row>
    <row r="39" spans="1:28" ht="20.100000000000001" hidden="1" customHeight="1" x14ac:dyDescent="0.25">
      <c r="A39" s="54">
        <v>2078</v>
      </c>
      <c r="B39" s="51" t="s">
        <v>63</v>
      </c>
      <c r="C39" s="51" t="s">
        <v>258</v>
      </c>
      <c r="D39" s="54">
        <v>6735</v>
      </c>
      <c r="E39" s="54" t="s">
        <v>259</v>
      </c>
      <c r="F39" s="54">
        <v>1</v>
      </c>
      <c r="G39" s="51" t="s">
        <v>260</v>
      </c>
      <c r="H39" s="51" t="s">
        <v>252</v>
      </c>
      <c r="I39" s="54" t="s">
        <v>63</v>
      </c>
      <c r="J39" s="54" t="s">
        <v>63</v>
      </c>
      <c r="K39" s="54" t="s">
        <v>197</v>
      </c>
      <c r="L39" s="54">
        <v>200</v>
      </c>
      <c r="M39" s="52">
        <v>46054</v>
      </c>
      <c r="N39" s="52">
        <v>46054</v>
      </c>
      <c r="O39" s="55">
        <v>46090</v>
      </c>
      <c r="P39" s="54" t="s">
        <v>56</v>
      </c>
      <c r="Q39" s="54" t="s">
        <v>56</v>
      </c>
      <c r="R39" s="56" t="s">
        <v>224</v>
      </c>
      <c r="S39" s="56" t="s">
        <v>227</v>
      </c>
      <c r="T39" s="56" t="s">
        <v>232</v>
      </c>
      <c r="U39" s="56" t="s">
        <v>233</v>
      </c>
      <c r="V39" s="51"/>
      <c r="W39" s="51"/>
      <c r="X39" s="51"/>
      <c r="Y39" s="51"/>
      <c r="Z39" s="51"/>
      <c r="AA39" s="51" t="s">
        <v>326</v>
      </c>
      <c r="AB39" s="54"/>
    </row>
    <row r="40" spans="1:28" ht="20.100000000000001" hidden="1" customHeight="1" x14ac:dyDescent="0.25">
      <c r="A40" s="54">
        <v>2078</v>
      </c>
      <c r="B40" s="51" t="s">
        <v>63</v>
      </c>
      <c r="C40" s="51" t="s">
        <v>258</v>
      </c>
      <c r="D40" s="54">
        <v>6740</v>
      </c>
      <c r="E40" s="54" t="s">
        <v>259</v>
      </c>
      <c r="F40" s="54">
        <v>1</v>
      </c>
      <c r="G40" s="51" t="s">
        <v>260</v>
      </c>
      <c r="H40" s="51" t="s">
        <v>252</v>
      </c>
      <c r="I40" s="54" t="s">
        <v>63</v>
      </c>
      <c r="J40" s="54" t="s">
        <v>63</v>
      </c>
      <c r="K40" s="54" t="s">
        <v>197</v>
      </c>
      <c r="L40" s="54">
        <v>201</v>
      </c>
      <c r="M40" s="52">
        <v>46054</v>
      </c>
      <c r="N40" s="52">
        <v>46054</v>
      </c>
      <c r="O40" s="55">
        <v>46090</v>
      </c>
      <c r="P40" s="54" t="s">
        <v>56</v>
      </c>
      <c r="Q40" s="54" t="s">
        <v>56</v>
      </c>
      <c r="R40" s="56" t="s">
        <v>224</v>
      </c>
      <c r="S40" s="56" t="s">
        <v>227</v>
      </c>
      <c r="T40" s="56" t="s">
        <v>232</v>
      </c>
      <c r="U40" s="56" t="s">
        <v>233</v>
      </c>
      <c r="V40" s="51"/>
      <c r="W40" s="51"/>
      <c r="X40" s="51"/>
      <c r="Y40" s="51"/>
      <c r="Z40" s="51"/>
      <c r="AA40" s="51" t="s">
        <v>326</v>
      </c>
      <c r="AB40" s="54"/>
    </row>
    <row r="41" spans="1:28" ht="20.100000000000001" hidden="1" customHeight="1" x14ac:dyDescent="0.25">
      <c r="A41" s="54">
        <v>2078</v>
      </c>
      <c r="B41" s="51" t="s">
        <v>63</v>
      </c>
      <c r="C41" s="51" t="s">
        <v>258</v>
      </c>
      <c r="D41" s="54">
        <v>6738</v>
      </c>
      <c r="E41" s="54" t="s">
        <v>259</v>
      </c>
      <c r="F41" s="54">
        <v>1</v>
      </c>
      <c r="G41" s="51" t="s">
        <v>260</v>
      </c>
      <c r="H41" s="51" t="s">
        <v>252</v>
      </c>
      <c r="I41" s="54" t="s">
        <v>63</v>
      </c>
      <c r="J41" s="54" t="s">
        <v>63</v>
      </c>
      <c r="K41" s="54" t="s">
        <v>197</v>
      </c>
      <c r="L41" s="54" t="s">
        <v>452</v>
      </c>
      <c r="M41" s="52">
        <v>46054</v>
      </c>
      <c r="N41" s="52">
        <v>46054</v>
      </c>
      <c r="O41" s="55">
        <v>46090</v>
      </c>
      <c r="P41" s="54" t="s">
        <v>56</v>
      </c>
      <c r="Q41" s="54" t="s">
        <v>56</v>
      </c>
      <c r="R41" s="56" t="s">
        <v>224</v>
      </c>
      <c r="S41" s="56" t="s">
        <v>227</v>
      </c>
      <c r="T41" s="56" t="s">
        <v>232</v>
      </c>
      <c r="U41" s="56" t="s">
        <v>233</v>
      </c>
      <c r="V41" s="51"/>
      <c r="W41" s="51"/>
      <c r="X41" s="51"/>
      <c r="Y41" s="51"/>
      <c r="Z41" s="51"/>
      <c r="AA41" s="51" t="s">
        <v>326</v>
      </c>
      <c r="AB41" s="54"/>
    </row>
    <row r="42" spans="1:28" ht="20.100000000000001" hidden="1" customHeight="1" x14ac:dyDescent="0.25">
      <c r="A42" s="54">
        <v>2078</v>
      </c>
      <c r="B42" s="51" t="s">
        <v>63</v>
      </c>
      <c r="C42" s="51" t="s">
        <v>258</v>
      </c>
      <c r="D42" s="54">
        <v>6744</v>
      </c>
      <c r="E42" s="54" t="s">
        <v>259</v>
      </c>
      <c r="F42" s="54">
        <v>1</v>
      </c>
      <c r="G42" s="51" t="s">
        <v>260</v>
      </c>
      <c r="H42" s="51" t="s">
        <v>253</v>
      </c>
      <c r="I42" s="54" t="s">
        <v>63</v>
      </c>
      <c r="J42" s="54" t="s">
        <v>63</v>
      </c>
      <c r="K42" s="54" t="s">
        <v>197</v>
      </c>
      <c r="L42" s="54" t="s">
        <v>453</v>
      </c>
      <c r="M42" s="52">
        <v>46054</v>
      </c>
      <c r="N42" s="52">
        <v>46054</v>
      </c>
      <c r="O42" s="55">
        <v>46127</v>
      </c>
      <c r="P42" s="54" t="s">
        <v>56</v>
      </c>
      <c r="Q42" s="54" t="s">
        <v>56</v>
      </c>
      <c r="R42" s="56" t="s">
        <v>224</v>
      </c>
      <c r="S42" s="56" t="s">
        <v>226</v>
      </c>
      <c r="T42" s="56" t="s">
        <v>227</v>
      </c>
      <c r="U42" s="56" t="s">
        <v>229</v>
      </c>
      <c r="V42" s="56" t="s">
        <v>230</v>
      </c>
      <c r="W42" s="56" t="s">
        <v>231</v>
      </c>
      <c r="X42" s="56" t="s">
        <v>232</v>
      </c>
      <c r="Y42" s="56" t="s">
        <v>233</v>
      </c>
      <c r="Z42" s="51"/>
      <c r="AA42" s="51" t="s">
        <v>326</v>
      </c>
      <c r="AB42" s="54"/>
    </row>
    <row r="43" spans="1:28" ht="20.100000000000001" hidden="1" customHeight="1" x14ac:dyDescent="0.25">
      <c r="A43" s="54">
        <v>2078</v>
      </c>
      <c r="B43" s="51" t="s">
        <v>63</v>
      </c>
      <c r="C43" s="51" t="s">
        <v>258</v>
      </c>
      <c r="D43" s="54">
        <v>6739</v>
      </c>
      <c r="E43" s="54" t="s">
        <v>259</v>
      </c>
      <c r="F43" s="54">
        <v>1</v>
      </c>
      <c r="G43" s="51" t="s">
        <v>260</v>
      </c>
      <c r="H43" s="51" t="s">
        <v>252</v>
      </c>
      <c r="I43" s="54" t="s">
        <v>63</v>
      </c>
      <c r="J43" s="54" t="s">
        <v>63</v>
      </c>
      <c r="K43" s="54" t="s">
        <v>197</v>
      </c>
      <c r="L43" s="54" t="s">
        <v>454</v>
      </c>
      <c r="M43" s="52">
        <v>46054</v>
      </c>
      <c r="N43" s="52">
        <v>46054</v>
      </c>
      <c r="O43" s="55">
        <v>46090</v>
      </c>
      <c r="P43" s="54" t="s">
        <v>56</v>
      </c>
      <c r="Q43" s="54" t="s">
        <v>56</v>
      </c>
      <c r="R43" s="56" t="s">
        <v>224</v>
      </c>
      <c r="S43" s="56" t="s">
        <v>227</v>
      </c>
      <c r="T43" s="56" t="s">
        <v>232</v>
      </c>
      <c r="U43" s="56" t="s">
        <v>233</v>
      </c>
      <c r="V43" s="51"/>
      <c r="W43" s="51"/>
      <c r="X43" s="51"/>
      <c r="Y43" s="51"/>
      <c r="Z43" s="51"/>
      <c r="AA43" s="51" t="s">
        <v>326</v>
      </c>
      <c r="AB43" s="54"/>
    </row>
    <row r="44" spans="1:28" ht="20.100000000000001" hidden="1" customHeight="1" x14ac:dyDescent="0.25">
      <c r="A44" s="51">
        <v>2099</v>
      </c>
      <c r="B44" s="51" t="s">
        <v>63</v>
      </c>
      <c r="C44" s="51" t="s">
        <v>261</v>
      </c>
      <c r="D44" s="51">
        <v>6745</v>
      </c>
      <c r="E44" s="54" t="s">
        <v>259</v>
      </c>
      <c r="F44" s="51">
        <v>1</v>
      </c>
      <c r="G44" s="51" t="s">
        <v>260</v>
      </c>
      <c r="H44" s="51" t="s">
        <v>253</v>
      </c>
      <c r="I44" s="54" t="s">
        <v>63</v>
      </c>
      <c r="J44" s="54" t="s">
        <v>63</v>
      </c>
      <c r="K44" s="54" t="s">
        <v>197</v>
      </c>
      <c r="L44" s="54"/>
      <c r="M44" s="51"/>
      <c r="N44" s="51"/>
      <c r="O44" s="55">
        <v>46127</v>
      </c>
      <c r="P44" s="54" t="s">
        <v>56</v>
      </c>
      <c r="Q44" s="54" t="s">
        <v>56</v>
      </c>
      <c r="R44" s="56" t="s">
        <v>224</v>
      </c>
      <c r="S44" s="56" t="s">
        <v>226</v>
      </c>
      <c r="T44" s="56" t="s">
        <v>227</v>
      </c>
      <c r="U44" s="56" t="s">
        <v>229</v>
      </c>
      <c r="V44" s="56" t="s">
        <v>230</v>
      </c>
      <c r="W44" s="56" t="s">
        <v>231</v>
      </c>
      <c r="X44" s="57" t="s">
        <v>232</v>
      </c>
      <c r="Y44" s="57" t="s">
        <v>233</v>
      </c>
      <c r="Z44" s="51"/>
      <c r="AA44" s="51" t="s">
        <v>256</v>
      </c>
      <c r="AB44" s="51" t="s">
        <v>257</v>
      </c>
    </row>
    <row r="45" spans="1:28" ht="20.100000000000001" hidden="1" customHeight="1" x14ac:dyDescent="0.25">
      <c r="A45" s="51">
        <v>2097</v>
      </c>
      <c r="B45" s="51" t="s">
        <v>63</v>
      </c>
      <c r="C45" s="51" t="s">
        <v>262</v>
      </c>
      <c r="D45" s="51">
        <v>6788</v>
      </c>
      <c r="E45" s="54" t="s">
        <v>259</v>
      </c>
      <c r="F45" s="51">
        <v>1</v>
      </c>
      <c r="G45" s="51" t="s">
        <v>263</v>
      </c>
      <c r="H45" s="51" t="s">
        <v>253</v>
      </c>
      <c r="I45" s="54" t="s">
        <v>63</v>
      </c>
      <c r="J45" s="54" t="s">
        <v>63</v>
      </c>
      <c r="K45" s="54" t="s">
        <v>197</v>
      </c>
      <c r="L45" s="54" t="s">
        <v>456</v>
      </c>
      <c r="M45" s="52">
        <v>46054</v>
      </c>
      <c r="N45" s="52">
        <v>46054</v>
      </c>
      <c r="O45" s="55">
        <v>46127</v>
      </c>
      <c r="P45" s="51" t="s">
        <v>56</v>
      </c>
      <c r="Q45" s="51" t="s">
        <v>56</v>
      </c>
      <c r="R45" s="56" t="s">
        <v>224</v>
      </c>
      <c r="S45" s="56" t="s">
        <v>226</v>
      </c>
      <c r="T45" s="56" t="s">
        <v>227</v>
      </c>
      <c r="U45" s="56" t="s">
        <v>229</v>
      </c>
      <c r="V45" s="56" t="s">
        <v>230</v>
      </c>
      <c r="W45" s="56" t="s">
        <v>231</v>
      </c>
      <c r="X45" s="56" t="s">
        <v>232</v>
      </c>
      <c r="Y45" s="56" t="s">
        <v>233</v>
      </c>
      <c r="Z45" s="51"/>
      <c r="AA45" s="54" t="s">
        <v>76</v>
      </c>
      <c r="AB45" s="51"/>
    </row>
    <row r="46" spans="1:28" ht="20.100000000000001" hidden="1" customHeight="1" x14ac:dyDescent="0.25">
      <c r="A46" s="51">
        <v>2088</v>
      </c>
      <c r="B46" s="51" t="s">
        <v>63</v>
      </c>
      <c r="C46" s="51" t="s">
        <v>264</v>
      </c>
      <c r="D46" s="51">
        <v>6774</v>
      </c>
      <c r="E46" s="54" t="s">
        <v>259</v>
      </c>
      <c r="F46" s="51">
        <v>1</v>
      </c>
      <c r="G46" s="51" t="s">
        <v>201</v>
      </c>
      <c r="H46" s="51" t="s">
        <v>252</v>
      </c>
      <c r="I46" s="54" t="s">
        <v>63</v>
      </c>
      <c r="J46" s="54" t="s">
        <v>63</v>
      </c>
      <c r="K46" s="51" t="s">
        <v>197</v>
      </c>
      <c r="L46" s="51">
        <v>62</v>
      </c>
      <c r="M46" s="52">
        <v>46054</v>
      </c>
      <c r="N46" s="52">
        <v>46054</v>
      </c>
      <c r="O46" s="52">
        <v>46132</v>
      </c>
      <c r="P46" s="51" t="s">
        <v>56</v>
      </c>
      <c r="Q46" s="51" t="s">
        <v>56</v>
      </c>
      <c r="R46" s="56" t="s">
        <v>224</v>
      </c>
      <c r="S46" s="56" t="s">
        <v>226</v>
      </c>
      <c r="T46" s="56" t="s">
        <v>227</v>
      </c>
      <c r="U46" s="56" t="s">
        <v>229</v>
      </c>
      <c r="V46" s="56" t="s">
        <v>230</v>
      </c>
      <c r="W46" s="56" t="s">
        <v>231</v>
      </c>
      <c r="X46" s="57" t="s">
        <v>232</v>
      </c>
      <c r="Y46" s="57" t="s">
        <v>233</v>
      </c>
      <c r="Z46" s="51"/>
      <c r="AA46" s="51" t="s">
        <v>256</v>
      </c>
      <c r="AB46" s="51"/>
    </row>
    <row r="47" spans="1:28" ht="20.100000000000001" hidden="1" customHeight="1" x14ac:dyDescent="0.25">
      <c r="A47" s="51">
        <v>2088</v>
      </c>
      <c r="B47" s="51" t="s">
        <v>63</v>
      </c>
      <c r="C47" s="51" t="s">
        <v>264</v>
      </c>
      <c r="D47" s="51">
        <v>6772</v>
      </c>
      <c r="E47" s="54" t="s">
        <v>259</v>
      </c>
      <c r="F47" s="51">
        <v>1</v>
      </c>
      <c r="G47" s="51" t="s">
        <v>201</v>
      </c>
      <c r="H47" s="51" t="s">
        <v>252</v>
      </c>
      <c r="I47" s="54" t="s">
        <v>63</v>
      </c>
      <c r="J47" s="54" t="s">
        <v>63</v>
      </c>
      <c r="K47" s="51" t="s">
        <v>197</v>
      </c>
      <c r="L47" s="51" t="s">
        <v>459</v>
      </c>
      <c r="M47" s="52">
        <v>46054</v>
      </c>
      <c r="N47" s="52">
        <v>46054</v>
      </c>
      <c r="O47" s="52">
        <v>46132</v>
      </c>
      <c r="P47" s="51" t="s">
        <v>56</v>
      </c>
      <c r="Q47" s="51" t="s">
        <v>56</v>
      </c>
      <c r="R47" s="56" t="s">
        <v>224</v>
      </c>
      <c r="S47" s="56" t="s">
        <v>226</v>
      </c>
      <c r="T47" s="56" t="s">
        <v>227</v>
      </c>
      <c r="U47" s="56" t="s">
        <v>229</v>
      </c>
      <c r="V47" s="56" t="s">
        <v>230</v>
      </c>
      <c r="W47" s="56" t="s">
        <v>231</v>
      </c>
      <c r="X47" s="57" t="s">
        <v>232</v>
      </c>
      <c r="Y47" s="57" t="s">
        <v>233</v>
      </c>
      <c r="Z47" s="51"/>
      <c r="AA47" s="51" t="s">
        <v>256</v>
      </c>
      <c r="AB47" s="51"/>
    </row>
    <row r="48" spans="1:28" ht="20.100000000000001" hidden="1" customHeight="1" x14ac:dyDescent="0.25">
      <c r="A48" s="51">
        <v>2088</v>
      </c>
      <c r="B48" s="51" t="s">
        <v>63</v>
      </c>
      <c r="C48" s="51" t="s">
        <v>264</v>
      </c>
      <c r="D48" s="51">
        <v>6778</v>
      </c>
      <c r="E48" s="54" t="s">
        <v>259</v>
      </c>
      <c r="F48" s="51">
        <v>1</v>
      </c>
      <c r="G48" s="51">
        <v>2200</v>
      </c>
      <c r="H48" s="51" t="s">
        <v>252</v>
      </c>
      <c r="I48" s="54" t="s">
        <v>63</v>
      </c>
      <c r="J48" s="54" t="s">
        <v>63</v>
      </c>
      <c r="K48" s="51" t="s">
        <v>197</v>
      </c>
      <c r="L48" s="51" t="s">
        <v>460</v>
      </c>
      <c r="M48" s="52">
        <v>46054</v>
      </c>
      <c r="N48" s="52">
        <v>46054</v>
      </c>
      <c r="O48" s="52">
        <v>46132</v>
      </c>
      <c r="P48" s="51" t="s">
        <v>56</v>
      </c>
      <c r="Q48" s="51" t="s">
        <v>56</v>
      </c>
      <c r="R48" s="56" t="s">
        <v>224</v>
      </c>
      <c r="S48" s="56" t="s">
        <v>226</v>
      </c>
      <c r="T48" s="56" t="s">
        <v>227</v>
      </c>
      <c r="U48" s="56" t="s">
        <v>229</v>
      </c>
      <c r="V48" s="56" t="s">
        <v>230</v>
      </c>
      <c r="W48" s="56" t="s">
        <v>231</v>
      </c>
      <c r="X48" s="57" t="s">
        <v>232</v>
      </c>
      <c r="Y48" s="57" t="s">
        <v>233</v>
      </c>
      <c r="Z48" s="51"/>
      <c r="AA48" s="51" t="s">
        <v>256</v>
      </c>
      <c r="AB48" s="51"/>
    </row>
    <row r="49" spans="1:28" ht="20.100000000000001" hidden="1" customHeight="1" x14ac:dyDescent="0.25">
      <c r="A49" s="51">
        <v>974</v>
      </c>
      <c r="B49" s="51" t="s">
        <v>63</v>
      </c>
      <c r="C49" s="51" t="s">
        <v>264</v>
      </c>
      <c r="D49" s="51" t="s">
        <v>63</v>
      </c>
      <c r="E49" s="54" t="s">
        <v>259</v>
      </c>
      <c r="F49" s="51">
        <v>1</v>
      </c>
      <c r="G49" s="51" t="s">
        <v>201</v>
      </c>
      <c r="H49" s="51" t="s">
        <v>252</v>
      </c>
      <c r="I49" s="54" t="s">
        <v>63</v>
      </c>
      <c r="J49" s="54" t="s">
        <v>63</v>
      </c>
      <c r="K49" s="51" t="s">
        <v>209</v>
      </c>
      <c r="L49" s="51" t="s">
        <v>63</v>
      </c>
      <c r="M49" s="51" t="s">
        <v>63</v>
      </c>
      <c r="N49" s="51" t="s">
        <v>63</v>
      </c>
      <c r="O49" s="52">
        <v>46388</v>
      </c>
      <c r="P49" s="51" t="s">
        <v>56</v>
      </c>
      <c r="Q49" s="51" t="s">
        <v>56</v>
      </c>
      <c r="R49" s="53" t="s">
        <v>369</v>
      </c>
      <c r="S49" s="51" t="s">
        <v>225</v>
      </c>
      <c r="T49" s="51" t="s">
        <v>224</v>
      </c>
      <c r="U49" s="51"/>
      <c r="V49" s="51"/>
      <c r="W49" s="51"/>
      <c r="X49" s="51"/>
      <c r="Y49" s="51"/>
      <c r="Z49" s="51"/>
      <c r="AA49" s="51" t="s">
        <v>265</v>
      </c>
      <c r="AB49" s="51" t="s">
        <v>265</v>
      </c>
    </row>
    <row r="50" spans="1:28" ht="20.100000000000001" hidden="1" customHeight="1" x14ac:dyDescent="0.25">
      <c r="A50" s="51">
        <v>1006</v>
      </c>
      <c r="B50" s="51" t="s">
        <v>63</v>
      </c>
      <c r="C50" s="51" t="s">
        <v>266</v>
      </c>
      <c r="D50" s="51" t="s">
        <v>63</v>
      </c>
      <c r="E50" s="54" t="s">
        <v>259</v>
      </c>
      <c r="F50" s="51">
        <v>1</v>
      </c>
      <c r="G50" s="51" t="s">
        <v>267</v>
      </c>
      <c r="H50" s="51" t="s">
        <v>252</v>
      </c>
      <c r="I50" s="54" t="s">
        <v>63</v>
      </c>
      <c r="J50" s="54" t="s">
        <v>63</v>
      </c>
      <c r="K50" s="51" t="s">
        <v>209</v>
      </c>
      <c r="L50" s="51">
        <v>18</v>
      </c>
      <c r="M50" s="51" t="s">
        <v>63</v>
      </c>
      <c r="N50" s="51" t="s">
        <v>63</v>
      </c>
      <c r="O50" s="52">
        <v>46191</v>
      </c>
      <c r="P50" s="51" t="s">
        <v>56</v>
      </c>
      <c r="Q50" s="51" t="s">
        <v>56</v>
      </c>
      <c r="R50" s="53" t="s">
        <v>369</v>
      </c>
      <c r="S50" s="53" t="s">
        <v>225</v>
      </c>
      <c r="T50" s="53" t="s">
        <v>224</v>
      </c>
      <c r="U50" s="51"/>
      <c r="V50" s="51"/>
      <c r="W50" s="51"/>
      <c r="X50" s="51"/>
      <c r="Y50" s="51"/>
      <c r="Z50" s="51"/>
      <c r="AA50" s="54" t="s">
        <v>76</v>
      </c>
      <c r="AB50" s="51"/>
    </row>
    <row r="51" spans="1:28" ht="20.100000000000001" hidden="1" customHeight="1" x14ac:dyDescent="0.25">
      <c r="A51" s="51">
        <v>1006</v>
      </c>
      <c r="B51" s="51" t="s">
        <v>63</v>
      </c>
      <c r="C51" s="51" t="s">
        <v>266</v>
      </c>
      <c r="D51" s="51" t="s">
        <v>63</v>
      </c>
      <c r="E51" s="54" t="s">
        <v>259</v>
      </c>
      <c r="F51" s="51">
        <v>1</v>
      </c>
      <c r="G51" s="51" t="s">
        <v>268</v>
      </c>
      <c r="H51" s="51" t="s">
        <v>252</v>
      </c>
      <c r="I51" s="54" t="s">
        <v>63</v>
      </c>
      <c r="J51" s="54" t="s">
        <v>63</v>
      </c>
      <c r="K51" s="51" t="s">
        <v>209</v>
      </c>
      <c r="L51" s="51" t="s">
        <v>455</v>
      </c>
      <c r="M51" s="51" t="s">
        <v>63</v>
      </c>
      <c r="N51" s="51" t="s">
        <v>63</v>
      </c>
      <c r="O51" s="52">
        <v>46191</v>
      </c>
      <c r="P51" s="51" t="s">
        <v>56</v>
      </c>
      <c r="Q51" s="51" t="s">
        <v>56</v>
      </c>
      <c r="R51" s="53" t="s">
        <v>369</v>
      </c>
      <c r="S51" s="53" t="s">
        <v>225</v>
      </c>
      <c r="T51" s="53" t="s">
        <v>224</v>
      </c>
      <c r="U51" s="51"/>
      <c r="V51" s="51"/>
      <c r="W51" s="51"/>
      <c r="X51" s="51"/>
      <c r="Y51" s="51"/>
      <c r="Z51" s="51"/>
      <c r="AA51" s="54" t="s">
        <v>76</v>
      </c>
      <c r="AB51" s="51"/>
    </row>
    <row r="52" spans="1:28" ht="20.100000000000001" hidden="1" customHeight="1" x14ac:dyDescent="0.25">
      <c r="A52" s="51">
        <v>2098</v>
      </c>
      <c r="B52" s="51" t="s">
        <v>63</v>
      </c>
      <c r="C52" s="51" t="s">
        <v>269</v>
      </c>
      <c r="D52" s="51">
        <v>6746</v>
      </c>
      <c r="E52" s="54" t="s">
        <v>259</v>
      </c>
      <c r="F52" s="51">
        <v>1</v>
      </c>
      <c r="G52" s="51" t="s">
        <v>268</v>
      </c>
      <c r="H52" s="51" t="s">
        <v>253</v>
      </c>
      <c r="I52" s="54" t="s">
        <v>63</v>
      </c>
      <c r="J52" s="54" t="s">
        <v>63</v>
      </c>
      <c r="K52" s="51" t="s">
        <v>197</v>
      </c>
      <c r="L52" s="51"/>
      <c r="M52" s="51"/>
      <c r="N52" s="51"/>
      <c r="O52" s="52">
        <v>46127</v>
      </c>
      <c r="P52" s="51" t="s">
        <v>56</v>
      </c>
      <c r="Q52" s="51" t="s">
        <v>56</v>
      </c>
      <c r="R52" s="56" t="s">
        <v>224</v>
      </c>
      <c r="S52" s="56" t="s">
        <v>226</v>
      </c>
      <c r="T52" s="56" t="s">
        <v>227</v>
      </c>
      <c r="U52" s="56" t="s">
        <v>229</v>
      </c>
      <c r="V52" s="56" t="s">
        <v>230</v>
      </c>
      <c r="W52" s="56" t="s">
        <v>231</v>
      </c>
      <c r="X52" s="57" t="s">
        <v>232</v>
      </c>
      <c r="Y52" s="57" t="s">
        <v>233</v>
      </c>
      <c r="Z52" s="51"/>
      <c r="AA52" s="51" t="s">
        <v>256</v>
      </c>
      <c r="AB52" s="51" t="s">
        <v>257</v>
      </c>
    </row>
    <row r="53" spans="1:28" ht="20.100000000000001" hidden="1" customHeight="1" x14ac:dyDescent="0.25">
      <c r="A53" s="51">
        <v>2080</v>
      </c>
      <c r="B53" s="51" t="s">
        <v>63</v>
      </c>
      <c r="C53" s="51" t="s">
        <v>270</v>
      </c>
      <c r="D53" s="51">
        <v>6726</v>
      </c>
      <c r="E53" s="54" t="s">
        <v>259</v>
      </c>
      <c r="F53" s="51">
        <v>1</v>
      </c>
      <c r="G53" s="51" t="s">
        <v>268</v>
      </c>
      <c r="H53" s="51" t="s">
        <v>253</v>
      </c>
      <c r="I53" s="54" t="s">
        <v>63</v>
      </c>
      <c r="J53" s="54" t="s">
        <v>63</v>
      </c>
      <c r="K53" s="51" t="s">
        <v>197</v>
      </c>
      <c r="L53" s="51">
        <v>33</v>
      </c>
      <c r="M53" s="52">
        <v>46082</v>
      </c>
      <c r="N53" s="52">
        <v>46082</v>
      </c>
      <c r="O53" s="52">
        <v>46195</v>
      </c>
      <c r="P53" s="51" t="s">
        <v>56</v>
      </c>
      <c r="Q53" s="51" t="s">
        <v>56</v>
      </c>
      <c r="R53" s="56" t="s">
        <v>224</v>
      </c>
      <c r="S53" s="56" t="s">
        <v>226</v>
      </c>
      <c r="T53" s="56" t="s">
        <v>227</v>
      </c>
      <c r="U53" s="56" t="s">
        <v>229</v>
      </c>
      <c r="V53" s="56" t="s">
        <v>230</v>
      </c>
      <c r="W53" s="56" t="s">
        <v>231</v>
      </c>
      <c r="X53" s="56" t="s">
        <v>232</v>
      </c>
      <c r="Y53" s="56" t="s">
        <v>233</v>
      </c>
      <c r="Z53" s="51"/>
      <c r="AA53" s="54" t="s">
        <v>76</v>
      </c>
      <c r="AB53" s="51"/>
    </row>
    <row r="54" spans="1:28" ht="20.100000000000001" hidden="1" customHeight="1" x14ac:dyDescent="0.25">
      <c r="A54" s="51">
        <v>2080</v>
      </c>
      <c r="B54" s="51" t="s">
        <v>63</v>
      </c>
      <c r="C54" s="51" t="s">
        <v>270</v>
      </c>
      <c r="D54" s="51">
        <v>6725</v>
      </c>
      <c r="E54" s="54" t="s">
        <v>259</v>
      </c>
      <c r="F54" s="51">
        <v>1</v>
      </c>
      <c r="G54" s="51" t="s">
        <v>268</v>
      </c>
      <c r="H54" s="51" t="s">
        <v>253</v>
      </c>
      <c r="I54" s="54" t="s">
        <v>63</v>
      </c>
      <c r="J54" s="54" t="s">
        <v>63</v>
      </c>
      <c r="K54" s="51" t="s">
        <v>197</v>
      </c>
      <c r="L54" s="51">
        <v>44</v>
      </c>
      <c r="M54" s="52">
        <v>46082</v>
      </c>
      <c r="N54" s="52">
        <v>46082</v>
      </c>
      <c r="O54" s="52">
        <v>46101</v>
      </c>
      <c r="P54" s="51" t="s">
        <v>56</v>
      </c>
      <c r="Q54" s="51" t="s">
        <v>56</v>
      </c>
      <c r="R54" s="56" t="s">
        <v>224</v>
      </c>
      <c r="S54" s="56" t="s">
        <v>226</v>
      </c>
      <c r="T54" s="56" t="s">
        <v>227</v>
      </c>
      <c r="U54" s="56" t="s">
        <v>229</v>
      </c>
      <c r="V54" s="56" t="s">
        <v>230</v>
      </c>
      <c r="W54" s="56" t="s">
        <v>231</v>
      </c>
      <c r="X54" s="56" t="s">
        <v>232</v>
      </c>
      <c r="Y54" s="56" t="s">
        <v>233</v>
      </c>
      <c r="Z54" s="51"/>
      <c r="AA54" s="54" t="s">
        <v>76</v>
      </c>
      <c r="AB54" s="51"/>
    </row>
    <row r="55" spans="1:28" ht="20.100000000000001" hidden="1" customHeight="1" x14ac:dyDescent="0.25">
      <c r="A55" s="54">
        <v>2096</v>
      </c>
      <c r="B55" s="51" t="s">
        <v>63</v>
      </c>
      <c r="C55" s="54" t="s">
        <v>271</v>
      </c>
      <c r="D55" s="54">
        <v>6751</v>
      </c>
      <c r="E55" s="54" t="s">
        <v>259</v>
      </c>
      <c r="F55" s="54">
        <v>1</v>
      </c>
      <c r="G55" s="51" t="s">
        <v>268</v>
      </c>
      <c r="H55" s="51" t="s">
        <v>253</v>
      </c>
      <c r="I55" s="54" t="s">
        <v>63</v>
      </c>
      <c r="J55" s="54" t="s">
        <v>63</v>
      </c>
      <c r="K55" s="51" t="s">
        <v>197</v>
      </c>
      <c r="L55" s="51"/>
      <c r="M55" s="51"/>
      <c r="N55" s="51"/>
      <c r="O55" s="55">
        <v>46127</v>
      </c>
      <c r="P55" s="51" t="s">
        <v>56</v>
      </c>
      <c r="Q55" s="51" t="s">
        <v>56</v>
      </c>
      <c r="R55" s="56" t="s">
        <v>224</v>
      </c>
      <c r="S55" s="56" t="s">
        <v>226</v>
      </c>
      <c r="T55" s="56" t="s">
        <v>227</v>
      </c>
      <c r="U55" s="56" t="s">
        <v>229</v>
      </c>
      <c r="V55" s="56" t="s">
        <v>230</v>
      </c>
      <c r="W55" s="56" t="s">
        <v>231</v>
      </c>
      <c r="X55" s="54" t="s">
        <v>232</v>
      </c>
      <c r="Y55" s="54" t="s">
        <v>233</v>
      </c>
      <c r="Z55" s="51"/>
      <c r="AA55" s="51" t="s">
        <v>256</v>
      </c>
      <c r="AB55" s="51" t="s">
        <v>257</v>
      </c>
    </row>
    <row r="56" spans="1:28" ht="20.100000000000001" hidden="1" customHeight="1" x14ac:dyDescent="0.25">
      <c r="A56" s="54">
        <v>2096</v>
      </c>
      <c r="B56" s="51" t="s">
        <v>63</v>
      </c>
      <c r="C56" s="54" t="s">
        <v>271</v>
      </c>
      <c r="D56" s="54">
        <v>6749</v>
      </c>
      <c r="E56" s="54" t="s">
        <v>259</v>
      </c>
      <c r="F56" s="54">
        <v>1</v>
      </c>
      <c r="G56" s="51" t="s">
        <v>268</v>
      </c>
      <c r="H56" s="51" t="s">
        <v>253</v>
      </c>
      <c r="I56" s="54" t="s">
        <v>63</v>
      </c>
      <c r="J56" s="54" t="s">
        <v>63</v>
      </c>
      <c r="K56" s="51" t="s">
        <v>197</v>
      </c>
      <c r="L56" s="51"/>
      <c r="M56" s="51"/>
      <c r="N56" s="51"/>
      <c r="O56" s="55">
        <v>46127</v>
      </c>
      <c r="P56" s="51" t="s">
        <v>56</v>
      </c>
      <c r="Q56" s="51" t="s">
        <v>56</v>
      </c>
      <c r="R56" s="56" t="s">
        <v>224</v>
      </c>
      <c r="S56" s="56" t="s">
        <v>226</v>
      </c>
      <c r="T56" s="56" t="s">
        <v>227</v>
      </c>
      <c r="U56" s="56" t="s">
        <v>229</v>
      </c>
      <c r="V56" s="56" t="s">
        <v>230</v>
      </c>
      <c r="W56" s="56" t="s">
        <v>231</v>
      </c>
      <c r="X56" s="54" t="s">
        <v>232</v>
      </c>
      <c r="Y56" s="54" t="s">
        <v>233</v>
      </c>
      <c r="Z56" s="51"/>
      <c r="AA56" s="51" t="s">
        <v>256</v>
      </c>
      <c r="AB56" s="51" t="s">
        <v>257</v>
      </c>
    </row>
    <row r="57" spans="1:28" ht="20.100000000000001" hidden="1" customHeight="1" x14ac:dyDescent="0.25">
      <c r="A57" s="54">
        <v>2096</v>
      </c>
      <c r="B57" s="51" t="s">
        <v>63</v>
      </c>
      <c r="C57" s="54" t="s">
        <v>271</v>
      </c>
      <c r="D57" s="54">
        <v>6750</v>
      </c>
      <c r="E57" s="54" t="s">
        <v>259</v>
      </c>
      <c r="F57" s="54">
        <v>1</v>
      </c>
      <c r="G57" s="54" t="s">
        <v>268</v>
      </c>
      <c r="H57" s="54" t="s">
        <v>253</v>
      </c>
      <c r="I57" s="54" t="s">
        <v>63</v>
      </c>
      <c r="J57" s="54" t="s">
        <v>63</v>
      </c>
      <c r="K57" s="51" t="s">
        <v>197</v>
      </c>
      <c r="L57" s="51"/>
      <c r="M57" s="51"/>
      <c r="N57" s="51"/>
      <c r="O57" s="55">
        <v>46127</v>
      </c>
      <c r="P57" s="51" t="s">
        <v>56</v>
      </c>
      <c r="Q57" s="51" t="s">
        <v>56</v>
      </c>
      <c r="R57" s="56" t="s">
        <v>224</v>
      </c>
      <c r="S57" s="56" t="s">
        <v>226</v>
      </c>
      <c r="T57" s="56" t="s">
        <v>227</v>
      </c>
      <c r="U57" s="56" t="s">
        <v>229</v>
      </c>
      <c r="V57" s="56" t="s">
        <v>230</v>
      </c>
      <c r="W57" s="56" t="s">
        <v>231</v>
      </c>
      <c r="X57" s="54" t="s">
        <v>232</v>
      </c>
      <c r="Y57" s="54" t="s">
        <v>233</v>
      </c>
      <c r="Z57" s="51"/>
      <c r="AA57" s="51" t="s">
        <v>256</v>
      </c>
      <c r="AB57" s="51" t="s">
        <v>257</v>
      </c>
    </row>
    <row r="58" spans="1:28" ht="20.100000000000001" hidden="1" customHeight="1" x14ac:dyDescent="0.25">
      <c r="A58" s="54" t="s">
        <v>277</v>
      </c>
      <c r="B58" s="51" t="s">
        <v>63</v>
      </c>
      <c r="C58" s="54" t="s">
        <v>271</v>
      </c>
      <c r="D58" s="54" t="s">
        <v>63</v>
      </c>
      <c r="E58" s="54" t="s">
        <v>259</v>
      </c>
      <c r="F58" s="54">
        <v>1</v>
      </c>
      <c r="G58" s="54" t="s">
        <v>268</v>
      </c>
      <c r="H58" s="54" t="s">
        <v>252</v>
      </c>
      <c r="I58" s="54" t="s">
        <v>63</v>
      </c>
      <c r="J58" s="54" t="s">
        <v>63</v>
      </c>
      <c r="K58" s="51" t="s">
        <v>197</v>
      </c>
      <c r="L58" s="51"/>
      <c r="M58" s="51"/>
      <c r="N58" s="51"/>
      <c r="O58" s="55">
        <v>46101</v>
      </c>
      <c r="P58" s="51" t="s">
        <v>56</v>
      </c>
      <c r="Q58" s="51" t="s">
        <v>56</v>
      </c>
      <c r="R58" s="53" t="s">
        <v>224</v>
      </c>
      <c r="S58" s="53" t="s">
        <v>227</v>
      </c>
      <c r="T58" s="51" t="s">
        <v>232</v>
      </c>
      <c r="U58" s="51" t="s">
        <v>233</v>
      </c>
      <c r="V58" s="51"/>
      <c r="W58" s="51"/>
      <c r="X58" s="51"/>
      <c r="Y58" s="51"/>
      <c r="Z58" s="51"/>
      <c r="AA58" s="51" t="s">
        <v>256</v>
      </c>
      <c r="AB58" s="51" t="s">
        <v>257</v>
      </c>
    </row>
    <row r="59" spans="1:28" ht="20.100000000000001" hidden="1" customHeight="1" x14ac:dyDescent="0.25">
      <c r="A59" s="54" t="s">
        <v>278</v>
      </c>
      <c r="B59" s="51" t="s">
        <v>63</v>
      </c>
      <c r="C59" s="54" t="s">
        <v>272</v>
      </c>
      <c r="D59" s="54">
        <v>6731</v>
      </c>
      <c r="E59" s="54" t="s">
        <v>259</v>
      </c>
      <c r="F59" s="54">
        <v>1</v>
      </c>
      <c r="G59" s="104">
        <v>2000</v>
      </c>
      <c r="H59" s="54" t="s">
        <v>253</v>
      </c>
      <c r="I59" s="54" t="s">
        <v>63</v>
      </c>
      <c r="J59" s="54" t="s">
        <v>63</v>
      </c>
      <c r="K59" s="51" t="s">
        <v>197</v>
      </c>
      <c r="L59" s="51"/>
      <c r="M59" s="51"/>
      <c r="N59" s="51"/>
      <c r="O59" s="55">
        <v>46101</v>
      </c>
      <c r="P59" s="51" t="s">
        <v>56</v>
      </c>
      <c r="Q59" s="51" t="s">
        <v>56</v>
      </c>
      <c r="R59" s="56" t="s">
        <v>224</v>
      </c>
      <c r="S59" s="56" t="s">
        <v>226</v>
      </c>
      <c r="T59" s="56" t="s">
        <v>227</v>
      </c>
      <c r="U59" s="56" t="s">
        <v>229</v>
      </c>
      <c r="V59" s="56" t="s">
        <v>230</v>
      </c>
      <c r="W59" s="56" t="s">
        <v>231</v>
      </c>
      <c r="X59" s="54" t="s">
        <v>232</v>
      </c>
      <c r="Y59" s="54" t="s">
        <v>233</v>
      </c>
      <c r="Z59" s="51"/>
      <c r="AA59" s="51" t="s">
        <v>256</v>
      </c>
      <c r="AB59" s="51" t="s">
        <v>257</v>
      </c>
    </row>
    <row r="60" spans="1:28" ht="20.100000000000001" hidden="1" customHeight="1" x14ac:dyDescent="0.25">
      <c r="A60" s="54" t="s">
        <v>279</v>
      </c>
      <c r="B60" s="51" t="s">
        <v>63</v>
      </c>
      <c r="C60" s="54" t="s">
        <v>272</v>
      </c>
      <c r="D60" s="54">
        <v>6732</v>
      </c>
      <c r="E60" s="54" t="s">
        <v>259</v>
      </c>
      <c r="F60" s="54">
        <v>1</v>
      </c>
      <c r="G60" s="104">
        <v>2000</v>
      </c>
      <c r="H60" s="54" t="s">
        <v>252</v>
      </c>
      <c r="I60" s="54" t="s">
        <v>63</v>
      </c>
      <c r="J60" s="54" t="s">
        <v>63</v>
      </c>
      <c r="K60" s="51" t="s">
        <v>197</v>
      </c>
      <c r="L60" s="51"/>
      <c r="M60" s="51"/>
      <c r="N60" s="51"/>
      <c r="O60" s="55">
        <v>46101</v>
      </c>
      <c r="P60" s="51" t="s">
        <v>56</v>
      </c>
      <c r="Q60" s="51" t="s">
        <v>56</v>
      </c>
      <c r="R60" s="53" t="s">
        <v>224</v>
      </c>
      <c r="S60" s="53" t="s">
        <v>227</v>
      </c>
      <c r="T60" s="51" t="s">
        <v>232</v>
      </c>
      <c r="U60" s="51" t="s">
        <v>233</v>
      </c>
      <c r="V60" s="51"/>
      <c r="W60" s="51"/>
      <c r="X60" s="51"/>
      <c r="Y60" s="51"/>
      <c r="Z60" s="51"/>
      <c r="AA60" s="51" t="s">
        <v>256</v>
      </c>
      <c r="AB60" s="51" t="s">
        <v>257</v>
      </c>
    </row>
    <row r="61" spans="1:28" ht="20.100000000000001" hidden="1" customHeight="1" x14ac:dyDescent="0.25">
      <c r="A61" s="54" t="s">
        <v>280</v>
      </c>
      <c r="B61" s="51" t="s">
        <v>63</v>
      </c>
      <c r="C61" s="54" t="s">
        <v>273</v>
      </c>
      <c r="D61" s="54">
        <v>6775</v>
      </c>
      <c r="E61" s="54" t="s">
        <v>259</v>
      </c>
      <c r="F61" s="54">
        <v>1</v>
      </c>
      <c r="G61" s="54" t="s">
        <v>260</v>
      </c>
      <c r="H61" s="54" t="s">
        <v>253</v>
      </c>
      <c r="I61" s="54" t="s">
        <v>63</v>
      </c>
      <c r="J61" s="54" t="s">
        <v>63</v>
      </c>
      <c r="K61" s="51" t="s">
        <v>197</v>
      </c>
      <c r="L61" s="51"/>
      <c r="M61" s="51"/>
      <c r="N61" s="51"/>
      <c r="O61" s="55">
        <v>46101</v>
      </c>
      <c r="P61" s="51" t="s">
        <v>56</v>
      </c>
      <c r="Q61" s="51" t="s">
        <v>56</v>
      </c>
      <c r="R61" s="56" t="s">
        <v>224</v>
      </c>
      <c r="S61" s="56" t="s">
        <v>226</v>
      </c>
      <c r="T61" s="56" t="s">
        <v>227</v>
      </c>
      <c r="U61" s="56" t="s">
        <v>229</v>
      </c>
      <c r="V61" s="56" t="s">
        <v>230</v>
      </c>
      <c r="W61" s="56" t="s">
        <v>231</v>
      </c>
      <c r="X61" s="54" t="s">
        <v>232</v>
      </c>
      <c r="Y61" s="54" t="s">
        <v>233</v>
      </c>
      <c r="Z61" s="51"/>
      <c r="AA61" s="51" t="s">
        <v>256</v>
      </c>
      <c r="AB61" s="51" t="s">
        <v>257</v>
      </c>
    </row>
    <row r="62" spans="1:28" ht="20.100000000000001" hidden="1" customHeight="1" x14ac:dyDescent="0.25">
      <c r="A62" s="54" t="s">
        <v>281</v>
      </c>
      <c r="B62" s="51" t="s">
        <v>63</v>
      </c>
      <c r="C62" s="54" t="s">
        <v>273</v>
      </c>
      <c r="D62" s="54">
        <v>6767</v>
      </c>
      <c r="E62" s="54" t="s">
        <v>259</v>
      </c>
      <c r="F62" s="54">
        <v>1</v>
      </c>
      <c r="G62" s="54" t="s">
        <v>260</v>
      </c>
      <c r="H62" s="54" t="s">
        <v>254</v>
      </c>
      <c r="I62" s="54" t="s">
        <v>63</v>
      </c>
      <c r="J62" s="54" t="s">
        <v>63</v>
      </c>
      <c r="K62" s="51" t="s">
        <v>197</v>
      </c>
      <c r="L62" s="51"/>
      <c r="M62" s="51"/>
      <c r="N62" s="51"/>
      <c r="O62" s="55">
        <v>46101</v>
      </c>
      <c r="P62" s="51" t="s">
        <v>56</v>
      </c>
      <c r="Q62" s="51" t="s">
        <v>56</v>
      </c>
      <c r="R62" s="53" t="s">
        <v>224</v>
      </c>
      <c r="S62" s="51" t="s">
        <v>232</v>
      </c>
      <c r="T62" s="51" t="s">
        <v>233</v>
      </c>
      <c r="U62" s="51"/>
      <c r="V62" s="51"/>
      <c r="W62" s="51"/>
      <c r="X62" s="51"/>
      <c r="Y62" s="51"/>
      <c r="Z62" s="51"/>
      <c r="AA62" s="51" t="s">
        <v>256</v>
      </c>
      <c r="AB62" s="51" t="s">
        <v>257</v>
      </c>
    </row>
    <row r="63" spans="1:28" ht="20.100000000000001" hidden="1" customHeight="1" x14ac:dyDescent="0.25">
      <c r="A63" s="54" t="s">
        <v>282</v>
      </c>
      <c r="B63" s="51" t="s">
        <v>63</v>
      </c>
      <c r="C63" s="54" t="s">
        <v>273</v>
      </c>
      <c r="D63" s="54">
        <v>6768</v>
      </c>
      <c r="E63" s="54" t="s">
        <v>259</v>
      </c>
      <c r="F63" s="54">
        <v>1</v>
      </c>
      <c r="G63" s="54" t="s">
        <v>260</v>
      </c>
      <c r="H63" s="54" t="s">
        <v>253</v>
      </c>
      <c r="I63" s="54" t="s">
        <v>63</v>
      </c>
      <c r="J63" s="54" t="s">
        <v>63</v>
      </c>
      <c r="K63" s="51" t="s">
        <v>197</v>
      </c>
      <c r="L63" s="51"/>
      <c r="M63" s="51"/>
      <c r="N63" s="51"/>
      <c r="O63" s="55">
        <v>46101</v>
      </c>
      <c r="P63" s="51" t="s">
        <v>56</v>
      </c>
      <c r="Q63" s="51" t="s">
        <v>56</v>
      </c>
      <c r="R63" s="56" t="s">
        <v>224</v>
      </c>
      <c r="S63" s="56" t="s">
        <v>226</v>
      </c>
      <c r="T63" s="56" t="s">
        <v>227</v>
      </c>
      <c r="U63" s="56" t="s">
        <v>229</v>
      </c>
      <c r="V63" s="56" t="s">
        <v>230</v>
      </c>
      <c r="W63" s="56" t="s">
        <v>231</v>
      </c>
      <c r="X63" s="54" t="s">
        <v>232</v>
      </c>
      <c r="Y63" s="54" t="s">
        <v>233</v>
      </c>
      <c r="Z63" s="51"/>
      <c r="AA63" s="51" t="s">
        <v>256</v>
      </c>
      <c r="AB63" s="51" t="s">
        <v>257</v>
      </c>
    </row>
    <row r="64" spans="1:28" ht="20.100000000000001" hidden="1" customHeight="1" x14ac:dyDescent="0.25">
      <c r="A64" s="54" t="s">
        <v>283</v>
      </c>
      <c r="B64" s="51" t="s">
        <v>63</v>
      </c>
      <c r="C64" s="54" t="s">
        <v>274</v>
      </c>
      <c r="D64" s="54">
        <v>6763</v>
      </c>
      <c r="E64" s="54" t="s">
        <v>259</v>
      </c>
      <c r="F64" s="54">
        <v>1</v>
      </c>
      <c r="G64" s="54" t="s">
        <v>268</v>
      </c>
      <c r="H64" s="54" t="s">
        <v>253</v>
      </c>
      <c r="I64" s="54" t="s">
        <v>63</v>
      </c>
      <c r="J64" s="54" t="s">
        <v>63</v>
      </c>
      <c r="K64" s="51" t="s">
        <v>197</v>
      </c>
      <c r="L64" s="51" t="s">
        <v>464</v>
      </c>
      <c r="M64" s="52">
        <v>46054</v>
      </c>
      <c r="N64" s="52">
        <v>46054</v>
      </c>
      <c r="O64" s="55">
        <v>46101</v>
      </c>
      <c r="P64" s="51" t="s">
        <v>56</v>
      </c>
      <c r="Q64" s="51" t="s">
        <v>56</v>
      </c>
      <c r="R64" s="56" t="s">
        <v>224</v>
      </c>
      <c r="S64" s="56" t="s">
        <v>226</v>
      </c>
      <c r="T64" s="56" t="s">
        <v>227</v>
      </c>
      <c r="U64" s="56" t="s">
        <v>229</v>
      </c>
      <c r="V64" s="56" t="s">
        <v>230</v>
      </c>
      <c r="W64" s="56" t="s">
        <v>231</v>
      </c>
      <c r="X64" s="56" t="s">
        <v>232</v>
      </c>
      <c r="Y64" s="56" t="s">
        <v>233</v>
      </c>
      <c r="Z64" s="51"/>
      <c r="AA64" s="51" t="s">
        <v>326</v>
      </c>
      <c r="AB64" s="51"/>
    </row>
    <row r="65" spans="1:28" ht="20.100000000000001" hidden="1" customHeight="1" x14ac:dyDescent="0.25">
      <c r="A65" s="54" t="s">
        <v>284</v>
      </c>
      <c r="B65" s="51" t="s">
        <v>63</v>
      </c>
      <c r="C65" s="54" t="s">
        <v>274</v>
      </c>
      <c r="D65" s="54">
        <v>6729</v>
      </c>
      <c r="E65" s="54" t="s">
        <v>259</v>
      </c>
      <c r="F65" s="54">
        <v>1</v>
      </c>
      <c r="G65" s="54" t="s">
        <v>297</v>
      </c>
      <c r="H65" s="54" t="s">
        <v>254</v>
      </c>
      <c r="I65" s="54" t="s">
        <v>63</v>
      </c>
      <c r="J65" s="54" t="s">
        <v>63</v>
      </c>
      <c r="K65" s="51" t="s">
        <v>197</v>
      </c>
      <c r="L65" s="51" t="s">
        <v>465</v>
      </c>
      <c r="M65" s="52">
        <v>46054</v>
      </c>
      <c r="N65" s="52">
        <v>46054</v>
      </c>
      <c r="O65" s="55">
        <v>46264</v>
      </c>
      <c r="P65" s="51" t="s">
        <v>56</v>
      </c>
      <c r="Q65" s="51" t="s">
        <v>56</v>
      </c>
      <c r="R65" s="51" t="s">
        <v>224</v>
      </c>
      <c r="S65" s="51" t="s">
        <v>232</v>
      </c>
      <c r="T65" s="51" t="s">
        <v>233</v>
      </c>
      <c r="U65" s="51"/>
      <c r="V65" s="51"/>
      <c r="W65" s="51"/>
      <c r="X65" s="51"/>
      <c r="Y65" s="51"/>
      <c r="Z65" s="51"/>
      <c r="AA65" s="51" t="s">
        <v>124</v>
      </c>
      <c r="AB65" s="51" t="s">
        <v>257</v>
      </c>
    </row>
    <row r="66" spans="1:28" ht="20.100000000000001" hidden="1" customHeight="1" x14ac:dyDescent="0.25">
      <c r="A66" s="54" t="s">
        <v>285</v>
      </c>
      <c r="B66" s="51" t="s">
        <v>63</v>
      </c>
      <c r="C66" s="54" t="s">
        <v>275</v>
      </c>
      <c r="D66" s="54">
        <v>6733</v>
      </c>
      <c r="E66" s="54" t="s">
        <v>259</v>
      </c>
      <c r="F66" s="54">
        <v>1</v>
      </c>
      <c r="G66" s="54" t="s">
        <v>298</v>
      </c>
      <c r="H66" s="54" t="s">
        <v>254</v>
      </c>
      <c r="I66" s="54" t="s">
        <v>63</v>
      </c>
      <c r="J66" s="54" t="s">
        <v>63</v>
      </c>
      <c r="K66" s="51" t="s">
        <v>197</v>
      </c>
      <c r="L66" s="51" t="s">
        <v>63</v>
      </c>
      <c r="M66" s="52">
        <v>46054</v>
      </c>
      <c r="N66" s="52">
        <v>46054</v>
      </c>
      <c r="O66" s="55">
        <v>46264</v>
      </c>
      <c r="P66" s="51" t="s">
        <v>56</v>
      </c>
      <c r="Q66" s="51" t="s">
        <v>56</v>
      </c>
      <c r="R66" s="51" t="s">
        <v>224</v>
      </c>
      <c r="S66" s="51" t="s">
        <v>232</v>
      </c>
      <c r="T66" s="51" t="s">
        <v>233</v>
      </c>
      <c r="U66" s="51"/>
      <c r="V66" s="51"/>
      <c r="W66" s="51"/>
      <c r="X66" s="51"/>
      <c r="Y66" s="51"/>
      <c r="Z66" s="51"/>
      <c r="AA66" s="51" t="s">
        <v>124</v>
      </c>
      <c r="AB66" s="51" t="s">
        <v>257</v>
      </c>
    </row>
    <row r="67" spans="1:28" ht="20.100000000000001" hidden="1" customHeight="1" x14ac:dyDescent="0.25">
      <c r="A67" s="54" t="s">
        <v>286</v>
      </c>
      <c r="B67" s="51" t="s">
        <v>63</v>
      </c>
      <c r="C67" s="54" t="s">
        <v>275</v>
      </c>
      <c r="D67" s="54">
        <v>6779</v>
      </c>
      <c r="E67" s="54" t="s">
        <v>259</v>
      </c>
      <c r="F67" s="54">
        <v>1</v>
      </c>
      <c r="G67" s="104">
        <v>2100</v>
      </c>
      <c r="H67" s="54" t="s">
        <v>253</v>
      </c>
      <c r="I67" s="54" t="s">
        <v>63</v>
      </c>
      <c r="J67" s="54" t="s">
        <v>63</v>
      </c>
      <c r="K67" s="51" t="s">
        <v>197</v>
      </c>
      <c r="L67" s="51"/>
      <c r="M67" s="51"/>
      <c r="N67" s="51"/>
      <c r="O67" s="55">
        <v>46090</v>
      </c>
      <c r="P67" s="51" t="s">
        <v>56</v>
      </c>
      <c r="Q67" s="51" t="s">
        <v>56</v>
      </c>
      <c r="R67" s="56" t="s">
        <v>224</v>
      </c>
      <c r="S67" s="56" t="s">
        <v>226</v>
      </c>
      <c r="T67" s="56" t="s">
        <v>227</v>
      </c>
      <c r="U67" s="56" t="s">
        <v>229</v>
      </c>
      <c r="V67" s="56" t="s">
        <v>230</v>
      </c>
      <c r="W67" s="56" t="s">
        <v>231</v>
      </c>
      <c r="X67" s="54" t="s">
        <v>232</v>
      </c>
      <c r="Y67" s="54" t="s">
        <v>233</v>
      </c>
      <c r="Z67" s="51"/>
      <c r="AA67" s="51" t="s">
        <v>256</v>
      </c>
      <c r="AB67" s="51" t="s">
        <v>257</v>
      </c>
    </row>
    <row r="68" spans="1:28" ht="20.100000000000001" hidden="1" customHeight="1" x14ac:dyDescent="0.25">
      <c r="A68" s="54" t="s">
        <v>287</v>
      </c>
      <c r="B68" s="51" t="s">
        <v>63</v>
      </c>
      <c r="C68" s="54" t="s">
        <v>276</v>
      </c>
      <c r="D68" s="54">
        <v>6759</v>
      </c>
      <c r="E68" s="54" t="s">
        <v>259</v>
      </c>
      <c r="F68" s="54">
        <v>1</v>
      </c>
      <c r="G68" s="54" t="s">
        <v>268</v>
      </c>
      <c r="H68" s="54" t="s">
        <v>253</v>
      </c>
      <c r="I68" s="54" t="s">
        <v>63</v>
      </c>
      <c r="J68" s="54" t="s">
        <v>63</v>
      </c>
      <c r="K68" s="51" t="s">
        <v>197</v>
      </c>
      <c r="L68" s="51">
        <v>22</v>
      </c>
      <c r="M68" s="52">
        <v>46054</v>
      </c>
      <c r="N68" s="52">
        <v>46054</v>
      </c>
      <c r="O68" s="55">
        <v>46101</v>
      </c>
      <c r="P68" s="51" t="s">
        <v>56</v>
      </c>
      <c r="Q68" s="51" t="s">
        <v>56</v>
      </c>
      <c r="R68" s="56" t="s">
        <v>224</v>
      </c>
      <c r="S68" s="56" t="s">
        <v>226</v>
      </c>
      <c r="T68" s="56" t="s">
        <v>227</v>
      </c>
      <c r="U68" s="56" t="s">
        <v>229</v>
      </c>
      <c r="V68" s="56" t="s">
        <v>230</v>
      </c>
      <c r="W68" s="56" t="s">
        <v>231</v>
      </c>
      <c r="X68" s="54" t="s">
        <v>232</v>
      </c>
      <c r="Y68" s="54" t="s">
        <v>233</v>
      </c>
      <c r="Z68" s="51"/>
      <c r="AA68" s="51" t="s">
        <v>256</v>
      </c>
      <c r="AB68" s="51"/>
    </row>
    <row r="69" spans="1:28" ht="20.100000000000001" hidden="1" customHeight="1" x14ac:dyDescent="0.25">
      <c r="A69" s="54" t="s">
        <v>288</v>
      </c>
      <c r="B69" s="51" t="s">
        <v>63</v>
      </c>
      <c r="C69" s="54" t="s">
        <v>276</v>
      </c>
      <c r="D69" s="54">
        <v>6754</v>
      </c>
      <c r="E69" s="54" t="s">
        <v>259</v>
      </c>
      <c r="F69" s="54">
        <v>1</v>
      </c>
      <c r="G69" s="54" t="s">
        <v>268</v>
      </c>
      <c r="H69" s="54" t="s">
        <v>253</v>
      </c>
      <c r="I69" s="54" t="s">
        <v>63</v>
      </c>
      <c r="J69" s="54" t="s">
        <v>63</v>
      </c>
      <c r="K69" s="51" t="s">
        <v>197</v>
      </c>
      <c r="L69" s="51">
        <v>24</v>
      </c>
      <c r="M69" s="52">
        <v>46054</v>
      </c>
      <c r="N69" s="52">
        <v>46054</v>
      </c>
      <c r="O69" s="55">
        <v>46101</v>
      </c>
      <c r="P69" s="51" t="s">
        <v>56</v>
      </c>
      <c r="Q69" s="51" t="s">
        <v>56</v>
      </c>
      <c r="R69" s="56" t="s">
        <v>224</v>
      </c>
      <c r="S69" s="56" t="s">
        <v>226</v>
      </c>
      <c r="T69" s="56" t="s">
        <v>227</v>
      </c>
      <c r="U69" s="56" t="s">
        <v>229</v>
      </c>
      <c r="V69" s="56" t="s">
        <v>230</v>
      </c>
      <c r="W69" s="56" t="s">
        <v>231</v>
      </c>
      <c r="X69" s="54" t="s">
        <v>232</v>
      </c>
      <c r="Y69" s="54" t="s">
        <v>233</v>
      </c>
      <c r="Z69" s="51"/>
      <c r="AA69" s="51" t="s">
        <v>256</v>
      </c>
      <c r="AB69" s="51"/>
    </row>
    <row r="70" spans="1:28" ht="20.100000000000001" hidden="1" customHeight="1" x14ac:dyDescent="0.25">
      <c r="A70" s="54" t="s">
        <v>289</v>
      </c>
      <c r="B70" s="51" t="s">
        <v>63</v>
      </c>
      <c r="C70" s="54" t="s">
        <v>276</v>
      </c>
      <c r="D70" s="54">
        <v>6760</v>
      </c>
      <c r="E70" s="54" t="s">
        <v>259</v>
      </c>
      <c r="F70" s="54">
        <v>1</v>
      </c>
      <c r="G70" s="54" t="s">
        <v>268</v>
      </c>
      <c r="H70" s="54" t="s">
        <v>253</v>
      </c>
      <c r="I70" s="54" t="s">
        <v>63</v>
      </c>
      <c r="J70" s="54" t="s">
        <v>63</v>
      </c>
      <c r="K70" s="51" t="s">
        <v>197</v>
      </c>
      <c r="L70" s="51">
        <v>25</v>
      </c>
      <c r="M70" s="52">
        <v>46054</v>
      </c>
      <c r="N70" s="52">
        <v>46054</v>
      </c>
      <c r="O70" s="55">
        <v>46101</v>
      </c>
      <c r="P70" s="51" t="s">
        <v>56</v>
      </c>
      <c r="Q70" s="51" t="s">
        <v>56</v>
      </c>
      <c r="R70" s="56" t="s">
        <v>224</v>
      </c>
      <c r="S70" s="56" t="s">
        <v>226</v>
      </c>
      <c r="T70" s="56" t="s">
        <v>227</v>
      </c>
      <c r="U70" s="56" t="s">
        <v>229</v>
      </c>
      <c r="V70" s="56" t="s">
        <v>230</v>
      </c>
      <c r="W70" s="56" t="s">
        <v>231</v>
      </c>
      <c r="X70" s="54" t="s">
        <v>232</v>
      </c>
      <c r="Y70" s="54" t="s">
        <v>233</v>
      </c>
      <c r="Z70" s="51"/>
      <c r="AA70" s="51" t="s">
        <v>256</v>
      </c>
      <c r="AB70" s="51"/>
    </row>
    <row r="71" spans="1:28" ht="20.100000000000001" hidden="1" customHeight="1" x14ac:dyDescent="0.25">
      <c r="A71" s="54" t="s">
        <v>290</v>
      </c>
      <c r="B71" s="51" t="s">
        <v>63</v>
      </c>
      <c r="C71" s="54" t="s">
        <v>276</v>
      </c>
      <c r="D71" s="54">
        <v>6755</v>
      </c>
      <c r="E71" s="54" t="s">
        <v>259</v>
      </c>
      <c r="F71" s="54">
        <v>1</v>
      </c>
      <c r="G71" s="54" t="s">
        <v>268</v>
      </c>
      <c r="H71" s="54" t="s">
        <v>253</v>
      </c>
      <c r="I71" s="54" t="s">
        <v>63</v>
      </c>
      <c r="J71" s="54" t="s">
        <v>63</v>
      </c>
      <c r="K71" s="51" t="s">
        <v>197</v>
      </c>
      <c r="L71" s="51">
        <v>30</v>
      </c>
      <c r="M71" s="52">
        <v>46054</v>
      </c>
      <c r="N71" s="52">
        <v>46054</v>
      </c>
      <c r="O71" s="55">
        <v>46101</v>
      </c>
      <c r="P71" s="51" t="s">
        <v>56</v>
      </c>
      <c r="Q71" s="51" t="s">
        <v>56</v>
      </c>
      <c r="R71" s="56" t="s">
        <v>224</v>
      </c>
      <c r="S71" s="56" t="s">
        <v>226</v>
      </c>
      <c r="T71" s="56" t="s">
        <v>227</v>
      </c>
      <c r="U71" s="56" t="s">
        <v>229</v>
      </c>
      <c r="V71" s="56" t="s">
        <v>230</v>
      </c>
      <c r="W71" s="56" t="s">
        <v>231</v>
      </c>
      <c r="X71" s="54" t="s">
        <v>232</v>
      </c>
      <c r="Y71" s="54" t="s">
        <v>233</v>
      </c>
      <c r="Z71" s="51"/>
      <c r="AA71" s="51" t="s">
        <v>256</v>
      </c>
      <c r="AB71" s="51"/>
    </row>
    <row r="72" spans="1:28" ht="20.100000000000001" hidden="1" customHeight="1" x14ac:dyDescent="0.25">
      <c r="A72" s="54" t="s">
        <v>291</v>
      </c>
      <c r="B72" s="51" t="s">
        <v>63</v>
      </c>
      <c r="C72" s="54" t="s">
        <v>276</v>
      </c>
      <c r="D72" s="54">
        <v>6758</v>
      </c>
      <c r="E72" s="54" t="s">
        <v>259</v>
      </c>
      <c r="F72" s="54">
        <v>1</v>
      </c>
      <c r="G72" s="54" t="s">
        <v>268</v>
      </c>
      <c r="H72" s="54" t="s">
        <v>253</v>
      </c>
      <c r="I72" s="54" t="s">
        <v>63</v>
      </c>
      <c r="J72" s="54" t="s">
        <v>63</v>
      </c>
      <c r="K72" s="51" t="s">
        <v>197</v>
      </c>
      <c r="L72" s="51">
        <v>32</v>
      </c>
      <c r="M72" s="52">
        <v>46054</v>
      </c>
      <c r="N72" s="52">
        <v>46054</v>
      </c>
      <c r="O72" s="55">
        <v>46101</v>
      </c>
      <c r="P72" s="51" t="s">
        <v>56</v>
      </c>
      <c r="Q72" s="51" t="s">
        <v>56</v>
      </c>
      <c r="R72" s="56" t="s">
        <v>224</v>
      </c>
      <c r="S72" s="56" t="s">
        <v>226</v>
      </c>
      <c r="T72" s="56" t="s">
        <v>227</v>
      </c>
      <c r="U72" s="56" t="s">
        <v>229</v>
      </c>
      <c r="V72" s="56" t="s">
        <v>230</v>
      </c>
      <c r="W72" s="56" t="s">
        <v>231</v>
      </c>
      <c r="X72" s="54" t="s">
        <v>232</v>
      </c>
      <c r="Y72" s="54" t="s">
        <v>233</v>
      </c>
      <c r="Z72" s="51"/>
      <c r="AA72" s="51" t="s">
        <v>256</v>
      </c>
      <c r="AB72" s="51"/>
    </row>
    <row r="73" spans="1:28" ht="20.100000000000001" hidden="1" customHeight="1" x14ac:dyDescent="0.25">
      <c r="A73" s="54" t="s">
        <v>292</v>
      </c>
      <c r="B73" s="51" t="s">
        <v>63</v>
      </c>
      <c r="C73" s="54" t="s">
        <v>276</v>
      </c>
      <c r="D73" s="54">
        <v>6757</v>
      </c>
      <c r="E73" s="54" t="s">
        <v>259</v>
      </c>
      <c r="F73" s="54">
        <v>1</v>
      </c>
      <c r="G73" s="54" t="s">
        <v>268</v>
      </c>
      <c r="H73" s="54" t="s">
        <v>253</v>
      </c>
      <c r="I73" s="54" t="s">
        <v>63</v>
      </c>
      <c r="J73" s="54" t="s">
        <v>63</v>
      </c>
      <c r="K73" s="51" t="s">
        <v>197</v>
      </c>
      <c r="L73" s="51">
        <v>46</v>
      </c>
      <c r="M73" s="52">
        <v>46054</v>
      </c>
      <c r="N73" s="52">
        <v>46054</v>
      </c>
      <c r="O73" s="55">
        <v>46101</v>
      </c>
      <c r="P73" s="51" t="s">
        <v>56</v>
      </c>
      <c r="Q73" s="51" t="s">
        <v>56</v>
      </c>
      <c r="R73" s="56" t="s">
        <v>224</v>
      </c>
      <c r="S73" s="56" t="s">
        <v>226</v>
      </c>
      <c r="T73" s="56" t="s">
        <v>227</v>
      </c>
      <c r="U73" s="56" t="s">
        <v>229</v>
      </c>
      <c r="V73" s="56" t="s">
        <v>230</v>
      </c>
      <c r="W73" s="56" t="s">
        <v>231</v>
      </c>
      <c r="X73" s="54" t="s">
        <v>232</v>
      </c>
      <c r="Y73" s="54" t="s">
        <v>233</v>
      </c>
      <c r="Z73" s="51"/>
      <c r="AA73" s="51" t="s">
        <v>256</v>
      </c>
      <c r="AB73" s="51"/>
    </row>
    <row r="74" spans="1:28" ht="20.100000000000001" hidden="1" customHeight="1" x14ac:dyDescent="0.25">
      <c r="A74" s="54" t="s">
        <v>293</v>
      </c>
      <c r="B74" s="51" t="s">
        <v>63</v>
      </c>
      <c r="C74" s="54" t="s">
        <v>276</v>
      </c>
      <c r="D74" s="54">
        <v>6753</v>
      </c>
      <c r="E74" s="54" t="s">
        <v>259</v>
      </c>
      <c r="F74" s="54">
        <v>1</v>
      </c>
      <c r="G74" s="54" t="s">
        <v>260</v>
      </c>
      <c r="H74" s="54" t="s">
        <v>253</v>
      </c>
      <c r="I74" s="54" t="s">
        <v>63</v>
      </c>
      <c r="J74" s="54" t="s">
        <v>63</v>
      </c>
      <c r="K74" s="51" t="s">
        <v>197</v>
      </c>
      <c r="L74" s="51" t="s">
        <v>468</v>
      </c>
      <c r="M74" s="52">
        <v>46054</v>
      </c>
      <c r="N74" s="52">
        <v>46054</v>
      </c>
      <c r="O74" s="55">
        <v>46101</v>
      </c>
      <c r="P74" s="51" t="s">
        <v>56</v>
      </c>
      <c r="Q74" s="51" t="s">
        <v>56</v>
      </c>
      <c r="R74" s="56" t="s">
        <v>224</v>
      </c>
      <c r="S74" s="56" t="s">
        <v>226</v>
      </c>
      <c r="T74" s="56" t="s">
        <v>227</v>
      </c>
      <c r="U74" s="56" t="s">
        <v>229</v>
      </c>
      <c r="V74" s="56" t="s">
        <v>230</v>
      </c>
      <c r="W74" s="56" t="s">
        <v>231</v>
      </c>
      <c r="X74" s="54" t="s">
        <v>232</v>
      </c>
      <c r="Y74" s="54" t="s">
        <v>233</v>
      </c>
      <c r="Z74" s="51"/>
      <c r="AA74" s="51" t="s">
        <v>256</v>
      </c>
      <c r="AB74" s="51"/>
    </row>
    <row r="75" spans="1:28" ht="20.100000000000001" hidden="1" customHeight="1" x14ac:dyDescent="0.25">
      <c r="A75" s="54" t="s">
        <v>294</v>
      </c>
      <c r="B75" s="51" t="s">
        <v>63</v>
      </c>
      <c r="C75" s="54" t="s">
        <v>276</v>
      </c>
      <c r="D75" s="54">
        <v>6756</v>
      </c>
      <c r="E75" s="54" t="s">
        <v>259</v>
      </c>
      <c r="F75" s="54">
        <v>1</v>
      </c>
      <c r="G75" s="54" t="s">
        <v>260</v>
      </c>
      <c r="H75" s="54" t="s">
        <v>253</v>
      </c>
      <c r="I75" s="54" t="s">
        <v>63</v>
      </c>
      <c r="J75" s="54" t="s">
        <v>63</v>
      </c>
      <c r="K75" s="51" t="s">
        <v>197</v>
      </c>
      <c r="L75" s="51" t="s">
        <v>469</v>
      </c>
      <c r="M75" s="52">
        <v>46054</v>
      </c>
      <c r="N75" s="52">
        <v>46054</v>
      </c>
      <c r="O75" s="55">
        <v>46101</v>
      </c>
      <c r="P75" s="51" t="s">
        <v>56</v>
      </c>
      <c r="Q75" s="51" t="s">
        <v>56</v>
      </c>
      <c r="R75" s="56" t="s">
        <v>224</v>
      </c>
      <c r="S75" s="56" t="s">
        <v>226</v>
      </c>
      <c r="T75" s="56" t="s">
        <v>227</v>
      </c>
      <c r="U75" s="56" t="s">
        <v>229</v>
      </c>
      <c r="V75" s="56" t="s">
        <v>230</v>
      </c>
      <c r="W75" s="56" t="s">
        <v>231</v>
      </c>
      <c r="X75" s="54" t="s">
        <v>232</v>
      </c>
      <c r="Y75" s="54" t="s">
        <v>233</v>
      </c>
      <c r="Z75" s="51"/>
      <c r="AA75" s="51" t="s">
        <v>256</v>
      </c>
      <c r="AB75" s="51"/>
    </row>
    <row r="76" spans="1:28" ht="20.100000000000001" hidden="1" customHeight="1" x14ac:dyDescent="0.25">
      <c r="A76" s="54" t="s">
        <v>295</v>
      </c>
      <c r="B76" s="51" t="s">
        <v>63</v>
      </c>
      <c r="C76" s="54" t="s">
        <v>276</v>
      </c>
      <c r="D76" s="54" t="s">
        <v>210</v>
      </c>
      <c r="E76" s="54" t="s">
        <v>259</v>
      </c>
      <c r="F76" s="54">
        <v>1</v>
      </c>
      <c r="G76" s="54" t="s">
        <v>260</v>
      </c>
      <c r="H76" s="54" t="s">
        <v>254</v>
      </c>
      <c r="I76" s="54" t="s">
        <v>63</v>
      </c>
      <c r="J76" s="54" t="s">
        <v>63</v>
      </c>
      <c r="K76" s="51" t="s">
        <v>197</v>
      </c>
      <c r="L76" s="51" t="s">
        <v>470</v>
      </c>
      <c r="M76" s="52">
        <v>46054</v>
      </c>
      <c r="N76" s="52">
        <v>46054</v>
      </c>
      <c r="O76" s="55">
        <v>46264</v>
      </c>
      <c r="P76" s="51" t="s">
        <v>56</v>
      </c>
      <c r="Q76" s="51" t="s">
        <v>56</v>
      </c>
      <c r="R76" s="51" t="s">
        <v>224</v>
      </c>
      <c r="S76" s="51" t="s">
        <v>232</v>
      </c>
      <c r="T76" s="51" t="s">
        <v>233</v>
      </c>
      <c r="U76" s="51"/>
      <c r="V76" s="51"/>
      <c r="W76" s="51"/>
      <c r="X76" s="51"/>
      <c r="Y76" s="51"/>
      <c r="Z76" s="51"/>
      <c r="AA76" s="51" t="s">
        <v>124</v>
      </c>
      <c r="AB76" s="51" t="s">
        <v>370</v>
      </c>
    </row>
    <row r="77" spans="1:28" ht="20.100000000000001" hidden="1" customHeight="1" x14ac:dyDescent="0.25">
      <c r="A77" s="54" t="s">
        <v>296</v>
      </c>
      <c r="B77" s="51" t="s">
        <v>63</v>
      </c>
      <c r="C77" s="54" t="s">
        <v>276</v>
      </c>
      <c r="D77" s="54">
        <v>6730</v>
      </c>
      <c r="E77" s="54" t="s">
        <v>259</v>
      </c>
      <c r="F77" s="54">
        <v>1</v>
      </c>
      <c r="G77" s="54" t="s">
        <v>268</v>
      </c>
      <c r="H77" s="54" t="s">
        <v>253</v>
      </c>
      <c r="I77" s="54" t="s">
        <v>63</v>
      </c>
      <c r="J77" s="54" t="s">
        <v>63</v>
      </c>
      <c r="K77" s="51" t="s">
        <v>197</v>
      </c>
      <c r="L77" s="51" t="s">
        <v>471</v>
      </c>
      <c r="M77" s="52">
        <v>46054</v>
      </c>
      <c r="N77" s="52">
        <v>46054</v>
      </c>
      <c r="O77" s="55">
        <v>46101</v>
      </c>
      <c r="P77" s="51" t="s">
        <v>56</v>
      </c>
      <c r="Q77" s="51" t="s">
        <v>56</v>
      </c>
      <c r="R77" s="56" t="s">
        <v>224</v>
      </c>
      <c r="S77" s="56" t="s">
        <v>226</v>
      </c>
      <c r="T77" s="56" t="s">
        <v>227</v>
      </c>
      <c r="U77" s="56" t="s">
        <v>229</v>
      </c>
      <c r="V77" s="56" t="s">
        <v>230</v>
      </c>
      <c r="W77" s="56" t="s">
        <v>231</v>
      </c>
      <c r="X77" s="54" t="s">
        <v>232</v>
      </c>
      <c r="Y77" s="54" t="s">
        <v>233</v>
      </c>
      <c r="Z77" s="51"/>
      <c r="AA77" s="51" t="s">
        <v>256</v>
      </c>
      <c r="AB77" s="51"/>
    </row>
    <row r="78" spans="1:28" ht="20.100000000000001" hidden="1" customHeight="1" x14ac:dyDescent="0.25">
      <c r="A78" s="51">
        <v>1020</v>
      </c>
      <c r="B78" s="51" t="s">
        <v>63</v>
      </c>
      <c r="C78" s="51" t="s">
        <v>35</v>
      </c>
      <c r="D78" s="51"/>
      <c r="E78" s="54" t="s">
        <v>259</v>
      </c>
      <c r="F78" s="54">
        <v>1</v>
      </c>
      <c r="G78" s="105" t="s">
        <v>368</v>
      </c>
      <c r="H78" s="51" t="s">
        <v>252</v>
      </c>
      <c r="I78" s="51" t="s">
        <v>371</v>
      </c>
      <c r="J78" s="105" t="s">
        <v>204</v>
      </c>
      <c r="K78" s="51" t="s">
        <v>209</v>
      </c>
      <c r="L78" s="105">
        <v>121</v>
      </c>
      <c r="M78" s="51" t="s">
        <v>63</v>
      </c>
      <c r="N78" s="51" t="s">
        <v>63</v>
      </c>
      <c r="O78" s="106">
        <v>46400</v>
      </c>
      <c r="P78" s="77" t="s">
        <v>58</v>
      </c>
      <c r="Q78" s="51" t="s">
        <v>58</v>
      </c>
      <c r="R78" s="51" t="s">
        <v>369</v>
      </c>
      <c r="S78" s="51" t="s">
        <v>225</v>
      </c>
      <c r="T78" s="51" t="s">
        <v>224</v>
      </c>
      <c r="U78" s="51" t="s">
        <v>228</v>
      </c>
      <c r="V78" s="51"/>
      <c r="W78" s="51"/>
      <c r="X78" s="51"/>
      <c r="Y78" s="51"/>
      <c r="Z78" s="51"/>
      <c r="AA78" s="51" t="s">
        <v>200</v>
      </c>
      <c r="AB78" s="51"/>
    </row>
    <row r="79" spans="1:28" ht="20.100000000000001" hidden="1" customHeight="1" x14ac:dyDescent="0.25">
      <c r="A79" s="51">
        <v>1020</v>
      </c>
      <c r="B79" s="51" t="s">
        <v>63</v>
      </c>
      <c r="C79" s="51" t="s">
        <v>35</v>
      </c>
      <c r="D79" s="51"/>
      <c r="E79" s="54" t="s">
        <v>259</v>
      </c>
      <c r="F79" s="54">
        <v>1</v>
      </c>
      <c r="G79" s="105" t="s">
        <v>368</v>
      </c>
      <c r="H79" s="51" t="s">
        <v>252</v>
      </c>
      <c r="I79" s="51" t="s">
        <v>372</v>
      </c>
      <c r="J79" s="105" t="s">
        <v>204</v>
      </c>
      <c r="K79" s="51" t="s">
        <v>209</v>
      </c>
      <c r="L79" s="105">
        <v>103</v>
      </c>
      <c r="M79" s="51" t="s">
        <v>63</v>
      </c>
      <c r="N79" s="51" t="s">
        <v>63</v>
      </c>
      <c r="O79" s="106">
        <v>46402</v>
      </c>
      <c r="P79" s="51" t="s">
        <v>58</v>
      </c>
      <c r="Q79" s="51" t="s">
        <v>58</v>
      </c>
      <c r="R79" s="51" t="s">
        <v>369</v>
      </c>
      <c r="S79" s="51" t="s">
        <v>225</v>
      </c>
      <c r="T79" s="51" t="s">
        <v>224</v>
      </c>
      <c r="U79" s="51" t="s">
        <v>228</v>
      </c>
      <c r="V79" s="51"/>
      <c r="W79" s="51"/>
      <c r="X79" s="51"/>
      <c r="Y79" s="51"/>
      <c r="Z79" s="51"/>
      <c r="AA79" s="51" t="s">
        <v>200</v>
      </c>
      <c r="AB79" s="51"/>
    </row>
    <row r="80" spans="1:28" ht="20.100000000000001" hidden="1" customHeight="1" x14ac:dyDescent="0.25">
      <c r="A80" s="51">
        <v>1020</v>
      </c>
      <c r="B80" s="51" t="s">
        <v>63</v>
      </c>
      <c r="C80" s="51" t="s">
        <v>35</v>
      </c>
      <c r="D80" s="51"/>
      <c r="E80" s="54" t="s">
        <v>259</v>
      </c>
      <c r="F80" s="54">
        <v>1</v>
      </c>
      <c r="G80" s="105" t="s">
        <v>263</v>
      </c>
      <c r="H80" s="51" t="s">
        <v>252</v>
      </c>
      <c r="I80" s="51" t="s">
        <v>371</v>
      </c>
      <c r="J80" s="105" t="s">
        <v>205</v>
      </c>
      <c r="K80" s="51" t="s">
        <v>209</v>
      </c>
      <c r="L80" s="105">
        <v>128</v>
      </c>
      <c r="M80" s="51" t="s">
        <v>63</v>
      </c>
      <c r="N80" s="51" t="s">
        <v>63</v>
      </c>
      <c r="O80" s="106">
        <v>46402</v>
      </c>
      <c r="P80" s="51" t="s">
        <v>58</v>
      </c>
      <c r="Q80" s="51" t="s">
        <v>58</v>
      </c>
      <c r="R80" s="51" t="s">
        <v>369</v>
      </c>
      <c r="S80" s="51" t="s">
        <v>225</v>
      </c>
      <c r="T80" s="51" t="s">
        <v>224</v>
      </c>
      <c r="U80" s="51" t="s">
        <v>228</v>
      </c>
      <c r="V80" s="51"/>
      <c r="W80" s="51"/>
      <c r="X80" s="51"/>
      <c r="Y80" s="51"/>
      <c r="Z80" s="51"/>
      <c r="AA80" s="51" t="s">
        <v>200</v>
      </c>
      <c r="AB80" s="51"/>
    </row>
    <row r="81" spans="1:28" ht="20.100000000000001" hidden="1" customHeight="1" x14ac:dyDescent="0.25">
      <c r="A81" s="51">
        <v>1020</v>
      </c>
      <c r="B81" s="51" t="s">
        <v>63</v>
      </c>
      <c r="C81" s="51" t="s">
        <v>35</v>
      </c>
      <c r="D81" s="51"/>
      <c r="E81" s="54" t="s">
        <v>259</v>
      </c>
      <c r="F81" s="54">
        <v>1</v>
      </c>
      <c r="G81" s="105" t="s">
        <v>263</v>
      </c>
      <c r="H81" s="51" t="s">
        <v>252</v>
      </c>
      <c r="I81" s="51" t="s">
        <v>372</v>
      </c>
      <c r="J81" s="105" t="s">
        <v>205</v>
      </c>
      <c r="K81" s="51" t="s">
        <v>209</v>
      </c>
      <c r="L81" s="105">
        <v>127</v>
      </c>
      <c r="M81" s="51" t="s">
        <v>63</v>
      </c>
      <c r="N81" s="51" t="s">
        <v>63</v>
      </c>
      <c r="O81" s="106">
        <v>46400</v>
      </c>
      <c r="P81" s="51" t="s">
        <v>58</v>
      </c>
      <c r="Q81" s="51" t="s">
        <v>58</v>
      </c>
      <c r="R81" s="51" t="s">
        <v>369</v>
      </c>
      <c r="S81" s="51" t="s">
        <v>225</v>
      </c>
      <c r="T81" s="51" t="s">
        <v>224</v>
      </c>
      <c r="U81" s="51" t="s">
        <v>228</v>
      </c>
      <c r="V81" s="51"/>
      <c r="W81" s="51"/>
      <c r="X81" s="51"/>
      <c r="Y81" s="51"/>
      <c r="Z81" s="51"/>
      <c r="AA81" s="51" t="s">
        <v>200</v>
      </c>
      <c r="AB81" s="51"/>
    </row>
    <row r="82" spans="1:28" ht="20.100000000000001" hidden="1" customHeight="1" x14ac:dyDescent="0.25">
      <c r="A82" s="51">
        <v>1020</v>
      </c>
      <c r="B82" s="51" t="s">
        <v>63</v>
      </c>
      <c r="C82" s="51" t="s">
        <v>35</v>
      </c>
      <c r="D82" s="51"/>
      <c r="E82" s="54" t="s">
        <v>259</v>
      </c>
      <c r="F82" s="54">
        <v>1</v>
      </c>
      <c r="G82" s="105" t="s">
        <v>263</v>
      </c>
      <c r="H82" s="51" t="s">
        <v>253</v>
      </c>
      <c r="I82" s="51" t="s">
        <v>373</v>
      </c>
      <c r="J82" s="105" t="s">
        <v>205</v>
      </c>
      <c r="K82" s="51" t="s">
        <v>197</v>
      </c>
      <c r="L82" s="105" t="s">
        <v>364</v>
      </c>
      <c r="M82" s="51"/>
      <c r="N82" s="51"/>
      <c r="O82" s="106">
        <v>46329</v>
      </c>
      <c r="P82" s="51" t="s">
        <v>58</v>
      </c>
      <c r="Q82" s="51" t="s">
        <v>58</v>
      </c>
      <c r="R82" s="54" t="s">
        <v>224</v>
      </c>
      <c r="S82" s="54" t="s">
        <v>226</v>
      </c>
      <c r="T82" s="54" t="s">
        <v>227</v>
      </c>
      <c r="U82" s="54" t="s">
        <v>229</v>
      </c>
      <c r="V82" s="54" t="s">
        <v>230</v>
      </c>
      <c r="W82" s="54" t="s">
        <v>231</v>
      </c>
      <c r="X82" s="54" t="s">
        <v>232</v>
      </c>
      <c r="Y82" s="54" t="s">
        <v>233</v>
      </c>
      <c r="Z82" s="51"/>
      <c r="AA82" s="51" t="s">
        <v>48</v>
      </c>
      <c r="AB82" s="51"/>
    </row>
    <row r="83" spans="1:28" ht="20.100000000000001" hidden="1" customHeight="1" x14ac:dyDescent="0.25">
      <c r="A83" s="51">
        <v>1020</v>
      </c>
      <c r="B83" s="51" t="s">
        <v>63</v>
      </c>
      <c r="C83" s="51" t="s">
        <v>35</v>
      </c>
      <c r="D83" s="51"/>
      <c r="E83" s="54" t="s">
        <v>259</v>
      </c>
      <c r="F83" s="54">
        <v>1</v>
      </c>
      <c r="G83" s="105" t="s">
        <v>263</v>
      </c>
      <c r="H83" s="51" t="s">
        <v>252</v>
      </c>
      <c r="I83" s="51" t="s">
        <v>371</v>
      </c>
      <c r="J83" s="105" t="s">
        <v>206</v>
      </c>
      <c r="K83" s="51" t="s">
        <v>209</v>
      </c>
      <c r="L83" s="105">
        <v>125</v>
      </c>
      <c r="M83" s="51" t="s">
        <v>63</v>
      </c>
      <c r="N83" s="51" t="s">
        <v>63</v>
      </c>
      <c r="O83" s="106">
        <v>46401</v>
      </c>
      <c r="P83" s="51" t="s">
        <v>58</v>
      </c>
      <c r="Q83" s="51" t="s">
        <v>58</v>
      </c>
      <c r="R83" s="51" t="s">
        <v>369</v>
      </c>
      <c r="S83" s="51" t="s">
        <v>225</v>
      </c>
      <c r="T83" s="51" t="s">
        <v>224</v>
      </c>
      <c r="U83" s="51" t="s">
        <v>228</v>
      </c>
      <c r="V83" s="51"/>
      <c r="W83" s="51"/>
      <c r="X83" s="51"/>
      <c r="Y83" s="51"/>
      <c r="Z83" s="51"/>
      <c r="AA83" s="51" t="s">
        <v>200</v>
      </c>
      <c r="AB83" s="51"/>
    </row>
    <row r="84" spans="1:28" ht="20.100000000000001" hidden="1" customHeight="1" x14ac:dyDescent="0.25">
      <c r="A84" s="51">
        <v>1020</v>
      </c>
      <c r="B84" s="51" t="s">
        <v>63</v>
      </c>
      <c r="C84" s="51" t="s">
        <v>35</v>
      </c>
      <c r="D84" s="51"/>
      <c r="E84" s="54" t="s">
        <v>259</v>
      </c>
      <c r="F84" s="54">
        <v>1</v>
      </c>
      <c r="G84" s="105" t="s">
        <v>263</v>
      </c>
      <c r="H84" s="51" t="s">
        <v>252</v>
      </c>
      <c r="I84" s="51" t="s">
        <v>372</v>
      </c>
      <c r="J84" s="105" t="s">
        <v>206</v>
      </c>
      <c r="K84" s="51" t="s">
        <v>209</v>
      </c>
      <c r="L84" s="105" t="s">
        <v>365</v>
      </c>
      <c r="M84" s="51" t="s">
        <v>63</v>
      </c>
      <c r="N84" s="51" t="s">
        <v>63</v>
      </c>
      <c r="O84" s="106">
        <v>46408</v>
      </c>
      <c r="P84" s="51" t="s">
        <v>58</v>
      </c>
      <c r="Q84" s="51" t="s">
        <v>58</v>
      </c>
      <c r="R84" s="51" t="s">
        <v>369</v>
      </c>
      <c r="S84" s="51" t="s">
        <v>225</v>
      </c>
      <c r="T84" s="51" t="s">
        <v>224</v>
      </c>
      <c r="U84" s="51" t="s">
        <v>228</v>
      </c>
      <c r="V84" s="51"/>
      <c r="W84" s="51"/>
      <c r="X84" s="51"/>
      <c r="Y84" s="51"/>
      <c r="Z84" s="51"/>
      <c r="AA84" s="51" t="s">
        <v>200</v>
      </c>
      <c r="AB84" s="51"/>
    </row>
    <row r="85" spans="1:28" ht="20.100000000000001" hidden="1" customHeight="1" x14ac:dyDescent="0.25">
      <c r="A85" s="51">
        <v>2263</v>
      </c>
      <c r="B85" s="51" t="s">
        <v>63</v>
      </c>
      <c r="C85" s="51" t="s">
        <v>35</v>
      </c>
      <c r="D85" s="51">
        <v>6814</v>
      </c>
      <c r="E85" s="54" t="s">
        <v>259</v>
      </c>
      <c r="F85" s="54">
        <v>1</v>
      </c>
      <c r="G85" s="105" t="s">
        <v>263</v>
      </c>
      <c r="H85" s="51" t="s">
        <v>252</v>
      </c>
      <c r="I85" s="51" t="s">
        <v>373</v>
      </c>
      <c r="J85" s="105" t="s">
        <v>206</v>
      </c>
      <c r="K85" s="51" t="s">
        <v>197</v>
      </c>
      <c r="L85" s="105">
        <v>119</v>
      </c>
      <c r="M85" s="51"/>
      <c r="N85" s="51"/>
      <c r="O85" s="106">
        <v>46233</v>
      </c>
      <c r="P85" s="51" t="s">
        <v>56</v>
      </c>
      <c r="Q85" s="51" t="s">
        <v>56</v>
      </c>
      <c r="R85" s="53" t="s">
        <v>224</v>
      </c>
      <c r="S85" s="53" t="s">
        <v>227</v>
      </c>
      <c r="T85" s="99" t="s">
        <v>228</v>
      </c>
      <c r="U85" s="51" t="s">
        <v>232</v>
      </c>
      <c r="V85" s="51" t="s">
        <v>233</v>
      </c>
      <c r="W85" s="51"/>
      <c r="X85" s="51"/>
      <c r="Y85" s="51"/>
      <c r="Z85" s="51"/>
      <c r="AA85" s="51" t="s">
        <v>202</v>
      </c>
      <c r="AB85" s="51" t="s">
        <v>370</v>
      </c>
    </row>
    <row r="86" spans="1:28" ht="20.100000000000001" hidden="1" customHeight="1" x14ac:dyDescent="0.25">
      <c r="A86" s="51">
        <v>1020</v>
      </c>
      <c r="B86" s="51" t="s">
        <v>63</v>
      </c>
      <c r="C86" s="51" t="s">
        <v>35</v>
      </c>
      <c r="D86" s="51"/>
      <c r="E86" s="54" t="s">
        <v>259</v>
      </c>
      <c r="F86" s="54">
        <v>1</v>
      </c>
      <c r="G86" s="105" t="s">
        <v>263</v>
      </c>
      <c r="H86" s="51" t="s">
        <v>252</v>
      </c>
      <c r="I86" s="51" t="s">
        <v>371</v>
      </c>
      <c r="J86" s="105" t="s">
        <v>207</v>
      </c>
      <c r="K86" s="51" t="s">
        <v>209</v>
      </c>
      <c r="L86" s="105">
        <v>110</v>
      </c>
      <c r="M86" s="51" t="s">
        <v>63</v>
      </c>
      <c r="N86" s="51" t="s">
        <v>63</v>
      </c>
      <c r="O86" s="106">
        <v>46409</v>
      </c>
      <c r="P86" s="51" t="s">
        <v>58</v>
      </c>
      <c r="Q86" s="51" t="s">
        <v>58</v>
      </c>
      <c r="R86" s="51" t="s">
        <v>369</v>
      </c>
      <c r="S86" s="51" t="s">
        <v>225</v>
      </c>
      <c r="T86" s="51" t="s">
        <v>224</v>
      </c>
      <c r="U86" s="51" t="s">
        <v>228</v>
      </c>
      <c r="V86" s="51"/>
      <c r="W86" s="51"/>
      <c r="X86" s="51"/>
      <c r="Y86" s="51"/>
      <c r="Z86" s="51"/>
      <c r="AA86" s="51" t="s">
        <v>200</v>
      </c>
      <c r="AB86" s="51"/>
    </row>
    <row r="87" spans="1:28" ht="20.100000000000001" hidden="1" customHeight="1" x14ac:dyDescent="0.25">
      <c r="A87" s="51">
        <v>1020</v>
      </c>
      <c r="B87" s="51" t="s">
        <v>63</v>
      </c>
      <c r="C87" s="51" t="s">
        <v>35</v>
      </c>
      <c r="D87" s="51"/>
      <c r="E87" s="54" t="s">
        <v>259</v>
      </c>
      <c r="F87" s="54">
        <v>1</v>
      </c>
      <c r="G87" s="105" t="s">
        <v>263</v>
      </c>
      <c r="H87" s="51" t="s">
        <v>252</v>
      </c>
      <c r="I87" s="51" t="s">
        <v>372</v>
      </c>
      <c r="J87" s="105" t="s">
        <v>207</v>
      </c>
      <c r="K87" s="51" t="s">
        <v>209</v>
      </c>
      <c r="L87" s="105">
        <v>111</v>
      </c>
      <c r="M87" s="51" t="s">
        <v>63</v>
      </c>
      <c r="N87" s="51" t="s">
        <v>63</v>
      </c>
      <c r="O87" s="106">
        <v>46713</v>
      </c>
      <c r="P87" s="51" t="s">
        <v>58</v>
      </c>
      <c r="Q87" s="51" t="s">
        <v>58</v>
      </c>
      <c r="R87" s="51" t="s">
        <v>369</v>
      </c>
      <c r="S87" s="51" t="s">
        <v>225</v>
      </c>
      <c r="T87" s="51" t="s">
        <v>224</v>
      </c>
      <c r="U87" s="51" t="s">
        <v>228</v>
      </c>
      <c r="V87" s="51"/>
      <c r="W87" s="51"/>
      <c r="X87" s="51"/>
      <c r="Y87" s="51"/>
      <c r="Z87" s="51"/>
      <c r="AA87" s="51" t="s">
        <v>200</v>
      </c>
      <c r="AB87" s="51"/>
    </row>
    <row r="88" spans="1:28" ht="20.100000000000001" hidden="1" customHeight="1" x14ac:dyDescent="0.25">
      <c r="A88" s="51">
        <v>2263</v>
      </c>
      <c r="B88" s="51" t="s">
        <v>63</v>
      </c>
      <c r="C88" s="51" t="s">
        <v>35</v>
      </c>
      <c r="D88" s="51">
        <v>6815</v>
      </c>
      <c r="E88" s="54" t="s">
        <v>259</v>
      </c>
      <c r="F88" s="54">
        <v>1</v>
      </c>
      <c r="G88" s="105" t="s">
        <v>263</v>
      </c>
      <c r="H88" s="51" t="s">
        <v>252</v>
      </c>
      <c r="I88" s="51" t="s">
        <v>373</v>
      </c>
      <c r="J88" s="105" t="s">
        <v>207</v>
      </c>
      <c r="K88" s="51" t="s">
        <v>197</v>
      </c>
      <c r="L88" s="105">
        <v>109</v>
      </c>
      <c r="M88" s="51"/>
      <c r="N88" s="51"/>
      <c r="O88" s="106">
        <v>46233</v>
      </c>
      <c r="P88" s="51" t="s">
        <v>56</v>
      </c>
      <c r="Q88" s="51" t="s">
        <v>56</v>
      </c>
      <c r="R88" s="53" t="s">
        <v>224</v>
      </c>
      <c r="S88" s="53" t="s">
        <v>227</v>
      </c>
      <c r="T88" s="99" t="s">
        <v>228</v>
      </c>
      <c r="U88" s="51" t="s">
        <v>232</v>
      </c>
      <c r="V88" s="51" t="s">
        <v>233</v>
      </c>
      <c r="W88" s="51"/>
      <c r="X88" s="51"/>
      <c r="Y88" s="51"/>
      <c r="Z88" s="51"/>
      <c r="AA88" s="51" t="s">
        <v>202</v>
      </c>
      <c r="AB88" s="51" t="s">
        <v>370</v>
      </c>
    </row>
    <row r="89" spans="1:28" ht="20.100000000000001" hidden="1" customHeight="1" x14ac:dyDescent="0.25">
      <c r="A89" s="51">
        <v>1020</v>
      </c>
      <c r="B89" s="51" t="s">
        <v>63</v>
      </c>
      <c r="C89" s="51" t="s">
        <v>35</v>
      </c>
      <c r="D89" s="51"/>
      <c r="E89" s="54" t="s">
        <v>259</v>
      </c>
      <c r="F89" s="54">
        <v>1</v>
      </c>
      <c r="G89" s="105" t="s">
        <v>263</v>
      </c>
      <c r="H89" s="51" t="s">
        <v>252</v>
      </c>
      <c r="I89" s="51" t="s">
        <v>371</v>
      </c>
      <c r="J89" s="105" t="s">
        <v>208</v>
      </c>
      <c r="K89" s="51" t="s">
        <v>209</v>
      </c>
      <c r="L89" s="105">
        <v>115</v>
      </c>
      <c r="M89" s="51" t="s">
        <v>63</v>
      </c>
      <c r="N89" s="51" t="s">
        <v>63</v>
      </c>
      <c r="O89" s="106">
        <v>46412</v>
      </c>
      <c r="P89" s="51" t="s">
        <v>58</v>
      </c>
      <c r="Q89" s="51" t="s">
        <v>58</v>
      </c>
      <c r="R89" s="51" t="s">
        <v>369</v>
      </c>
      <c r="S89" s="51" t="s">
        <v>225</v>
      </c>
      <c r="T89" s="51" t="s">
        <v>224</v>
      </c>
      <c r="U89" s="51" t="s">
        <v>228</v>
      </c>
      <c r="V89" s="51"/>
      <c r="W89" s="51"/>
      <c r="X89" s="51"/>
      <c r="Y89" s="51"/>
      <c r="Z89" s="51"/>
      <c r="AA89" s="51" t="s">
        <v>200</v>
      </c>
      <c r="AB89" s="51"/>
    </row>
    <row r="90" spans="1:28" ht="20.100000000000001" hidden="1" customHeight="1" x14ac:dyDescent="0.25">
      <c r="A90" s="51">
        <v>1020</v>
      </c>
      <c r="B90" s="51" t="s">
        <v>63</v>
      </c>
      <c r="C90" s="51" t="s">
        <v>35</v>
      </c>
      <c r="D90" s="51"/>
      <c r="E90" s="54" t="s">
        <v>259</v>
      </c>
      <c r="F90" s="54">
        <v>1</v>
      </c>
      <c r="G90" s="105" t="s">
        <v>263</v>
      </c>
      <c r="H90" s="51" t="s">
        <v>252</v>
      </c>
      <c r="I90" s="51" t="s">
        <v>372</v>
      </c>
      <c r="J90" s="105" t="s">
        <v>208</v>
      </c>
      <c r="K90" s="51" t="s">
        <v>209</v>
      </c>
      <c r="L90" s="105" t="s">
        <v>366</v>
      </c>
      <c r="M90" s="51" t="s">
        <v>63</v>
      </c>
      <c r="N90" s="51" t="s">
        <v>63</v>
      </c>
      <c r="O90" s="106">
        <v>46413</v>
      </c>
      <c r="P90" s="51" t="s">
        <v>58</v>
      </c>
      <c r="Q90" s="51" t="s">
        <v>58</v>
      </c>
      <c r="R90" s="51" t="s">
        <v>369</v>
      </c>
      <c r="S90" s="51" t="s">
        <v>225</v>
      </c>
      <c r="T90" s="51" t="s">
        <v>224</v>
      </c>
      <c r="U90" s="51" t="s">
        <v>228</v>
      </c>
      <c r="V90" s="51"/>
      <c r="W90" s="51"/>
      <c r="X90" s="51"/>
      <c r="Y90" s="51"/>
      <c r="Z90" s="51"/>
      <c r="AA90" s="51" t="s">
        <v>200</v>
      </c>
      <c r="AB90" s="51"/>
    </row>
    <row r="91" spans="1:28" ht="20.100000000000001" hidden="1" customHeight="1" x14ac:dyDescent="0.25">
      <c r="A91" s="51">
        <v>2263</v>
      </c>
      <c r="B91" s="51" t="s">
        <v>63</v>
      </c>
      <c r="C91" s="51" t="s">
        <v>35</v>
      </c>
      <c r="D91" s="51">
        <v>6816</v>
      </c>
      <c r="E91" s="54" t="s">
        <v>259</v>
      </c>
      <c r="F91" s="54">
        <v>1</v>
      </c>
      <c r="G91" s="105" t="s">
        <v>263</v>
      </c>
      <c r="H91" s="51" t="s">
        <v>252</v>
      </c>
      <c r="I91" s="51" t="s">
        <v>373</v>
      </c>
      <c r="J91" s="105" t="s">
        <v>208</v>
      </c>
      <c r="K91" s="51" t="s">
        <v>197</v>
      </c>
      <c r="L91" s="105">
        <v>114</v>
      </c>
      <c r="M91" s="51"/>
      <c r="N91" s="51"/>
      <c r="O91" s="106">
        <v>46233</v>
      </c>
      <c r="P91" s="51" t="s">
        <v>56</v>
      </c>
      <c r="Q91" s="51" t="s">
        <v>56</v>
      </c>
      <c r="R91" s="53" t="s">
        <v>224</v>
      </c>
      <c r="S91" s="53" t="s">
        <v>227</v>
      </c>
      <c r="T91" s="99" t="s">
        <v>228</v>
      </c>
      <c r="U91" s="51" t="s">
        <v>232</v>
      </c>
      <c r="V91" s="51" t="s">
        <v>233</v>
      </c>
      <c r="W91" s="51"/>
      <c r="X91" s="51"/>
      <c r="Y91" s="51"/>
      <c r="Z91" s="51"/>
      <c r="AA91" s="51" t="s">
        <v>202</v>
      </c>
      <c r="AB91" s="51" t="s">
        <v>370</v>
      </c>
    </row>
    <row r="92" spans="1:28" ht="20.100000000000001" hidden="1" customHeight="1" x14ac:dyDescent="0.25">
      <c r="A92" s="51">
        <v>1020</v>
      </c>
      <c r="B92" s="51" t="s">
        <v>63</v>
      </c>
      <c r="C92" s="51" t="s">
        <v>35</v>
      </c>
      <c r="D92" s="51"/>
      <c r="E92" s="54" t="s">
        <v>259</v>
      </c>
      <c r="F92" s="54">
        <v>1</v>
      </c>
      <c r="G92" s="105" t="s">
        <v>368</v>
      </c>
      <c r="H92" s="51" t="s">
        <v>252</v>
      </c>
      <c r="I92" s="51" t="s">
        <v>371</v>
      </c>
      <c r="J92" s="105" t="s">
        <v>248</v>
      </c>
      <c r="K92" s="51" t="s">
        <v>209</v>
      </c>
      <c r="L92" s="105">
        <v>129</v>
      </c>
      <c r="M92" s="51" t="s">
        <v>63</v>
      </c>
      <c r="N92" s="51" t="s">
        <v>63</v>
      </c>
      <c r="O92" s="106">
        <v>46414</v>
      </c>
      <c r="P92" s="51" t="s">
        <v>58</v>
      </c>
      <c r="Q92" s="51" t="s">
        <v>58</v>
      </c>
      <c r="R92" s="51" t="s">
        <v>369</v>
      </c>
      <c r="S92" s="51" t="s">
        <v>225</v>
      </c>
      <c r="T92" s="51" t="s">
        <v>224</v>
      </c>
      <c r="U92" s="51" t="s">
        <v>228</v>
      </c>
      <c r="V92" s="51"/>
      <c r="W92" s="51"/>
      <c r="X92" s="51"/>
      <c r="Y92" s="51"/>
      <c r="Z92" s="51"/>
      <c r="AA92" s="51" t="s">
        <v>200</v>
      </c>
      <c r="AB92" s="51"/>
    </row>
    <row r="93" spans="1:28" ht="20.100000000000001" hidden="1" customHeight="1" x14ac:dyDescent="0.25">
      <c r="A93" s="51">
        <v>1020</v>
      </c>
      <c r="B93" s="51" t="s">
        <v>63</v>
      </c>
      <c r="C93" s="51" t="s">
        <v>35</v>
      </c>
      <c r="D93" s="51"/>
      <c r="E93" s="54" t="s">
        <v>259</v>
      </c>
      <c r="F93" s="54">
        <v>1</v>
      </c>
      <c r="G93" s="105" t="s">
        <v>368</v>
      </c>
      <c r="H93" s="51" t="s">
        <v>252</v>
      </c>
      <c r="I93" s="51" t="s">
        <v>372</v>
      </c>
      <c r="J93" s="105" t="s">
        <v>248</v>
      </c>
      <c r="K93" s="51" t="s">
        <v>209</v>
      </c>
      <c r="L93" s="105">
        <v>123</v>
      </c>
      <c r="M93" s="51" t="s">
        <v>63</v>
      </c>
      <c r="N93" s="51" t="s">
        <v>63</v>
      </c>
      <c r="O93" s="106">
        <v>46414</v>
      </c>
      <c r="P93" s="51" t="s">
        <v>58</v>
      </c>
      <c r="Q93" s="51" t="s">
        <v>58</v>
      </c>
      <c r="R93" s="51" t="s">
        <v>369</v>
      </c>
      <c r="S93" s="51" t="s">
        <v>225</v>
      </c>
      <c r="T93" s="51" t="s">
        <v>224</v>
      </c>
      <c r="U93" s="51" t="s">
        <v>228</v>
      </c>
      <c r="V93" s="51"/>
      <c r="W93" s="51"/>
      <c r="X93" s="51"/>
      <c r="Y93" s="51"/>
      <c r="Z93" s="51"/>
      <c r="AA93" s="51" t="s">
        <v>200</v>
      </c>
      <c r="AB93" s="51"/>
    </row>
    <row r="94" spans="1:28" ht="20.100000000000001" hidden="1" customHeight="1" x14ac:dyDescent="0.25">
      <c r="A94" s="51">
        <v>1020</v>
      </c>
      <c r="B94" s="51" t="s">
        <v>63</v>
      </c>
      <c r="C94" s="51" t="s">
        <v>35</v>
      </c>
      <c r="D94" s="51"/>
      <c r="E94" s="54" t="s">
        <v>259</v>
      </c>
      <c r="F94" s="54">
        <v>1</v>
      </c>
      <c r="G94" s="105" t="s">
        <v>263</v>
      </c>
      <c r="H94" s="51" t="s">
        <v>252</v>
      </c>
      <c r="I94" s="51" t="s">
        <v>373</v>
      </c>
      <c r="J94" s="105" t="s">
        <v>248</v>
      </c>
      <c r="K94" s="51" t="s">
        <v>209</v>
      </c>
      <c r="L94" s="105" t="s">
        <v>367</v>
      </c>
      <c r="M94" s="51" t="s">
        <v>63</v>
      </c>
      <c r="N94" s="51" t="s">
        <v>63</v>
      </c>
      <c r="O94" s="106">
        <v>46414</v>
      </c>
      <c r="P94" s="51" t="s">
        <v>58</v>
      </c>
      <c r="Q94" s="51" t="s">
        <v>58</v>
      </c>
      <c r="R94" s="51" t="s">
        <v>369</v>
      </c>
      <c r="S94" s="51" t="s">
        <v>225</v>
      </c>
      <c r="T94" s="51" t="s">
        <v>224</v>
      </c>
      <c r="U94" s="51" t="s">
        <v>228</v>
      </c>
      <c r="V94" s="51"/>
      <c r="W94" s="51"/>
      <c r="X94" s="51"/>
      <c r="Y94" s="51"/>
      <c r="Z94" s="51"/>
      <c r="AA94" s="51" t="s">
        <v>200</v>
      </c>
      <c r="AB94" s="51"/>
    </row>
    <row r="95" spans="1:28" ht="20.100000000000001" hidden="1" customHeight="1" x14ac:dyDescent="0.25">
      <c r="A95" s="51">
        <v>2350</v>
      </c>
      <c r="B95" s="51" t="s">
        <v>63</v>
      </c>
      <c r="C95" s="51" t="s">
        <v>478</v>
      </c>
      <c r="D95" s="51">
        <v>6859</v>
      </c>
      <c r="E95" s="54" t="s">
        <v>259</v>
      </c>
      <c r="F95" s="51">
        <v>1</v>
      </c>
      <c r="G95" s="51" t="s">
        <v>268</v>
      </c>
      <c r="H95" s="51" t="s">
        <v>253</v>
      </c>
      <c r="I95" s="51" t="s">
        <v>373</v>
      </c>
      <c r="J95" s="51" t="s">
        <v>63</v>
      </c>
      <c r="K95" s="51" t="s">
        <v>197</v>
      </c>
      <c r="L95" s="51" t="s">
        <v>63</v>
      </c>
      <c r="M95" s="52">
        <v>46239</v>
      </c>
      <c r="N95" s="51"/>
      <c r="O95" s="52">
        <v>46300</v>
      </c>
      <c r="P95" s="52" t="s">
        <v>56</v>
      </c>
      <c r="Q95" s="51" t="s">
        <v>56</v>
      </c>
      <c r="R95" s="54" t="s">
        <v>224</v>
      </c>
      <c r="S95" s="54" t="s">
        <v>226</v>
      </c>
      <c r="T95" s="54" t="s">
        <v>227</v>
      </c>
      <c r="U95" s="54" t="s">
        <v>229</v>
      </c>
      <c r="V95" s="54" t="s">
        <v>230</v>
      </c>
      <c r="W95" s="54" t="s">
        <v>231</v>
      </c>
      <c r="X95" s="54" t="s">
        <v>232</v>
      </c>
      <c r="Y95" s="54" t="s">
        <v>233</v>
      </c>
      <c r="Z95" s="51"/>
      <c r="AA95" s="51" t="s">
        <v>48</v>
      </c>
      <c r="AB95" s="83" t="s">
        <v>541</v>
      </c>
    </row>
    <row r="96" spans="1:28" ht="20.100000000000001" hidden="1" customHeight="1" x14ac:dyDescent="0.25">
      <c r="A96" s="51">
        <v>2350</v>
      </c>
      <c r="B96" s="51" t="s">
        <v>63</v>
      </c>
      <c r="C96" s="51" t="s">
        <v>478</v>
      </c>
      <c r="D96" s="51">
        <v>6860</v>
      </c>
      <c r="E96" s="54" t="s">
        <v>259</v>
      </c>
      <c r="F96" s="51">
        <v>1</v>
      </c>
      <c r="G96" s="51" t="s">
        <v>268</v>
      </c>
      <c r="H96" s="51" t="s">
        <v>253</v>
      </c>
      <c r="I96" s="51" t="s">
        <v>373</v>
      </c>
      <c r="J96" s="51" t="s">
        <v>63</v>
      </c>
      <c r="K96" s="51" t="s">
        <v>197</v>
      </c>
      <c r="L96" s="51" t="s">
        <v>63</v>
      </c>
      <c r="M96" s="52">
        <v>46239</v>
      </c>
      <c r="N96" s="51"/>
      <c r="O96" s="52">
        <v>46300</v>
      </c>
      <c r="P96" s="52" t="s">
        <v>56</v>
      </c>
      <c r="Q96" s="51" t="s">
        <v>56</v>
      </c>
      <c r="R96" s="54" t="s">
        <v>224</v>
      </c>
      <c r="S96" s="54" t="s">
        <v>226</v>
      </c>
      <c r="T96" s="54" t="s">
        <v>227</v>
      </c>
      <c r="U96" s="54" t="s">
        <v>229</v>
      </c>
      <c r="V96" s="54" t="s">
        <v>230</v>
      </c>
      <c r="W96" s="54" t="s">
        <v>231</v>
      </c>
      <c r="X96" s="54" t="s">
        <v>232</v>
      </c>
      <c r="Y96" s="54" t="s">
        <v>233</v>
      </c>
      <c r="Z96" s="51"/>
      <c r="AA96" s="51" t="s">
        <v>48</v>
      </c>
      <c r="AB96" s="83" t="s">
        <v>541</v>
      </c>
    </row>
    <row r="97" spans="1:28" ht="20.100000000000001" hidden="1" customHeight="1" x14ac:dyDescent="0.25">
      <c r="A97" s="51">
        <v>2350</v>
      </c>
      <c r="B97" s="51" t="s">
        <v>63</v>
      </c>
      <c r="C97" s="51" t="s">
        <v>478</v>
      </c>
      <c r="D97" s="51">
        <v>6861</v>
      </c>
      <c r="E97" s="54" t="s">
        <v>259</v>
      </c>
      <c r="F97" s="51">
        <v>1</v>
      </c>
      <c r="G97" s="51" t="s">
        <v>268</v>
      </c>
      <c r="H97" s="51" t="s">
        <v>253</v>
      </c>
      <c r="I97" s="51" t="s">
        <v>479</v>
      </c>
      <c r="J97" s="51" t="s">
        <v>63</v>
      </c>
      <c r="K97" s="51" t="s">
        <v>197</v>
      </c>
      <c r="L97" s="51" t="s">
        <v>63</v>
      </c>
      <c r="M97" s="52">
        <v>46239</v>
      </c>
      <c r="N97" s="51"/>
      <c r="O97" s="52">
        <v>46300</v>
      </c>
      <c r="P97" s="52" t="s">
        <v>56</v>
      </c>
      <c r="Q97" s="51" t="s">
        <v>56</v>
      </c>
      <c r="R97" s="54" t="s">
        <v>224</v>
      </c>
      <c r="S97" s="54" t="s">
        <v>226</v>
      </c>
      <c r="T97" s="54" t="s">
        <v>227</v>
      </c>
      <c r="U97" s="54" t="s">
        <v>229</v>
      </c>
      <c r="V97" s="54" t="s">
        <v>230</v>
      </c>
      <c r="W97" s="54" t="s">
        <v>231</v>
      </c>
      <c r="X97" s="54" t="s">
        <v>232</v>
      </c>
      <c r="Y97" s="54" t="s">
        <v>233</v>
      </c>
      <c r="Z97" s="51"/>
      <c r="AA97" s="51" t="s">
        <v>48</v>
      </c>
      <c r="AB97" s="83" t="s">
        <v>541</v>
      </c>
    </row>
    <row r="98" spans="1:28" ht="20.100000000000001" hidden="1" customHeight="1" x14ac:dyDescent="0.25">
      <c r="A98" s="51">
        <v>2350</v>
      </c>
      <c r="B98" s="51" t="s">
        <v>63</v>
      </c>
      <c r="C98" s="51" t="s">
        <v>478</v>
      </c>
      <c r="D98" s="51">
        <v>6862</v>
      </c>
      <c r="E98" s="54" t="s">
        <v>259</v>
      </c>
      <c r="F98" s="51">
        <v>1</v>
      </c>
      <c r="G98" s="51" t="s">
        <v>268</v>
      </c>
      <c r="H98" s="51" t="s">
        <v>253</v>
      </c>
      <c r="I98" s="51" t="s">
        <v>479</v>
      </c>
      <c r="J98" s="51" t="s">
        <v>63</v>
      </c>
      <c r="K98" s="51" t="s">
        <v>197</v>
      </c>
      <c r="L98" s="51" t="s">
        <v>63</v>
      </c>
      <c r="M98" s="52">
        <v>46239</v>
      </c>
      <c r="N98" s="51"/>
      <c r="O98" s="52">
        <v>46300</v>
      </c>
      <c r="P98" s="52" t="s">
        <v>56</v>
      </c>
      <c r="Q98" s="51" t="s">
        <v>56</v>
      </c>
      <c r="R98" s="54" t="s">
        <v>224</v>
      </c>
      <c r="S98" s="54" t="s">
        <v>226</v>
      </c>
      <c r="T98" s="54" t="s">
        <v>227</v>
      </c>
      <c r="U98" s="54" t="s">
        <v>229</v>
      </c>
      <c r="V98" s="54" t="s">
        <v>230</v>
      </c>
      <c r="W98" s="54" t="s">
        <v>231</v>
      </c>
      <c r="X98" s="54" t="s">
        <v>232</v>
      </c>
      <c r="Y98" s="54" t="s">
        <v>233</v>
      </c>
      <c r="Z98" s="51"/>
      <c r="AA98" s="51" t="s">
        <v>48</v>
      </c>
      <c r="AB98" s="83" t="s">
        <v>541</v>
      </c>
    </row>
    <row r="99" spans="1:28" ht="20.100000000000001" hidden="1" customHeight="1" x14ac:dyDescent="0.25">
      <c r="A99" s="51">
        <v>2350</v>
      </c>
      <c r="B99" s="51" t="s">
        <v>63</v>
      </c>
      <c r="C99" s="51" t="s">
        <v>478</v>
      </c>
      <c r="D99" s="51">
        <v>6863</v>
      </c>
      <c r="E99" s="54" t="s">
        <v>259</v>
      </c>
      <c r="F99" s="51">
        <v>1</v>
      </c>
      <c r="G99" s="51" t="s">
        <v>267</v>
      </c>
      <c r="H99" s="51" t="s">
        <v>253</v>
      </c>
      <c r="I99" s="51" t="s">
        <v>373</v>
      </c>
      <c r="J99" s="51" t="s">
        <v>63</v>
      </c>
      <c r="K99" s="51" t="s">
        <v>197</v>
      </c>
      <c r="L99" s="51" t="s">
        <v>63</v>
      </c>
      <c r="M99" s="52">
        <v>46239</v>
      </c>
      <c r="N99" s="51"/>
      <c r="O99" s="52">
        <v>46300</v>
      </c>
      <c r="P99" s="52" t="s">
        <v>56</v>
      </c>
      <c r="Q99" s="51" t="s">
        <v>56</v>
      </c>
      <c r="R99" s="54" t="s">
        <v>224</v>
      </c>
      <c r="S99" s="54" t="s">
        <v>226</v>
      </c>
      <c r="T99" s="54" t="s">
        <v>227</v>
      </c>
      <c r="U99" s="54" t="s">
        <v>229</v>
      </c>
      <c r="V99" s="54" t="s">
        <v>230</v>
      </c>
      <c r="W99" s="54" t="s">
        <v>231</v>
      </c>
      <c r="X99" s="54" t="s">
        <v>232</v>
      </c>
      <c r="Y99" s="54" t="s">
        <v>233</v>
      </c>
      <c r="Z99" s="51"/>
      <c r="AA99" s="51" t="s">
        <v>48</v>
      </c>
      <c r="AB99" s="83" t="s">
        <v>541</v>
      </c>
    </row>
    <row r="100" spans="1:28" ht="20.100000000000001" hidden="1" customHeight="1" x14ac:dyDescent="0.25">
      <c r="A100" s="51">
        <v>2350</v>
      </c>
      <c r="B100" s="51" t="s">
        <v>63</v>
      </c>
      <c r="C100" s="51" t="s">
        <v>478</v>
      </c>
      <c r="D100" s="51">
        <v>6864</v>
      </c>
      <c r="E100" s="54" t="s">
        <v>259</v>
      </c>
      <c r="F100" s="51">
        <v>1</v>
      </c>
      <c r="G100" s="51" t="s">
        <v>263</v>
      </c>
      <c r="H100" s="51" t="s">
        <v>253</v>
      </c>
      <c r="I100" s="51" t="s">
        <v>373</v>
      </c>
      <c r="J100" s="51" t="s">
        <v>63</v>
      </c>
      <c r="K100" s="51" t="s">
        <v>197</v>
      </c>
      <c r="L100" s="51" t="s">
        <v>63</v>
      </c>
      <c r="M100" s="52">
        <v>46239</v>
      </c>
      <c r="N100" s="51"/>
      <c r="O100" s="52">
        <v>46300</v>
      </c>
      <c r="P100" s="52" t="s">
        <v>56</v>
      </c>
      <c r="Q100" s="51" t="s">
        <v>56</v>
      </c>
      <c r="R100" s="54" t="s">
        <v>224</v>
      </c>
      <c r="S100" s="54" t="s">
        <v>226</v>
      </c>
      <c r="T100" s="54" t="s">
        <v>227</v>
      </c>
      <c r="U100" s="54" t="s">
        <v>229</v>
      </c>
      <c r="V100" s="54" t="s">
        <v>230</v>
      </c>
      <c r="W100" s="54" t="s">
        <v>231</v>
      </c>
      <c r="X100" s="54" t="s">
        <v>232</v>
      </c>
      <c r="Y100" s="54" t="s">
        <v>233</v>
      </c>
      <c r="Z100" s="51"/>
      <c r="AA100" s="51" t="s">
        <v>48</v>
      </c>
      <c r="AB100" s="83" t="s">
        <v>541</v>
      </c>
    </row>
    <row r="101" spans="1:28" ht="20.100000000000001" hidden="1" customHeight="1" x14ac:dyDescent="0.25">
      <c r="A101" s="51">
        <v>2350</v>
      </c>
      <c r="B101" s="51" t="s">
        <v>63</v>
      </c>
      <c r="C101" s="51" t="s">
        <v>478</v>
      </c>
      <c r="D101" s="51">
        <v>6865</v>
      </c>
      <c r="E101" s="54" t="s">
        <v>259</v>
      </c>
      <c r="F101" s="51">
        <v>1</v>
      </c>
      <c r="G101" s="51" t="s">
        <v>263</v>
      </c>
      <c r="H101" s="51" t="s">
        <v>253</v>
      </c>
      <c r="I101" s="51" t="s">
        <v>373</v>
      </c>
      <c r="J101" s="51" t="s">
        <v>63</v>
      </c>
      <c r="K101" s="51" t="s">
        <v>197</v>
      </c>
      <c r="L101" s="51" t="s">
        <v>63</v>
      </c>
      <c r="M101" s="52">
        <v>46239</v>
      </c>
      <c r="N101" s="51"/>
      <c r="O101" s="52">
        <v>46300</v>
      </c>
      <c r="P101" s="52" t="s">
        <v>56</v>
      </c>
      <c r="Q101" s="51" t="s">
        <v>56</v>
      </c>
      <c r="R101" s="54" t="s">
        <v>224</v>
      </c>
      <c r="S101" s="54" t="s">
        <v>226</v>
      </c>
      <c r="T101" s="54" t="s">
        <v>227</v>
      </c>
      <c r="U101" s="54" t="s">
        <v>229</v>
      </c>
      <c r="V101" s="54" t="s">
        <v>230</v>
      </c>
      <c r="W101" s="54" t="s">
        <v>231</v>
      </c>
      <c r="X101" s="54" t="s">
        <v>232</v>
      </c>
      <c r="Y101" s="54" t="s">
        <v>233</v>
      </c>
      <c r="Z101" s="51"/>
      <c r="AA101" s="51" t="s">
        <v>48</v>
      </c>
      <c r="AB101" s="83" t="s">
        <v>541</v>
      </c>
    </row>
    <row r="102" spans="1:28" ht="20.100000000000001" hidden="1" customHeight="1" x14ac:dyDescent="0.25">
      <c r="A102" s="51">
        <v>1032</v>
      </c>
      <c r="B102" s="51" t="s">
        <v>63</v>
      </c>
      <c r="C102" s="51" t="s">
        <v>457</v>
      </c>
      <c r="D102" s="51"/>
      <c r="E102" s="51" t="s">
        <v>259</v>
      </c>
      <c r="F102" s="51">
        <v>1</v>
      </c>
      <c r="G102" s="51" t="s">
        <v>267</v>
      </c>
      <c r="H102" s="51" t="s">
        <v>63</v>
      </c>
      <c r="I102" s="51" t="s">
        <v>63</v>
      </c>
      <c r="J102" s="51" t="s">
        <v>63</v>
      </c>
      <c r="K102" s="51" t="s">
        <v>209</v>
      </c>
      <c r="L102" s="51">
        <v>62</v>
      </c>
      <c r="M102" s="51" t="s">
        <v>63</v>
      </c>
      <c r="N102" s="51" t="s">
        <v>63</v>
      </c>
      <c r="O102" s="52">
        <v>46203</v>
      </c>
      <c r="P102" s="51" t="s">
        <v>56</v>
      </c>
      <c r="Q102" s="51" t="s">
        <v>56</v>
      </c>
      <c r="R102" s="53" t="s">
        <v>369</v>
      </c>
      <c r="S102" s="53" t="s">
        <v>225</v>
      </c>
      <c r="T102" s="53" t="s">
        <v>224</v>
      </c>
      <c r="U102" s="51"/>
      <c r="V102" s="51"/>
      <c r="W102" s="51"/>
      <c r="X102" s="51"/>
      <c r="Y102" s="51"/>
      <c r="Z102" s="51"/>
      <c r="AA102" s="51" t="s">
        <v>76</v>
      </c>
      <c r="AB102" s="51"/>
    </row>
    <row r="103" spans="1:28" ht="20.100000000000001" hidden="1" customHeight="1" x14ac:dyDescent="0.25">
      <c r="A103" s="51">
        <v>1032</v>
      </c>
      <c r="B103" s="51" t="s">
        <v>63</v>
      </c>
      <c r="C103" s="51" t="s">
        <v>457</v>
      </c>
      <c r="D103" s="51"/>
      <c r="E103" s="51" t="s">
        <v>259</v>
      </c>
      <c r="F103" s="51">
        <v>1</v>
      </c>
      <c r="G103" s="51" t="s">
        <v>267</v>
      </c>
      <c r="H103" s="51" t="s">
        <v>63</v>
      </c>
      <c r="I103" s="51" t="s">
        <v>63</v>
      </c>
      <c r="J103" s="51" t="s">
        <v>63</v>
      </c>
      <c r="K103" s="51" t="s">
        <v>209</v>
      </c>
      <c r="L103" s="51">
        <v>58</v>
      </c>
      <c r="M103" s="51" t="s">
        <v>63</v>
      </c>
      <c r="N103" s="51" t="s">
        <v>63</v>
      </c>
      <c r="O103" s="52">
        <v>46203</v>
      </c>
      <c r="P103" s="51" t="s">
        <v>56</v>
      </c>
      <c r="Q103" s="51" t="s">
        <v>56</v>
      </c>
      <c r="R103" s="53" t="s">
        <v>369</v>
      </c>
      <c r="S103" s="53" t="s">
        <v>225</v>
      </c>
      <c r="T103" s="53" t="s">
        <v>224</v>
      </c>
      <c r="U103" s="51"/>
      <c r="V103" s="51"/>
      <c r="W103" s="51"/>
      <c r="X103" s="51"/>
      <c r="Y103" s="51"/>
      <c r="Z103" s="51"/>
      <c r="AA103" s="51" t="s">
        <v>76</v>
      </c>
      <c r="AB103" s="51"/>
    </row>
    <row r="104" spans="1:28" ht="20.100000000000001" hidden="1" customHeight="1" x14ac:dyDescent="0.25">
      <c r="A104" s="51">
        <v>1032</v>
      </c>
      <c r="B104" s="51" t="s">
        <v>63</v>
      </c>
      <c r="C104" s="51" t="s">
        <v>457</v>
      </c>
      <c r="D104" s="51"/>
      <c r="E104" s="51" t="s">
        <v>259</v>
      </c>
      <c r="F104" s="51">
        <v>1</v>
      </c>
      <c r="G104" s="51" t="s">
        <v>267</v>
      </c>
      <c r="H104" s="51" t="s">
        <v>63</v>
      </c>
      <c r="I104" s="51" t="s">
        <v>63</v>
      </c>
      <c r="J104" s="51" t="s">
        <v>63</v>
      </c>
      <c r="K104" s="51" t="s">
        <v>209</v>
      </c>
      <c r="L104" s="51">
        <v>34</v>
      </c>
      <c r="M104" s="51" t="s">
        <v>63</v>
      </c>
      <c r="N104" s="51" t="s">
        <v>63</v>
      </c>
      <c r="O104" s="52">
        <v>46203</v>
      </c>
      <c r="P104" s="51" t="s">
        <v>56</v>
      </c>
      <c r="Q104" s="51" t="s">
        <v>56</v>
      </c>
      <c r="R104" s="53" t="s">
        <v>369</v>
      </c>
      <c r="S104" s="53" t="s">
        <v>225</v>
      </c>
      <c r="T104" s="53" t="s">
        <v>224</v>
      </c>
      <c r="U104" s="51"/>
      <c r="V104" s="51"/>
      <c r="W104" s="51"/>
      <c r="X104" s="51"/>
      <c r="Y104" s="51"/>
      <c r="Z104" s="51"/>
      <c r="AA104" s="51" t="s">
        <v>76</v>
      </c>
      <c r="AB104" s="51"/>
    </row>
    <row r="105" spans="1:28" ht="20.100000000000001" hidden="1" customHeight="1" x14ac:dyDescent="0.25">
      <c r="A105" s="51">
        <v>1032</v>
      </c>
      <c r="B105" s="51" t="s">
        <v>63</v>
      </c>
      <c r="C105" s="51" t="s">
        <v>457</v>
      </c>
      <c r="D105" s="51"/>
      <c r="E105" s="51" t="s">
        <v>259</v>
      </c>
      <c r="F105" s="51">
        <v>1</v>
      </c>
      <c r="G105" s="51" t="s">
        <v>267</v>
      </c>
      <c r="H105" s="51" t="s">
        <v>63</v>
      </c>
      <c r="I105" s="51" t="s">
        <v>63</v>
      </c>
      <c r="J105" s="51" t="s">
        <v>63</v>
      </c>
      <c r="K105" s="51" t="s">
        <v>209</v>
      </c>
      <c r="L105" s="51" t="s">
        <v>458</v>
      </c>
      <c r="M105" s="51" t="s">
        <v>63</v>
      </c>
      <c r="N105" s="51" t="s">
        <v>63</v>
      </c>
      <c r="O105" s="52">
        <v>46203</v>
      </c>
      <c r="P105" s="51" t="s">
        <v>56</v>
      </c>
      <c r="Q105" s="51" t="s">
        <v>56</v>
      </c>
      <c r="R105" s="53" t="s">
        <v>369</v>
      </c>
      <c r="S105" s="53" t="s">
        <v>225</v>
      </c>
      <c r="T105" s="53" t="s">
        <v>224</v>
      </c>
      <c r="U105" s="51"/>
      <c r="V105" s="51"/>
      <c r="W105" s="51"/>
      <c r="X105" s="51"/>
      <c r="Y105" s="51"/>
      <c r="Z105" s="51"/>
      <c r="AA105" s="51" t="s">
        <v>76</v>
      </c>
      <c r="AB105" s="51"/>
    </row>
    <row r="106" spans="1:28" ht="20.100000000000001" customHeight="1" x14ac:dyDescent="0.25">
      <c r="A106" s="51">
        <v>1042</v>
      </c>
      <c r="B106" s="51" t="s">
        <v>63</v>
      </c>
      <c r="C106" s="51" t="s">
        <v>152</v>
      </c>
      <c r="D106" s="102">
        <v>6912</v>
      </c>
      <c r="E106" s="51" t="s">
        <v>259</v>
      </c>
      <c r="F106" s="51">
        <v>1</v>
      </c>
      <c r="G106" s="51" t="s">
        <v>247</v>
      </c>
      <c r="H106" s="51" t="s">
        <v>253</v>
      </c>
      <c r="I106" s="51" t="s">
        <v>450</v>
      </c>
      <c r="J106" s="51" t="s">
        <v>208</v>
      </c>
      <c r="K106" s="51" t="s">
        <v>197</v>
      </c>
      <c r="L106" s="51">
        <v>8</v>
      </c>
      <c r="M106" s="52">
        <v>46233</v>
      </c>
      <c r="N106" s="52">
        <v>46227</v>
      </c>
      <c r="O106" s="103">
        <v>46254</v>
      </c>
      <c r="P106" s="51" t="s">
        <v>56</v>
      </c>
      <c r="Q106" s="51" t="s">
        <v>56</v>
      </c>
      <c r="R106" s="51" t="s">
        <v>224</v>
      </c>
      <c r="S106" s="51" t="s">
        <v>226</v>
      </c>
      <c r="T106" s="51" t="s">
        <v>227</v>
      </c>
      <c r="U106" s="51" t="s">
        <v>229</v>
      </c>
      <c r="V106" s="51" t="s">
        <v>230</v>
      </c>
      <c r="W106" s="51" t="s">
        <v>231</v>
      </c>
      <c r="X106" s="51" t="s">
        <v>228</v>
      </c>
      <c r="Y106" s="51" t="s">
        <v>232</v>
      </c>
      <c r="Z106" s="51" t="s">
        <v>233</v>
      </c>
      <c r="AA106" s="51" t="s">
        <v>124</v>
      </c>
      <c r="AB106" s="51"/>
    </row>
    <row r="107" spans="1:28" ht="20.100000000000001" customHeight="1" x14ac:dyDescent="0.25">
      <c r="A107" s="51">
        <v>1042</v>
      </c>
      <c r="B107" s="51" t="s">
        <v>63</v>
      </c>
      <c r="C107" s="51" t="s">
        <v>152</v>
      </c>
      <c r="D107" s="102">
        <v>6913</v>
      </c>
      <c r="E107" s="51" t="s">
        <v>259</v>
      </c>
      <c r="F107" s="51">
        <v>1</v>
      </c>
      <c r="G107" s="51" t="s">
        <v>247</v>
      </c>
      <c r="H107" s="51" t="s">
        <v>253</v>
      </c>
      <c r="I107" s="51" t="s">
        <v>450</v>
      </c>
      <c r="J107" s="51" t="s">
        <v>204</v>
      </c>
      <c r="K107" s="51" t="s">
        <v>197</v>
      </c>
      <c r="L107" s="51">
        <v>26</v>
      </c>
      <c r="M107" s="52">
        <v>46233</v>
      </c>
      <c r="N107" s="52">
        <v>46227</v>
      </c>
      <c r="O107" s="103">
        <v>46254</v>
      </c>
      <c r="P107" s="51" t="s">
        <v>56</v>
      </c>
      <c r="Q107" s="51" t="s">
        <v>56</v>
      </c>
      <c r="R107" s="51" t="s">
        <v>224</v>
      </c>
      <c r="S107" s="51" t="s">
        <v>226</v>
      </c>
      <c r="T107" s="51" t="s">
        <v>227</v>
      </c>
      <c r="U107" s="51" t="s">
        <v>229</v>
      </c>
      <c r="V107" s="51" t="s">
        <v>230</v>
      </c>
      <c r="W107" s="51" t="s">
        <v>231</v>
      </c>
      <c r="X107" s="51" t="s">
        <v>228</v>
      </c>
      <c r="Y107" s="51" t="s">
        <v>232</v>
      </c>
      <c r="Z107" s="51" t="s">
        <v>233</v>
      </c>
      <c r="AA107" s="51" t="s">
        <v>124</v>
      </c>
      <c r="AB107" s="51" t="s">
        <v>545</v>
      </c>
    </row>
    <row r="108" spans="1:28" ht="20.100000000000001" customHeight="1" x14ac:dyDescent="0.25">
      <c r="A108" s="51">
        <v>1042</v>
      </c>
      <c r="B108" s="51" t="s">
        <v>63</v>
      </c>
      <c r="C108" s="51" t="s">
        <v>152</v>
      </c>
      <c r="D108" s="102">
        <v>6914</v>
      </c>
      <c r="E108" s="51" t="s">
        <v>259</v>
      </c>
      <c r="F108" s="51">
        <v>1</v>
      </c>
      <c r="G108" s="51" t="s">
        <v>247</v>
      </c>
      <c r="H108" s="51" t="s">
        <v>253</v>
      </c>
      <c r="I108" s="51" t="s">
        <v>373</v>
      </c>
      <c r="J108" s="51" t="s">
        <v>204</v>
      </c>
      <c r="K108" s="51" t="s">
        <v>197</v>
      </c>
      <c r="L108" s="51">
        <v>37</v>
      </c>
      <c r="M108" s="52">
        <v>46233</v>
      </c>
      <c r="N108" s="52">
        <v>46227</v>
      </c>
      <c r="O108" s="103">
        <v>46264</v>
      </c>
      <c r="P108" s="51" t="s">
        <v>56</v>
      </c>
      <c r="Q108" s="51" t="s">
        <v>56</v>
      </c>
      <c r="R108" s="51" t="s">
        <v>224</v>
      </c>
      <c r="S108" s="51" t="s">
        <v>226</v>
      </c>
      <c r="T108" s="51" t="s">
        <v>227</v>
      </c>
      <c r="U108" s="51" t="s">
        <v>229</v>
      </c>
      <c r="V108" s="51" t="s">
        <v>230</v>
      </c>
      <c r="W108" s="51" t="s">
        <v>231</v>
      </c>
      <c r="X108" s="51" t="s">
        <v>228</v>
      </c>
      <c r="Y108" s="51" t="s">
        <v>232</v>
      </c>
      <c r="Z108" s="51" t="s">
        <v>233</v>
      </c>
      <c r="AA108" s="51" t="s">
        <v>124</v>
      </c>
      <c r="AB108" s="51" t="s">
        <v>546</v>
      </c>
    </row>
    <row r="109" spans="1:28" ht="20.100000000000001" customHeight="1" x14ac:dyDescent="0.25">
      <c r="A109" s="51">
        <v>1042</v>
      </c>
      <c r="B109" s="51" t="s">
        <v>63</v>
      </c>
      <c r="C109" s="51" t="s">
        <v>152</v>
      </c>
      <c r="D109" s="102">
        <v>6915</v>
      </c>
      <c r="E109" s="51" t="s">
        <v>259</v>
      </c>
      <c r="F109" s="51">
        <v>1</v>
      </c>
      <c r="G109" s="51" t="s">
        <v>247</v>
      </c>
      <c r="H109" s="51" t="s">
        <v>63</v>
      </c>
      <c r="I109" s="51" t="s">
        <v>63</v>
      </c>
      <c r="J109" s="51" t="s">
        <v>63</v>
      </c>
      <c r="K109" s="51" t="s">
        <v>197</v>
      </c>
      <c r="L109" s="51" t="s">
        <v>63</v>
      </c>
      <c r="M109" s="52">
        <v>46233</v>
      </c>
      <c r="N109" s="51" t="s">
        <v>63</v>
      </c>
      <c r="O109" s="103">
        <v>46629</v>
      </c>
      <c r="P109" s="51" t="s">
        <v>56</v>
      </c>
      <c r="Q109" s="51" t="s">
        <v>56</v>
      </c>
      <c r="R109" s="51" t="s">
        <v>63</v>
      </c>
      <c r="S109" s="51" t="s">
        <v>63</v>
      </c>
      <c r="T109" s="51" t="s">
        <v>63</v>
      </c>
      <c r="U109" s="51" t="s">
        <v>63</v>
      </c>
      <c r="V109" s="51" t="s">
        <v>63</v>
      </c>
      <c r="W109" s="51" t="s">
        <v>63</v>
      </c>
      <c r="X109" s="51" t="s">
        <v>63</v>
      </c>
      <c r="Y109" s="51" t="s">
        <v>63</v>
      </c>
      <c r="Z109" s="51" t="s">
        <v>63</v>
      </c>
      <c r="AA109" s="51" t="s">
        <v>48</v>
      </c>
      <c r="AB109" s="51" t="s">
        <v>544</v>
      </c>
    </row>
    <row r="110" spans="1:28" ht="20.100000000000001" customHeight="1" x14ac:dyDescent="0.25">
      <c r="A110" s="51">
        <v>1042</v>
      </c>
      <c r="B110" s="51" t="s">
        <v>63</v>
      </c>
      <c r="C110" s="51" t="s">
        <v>152</v>
      </c>
      <c r="D110" s="102">
        <v>6916</v>
      </c>
      <c r="E110" s="51" t="s">
        <v>259</v>
      </c>
      <c r="F110" s="51">
        <v>1</v>
      </c>
      <c r="G110" s="51" t="s">
        <v>247</v>
      </c>
      <c r="H110" s="51" t="s">
        <v>253</v>
      </c>
      <c r="I110" s="51" t="s">
        <v>373</v>
      </c>
      <c r="J110" s="51" t="s">
        <v>206</v>
      </c>
      <c r="K110" s="51" t="s">
        <v>197</v>
      </c>
      <c r="L110" s="51">
        <v>27</v>
      </c>
      <c r="M110" s="52">
        <v>46233</v>
      </c>
      <c r="N110" s="52">
        <v>46227</v>
      </c>
      <c r="O110" s="103">
        <v>46264</v>
      </c>
      <c r="P110" s="51" t="s">
        <v>56</v>
      </c>
      <c r="Q110" s="51" t="s">
        <v>56</v>
      </c>
      <c r="R110" s="51" t="s">
        <v>224</v>
      </c>
      <c r="S110" s="51" t="s">
        <v>226</v>
      </c>
      <c r="T110" s="51" t="s">
        <v>227</v>
      </c>
      <c r="U110" s="51" t="s">
        <v>229</v>
      </c>
      <c r="V110" s="51" t="s">
        <v>230</v>
      </c>
      <c r="W110" s="51" t="s">
        <v>231</v>
      </c>
      <c r="X110" s="51" t="s">
        <v>228</v>
      </c>
      <c r="Y110" s="51" t="s">
        <v>232</v>
      </c>
      <c r="Z110" s="51" t="s">
        <v>233</v>
      </c>
      <c r="AA110" s="51" t="s">
        <v>124</v>
      </c>
      <c r="AB110" s="51" t="s">
        <v>547</v>
      </c>
    </row>
    <row r="111" spans="1:28" ht="20.100000000000001" customHeight="1" x14ac:dyDescent="0.25">
      <c r="A111" s="51">
        <v>1042</v>
      </c>
      <c r="B111" s="51" t="s">
        <v>63</v>
      </c>
      <c r="C111" s="51" t="s">
        <v>152</v>
      </c>
      <c r="D111" s="102">
        <v>6917</v>
      </c>
      <c r="E111" s="51" t="s">
        <v>259</v>
      </c>
      <c r="F111" s="51">
        <v>1</v>
      </c>
      <c r="G111" s="51" t="s">
        <v>247</v>
      </c>
      <c r="H111" s="51" t="s">
        <v>63</v>
      </c>
      <c r="I111" s="51" t="s">
        <v>63</v>
      </c>
      <c r="J111" s="51" t="s">
        <v>63</v>
      </c>
      <c r="K111" s="51" t="s">
        <v>197</v>
      </c>
      <c r="L111" s="51" t="s">
        <v>63</v>
      </c>
      <c r="M111" s="52">
        <v>46233</v>
      </c>
      <c r="N111" s="51" t="s">
        <v>63</v>
      </c>
      <c r="O111" s="103">
        <v>46629</v>
      </c>
      <c r="P111" s="51" t="s">
        <v>56</v>
      </c>
      <c r="Q111" s="51" t="s">
        <v>56</v>
      </c>
      <c r="R111" s="51" t="s">
        <v>63</v>
      </c>
      <c r="S111" s="51" t="s">
        <v>63</v>
      </c>
      <c r="T111" s="51" t="s">
        <v>63</v>
      </c>
      <c r="U111" s="51" t="s">
        <v>63</v>
      </c>
      <c r="V111" s="51" t="s">
        <v>63</v>
      </c>
      <c r="W111" s="51" t="s">
        <v>63</v>
      </c>
      <c r="X111" s="51" t="s">
        <v>63</v>
      </c>
      <c r="Y111" s="51" t="s">
        <v>63</v>
      </c>
      <c r="Z111" s="51" t="s">
        <v>63</v>
      </c>
      <c r="AA111" s="51" t="s">
        <v>48</v>
      </c>
      <c r="AB111" s="51" t="s">
        <v>544</v>
      </c>
    </row>
    <row r="112" spans="1:28" ht="20.100000000000001" hidden="1" customHeight="1" x14ac:dyDescent="0.25">
      <c r="A112" s="51">
        <v>2333</v>
      </c>
      <c r="B112" s="51" t="s">
        <v>63</v>
      </c>
      <c r="C112" s="51" t="s">
        <v>127</v>
      </c>
      <c r="D112" s="102">
        <v>6838</v>
      </c>
      <c r="E112" s="51" t="s">
        <v>259</v>
      </c>
      <c r="F112" s="51">
        <v>1</v>
      </c>
      <c r="G112" s="51" t="s">
        <v>268</v>
      </c>
      <c r="H112" s="51" t="s">
        <v>253</v>
      </c>
      <c r="I112" s="51" t="s">
        <v>373</v>
      </c>
      <c r="J112" s="51" t="s">
        <v>204</v>
      </c>
      <c r="K112" s="51" t="s">
        <v>197</v>
      </c>
      <c r="L112" s="51">
        <v>77</v>
      </c>
      <c r="M112" s="52">
        <v>46233</v>
      </c>
      <c r="N112" s="52">
        <v>46225</v>
      </c>
      <c r="O112" s="107">
        <v>46295</v>
      </c>
      <c r="P112" s="51" t="s">
        <v>56</v>
      </c>
      <c r="Q112" s="51" t="s">
        <v>56</v>
      </c>
      <c r="R112" s="51" t="s">
        <v>224</v>
      </c>
      <c r="S112" s="51" t="s">
        <v>226</v>
      </c>
      <c r="T112" s="51" t="s">
        <v>227</v>
      </c>
      <c r="U112" s="51" t="s">
        <v>229</v>
      </c>
      <c r="V112" s="51" t="s">
        <v>230</v>
      </c>
      <c r="W112" s="51" t="s">
        <v>231</v>
      </c>
      <c r="X112" s="51" t="s">
        <v>228</v>
      </c>
      <c r="Y112" s="51" t="s">
        <v>232</v>
      </c>
      <c r="Z112" s="51" t="s">
        <v>233</v>
      </c>
      <c r="AA112" s="51" t="s">
        <v>202</v>
      </c>
      <c r="AB112" s="83" t="s">
        <v>572</v>
      </c>
    </row>
    <row r="113" spans="1:28" ht="20.100000000000001" hidden="1" customHeight="1" x14ac:dyDescent="0.25">
      <c r="A113" s="51">
        <v>2333</v>
      </c>
      <c r="B113" s="51" t="s">
        <v>63</v>
      </c>
      <c r="C113" s="51" t="s">
        <v>127</v>
      </c>
      <c r="D113" s="102">
        <v>6834</v>
      </c>
      <c r="E113" s="51" t="s">
        <v>259</v>
      </c>
      <c r="F113" s="51">
        <v>1</v>
      </c>
      <c r="G113" s="51" t="s">
        <v>268</v>
      </c>
      <c r="H113" s="51" t="s">
        <v>252</v>
      </c>
      <c r="I113" s="51" t="s">
        <v>450</v>
      </c>
      <c r="J113" s="51" t="s">
        <v>204</v>
      </c>
      <c r="K113" s="51" t="s">
        <v>197</v>
      </c>
      <c r="L113" s="51">
        <v>78</v>
      </c>
      <c r="M113" s="52">
        <v>46233</v>
      </c>
      <c r="N113" s="52">
        <v>46225</v>
      </c>
      <c r="O113" s="107">
        <v>46295</v>
      </c>
      <c r="P113" s="52">
        <v>46226</v>
      </c>
      <c r="Q113" s="51" t="s">
        <v>58</v>
      </c>
      <c r="R113" s="51" t="s">
        <v>224</v>
      </c>
      <c r="S113" s="51" t="s">
        <v>227</v>
      </c>
      <c r="T113" s="51" t="s">
        <v>228</v>
      </c>
      <c r="U113" s="51" t="s">
        <v>232</v>
      </c>
      <c r="V113" s="51" t="s">
        <v>233</v>
      </c>
      <c r="W113" s="51"/>
      <c r="X113" s="51"/>
      <c r="Y113" s="51"/>
      <c r="Z113" s="51"/>
      <c r="AA113" s="51" t="s">
        <v>202</v>
      </c>
      <c r="AB113" s="51" t="s">
        <v>573</v>
      </c>
    </row>
    <row r="114" spans="1:28" ht="20.100000000000001" hidden="1" customHeight="1" x14ac:dyDescent="0.25">
      <c r="A114" s="51">
        <v>2333</v>
      </c>
      <c r="B114" s="51" t="s">
        <v>63</v>
      </c>
      <c r="C114" s="51" t="s">
        <v>127</v>
      </c>
      <c r="D114" s="102">
        <v>6833</v>
      </c>
      <c r="E114" s="51" t="s">
        <v>259</v>
      </c>
      <c r="F114" s="51">
        <v>1</v>
      </c>
      <c r="G114" s="51" t="s">
        <v>268</v>
      </c>
      <c r="H114" s="51" t="s">
        <v>252</v>
      </c>
      <c r="I114" s="51" t="s">
        <v>254</v>
      </c>
      <c r="J114" s="51" t="s">
        <v>204</v>
      </c>
      <c r="K114" s="51" t="s">
        <v>197</v>
      </c>
      <c r="L114" s="51" t="s">
        <v>549</v>
      </c>
      <c r="M114" s="52">
        <v>46233</v>
      </c>
      <c r="N114" s="52">
        <v>46225</v>
      </c>
      <c r="O114" s="107">
        <v>46417</v>
      </c>
      <c r="P114" s="52">
        <v>46226</v>
      </c>
      <c r="Q114" s="51" t="s">
        <v>58</v>
      </c>
      <c r="R114" s="51" t="s">
        <v>224</v>
      </c>
      <c r="S114" s="51" t="s">
        <v>227</v>
      </c>
      <c r="T114" s="51" t="s">
        <v>228</v>
      </c>
      <c r="U114" s="51" t="s">
        <v>232</v>
      </c>
      <c r="V114" s="51" t="s">
        <v>233</v>
      </c>
      <c r="W114" s="51"/>
      <c r="X114" s="51"/>
      <c r="Y114" s="51"/>
      <c r="Z114" s="51"/>
      <c r="AA114" s="51" t="s">
        <v>202</v>
      </c>
      <c r="AB114" s="51" t="s">
        <v>573</v>
      </c>
    </row>
    <row r="115" spans="1:28" ht="20.100000000000001" hidden="1" customHeight="1" x14ac:dyDescent="0.25">
      <c r="A115" s="51">
        <v>2333</v>
      </c>
      <c r="B115" s="51" t="s">
        <v>63</v>
      </c>
      <c r="C115" s="51" t="s">
        <v>127</v>
      </c>
      <c r="D115" s="102">
        <v>6835</v>
      </c>
      <c r="E115" s="51" t="s">
        <v>259</v>
      </c>
      <c r="F115" s="51">
        <v>1</v>
      </c>
      <c r="G115" s="51" t="s">
        <v>268</v>
      </c>
      <c r="H115" s="51" t="s">
        <v>252</v>
      </c>
      <c r="I115" s="51" t="s">
        <v>450</v>
      </c>
      <c r="J115" s="51" t="s">
        <v>205</v>
      </c>
      <c r="K115" s="51" t="s">
        <v>197</v>
      </c>
      <c r="L115" s="51">
        <v>47</v>
      </c>
      <c r="M115" s="52">
        <v>46233</v>
      </c>
      <c r="N115" s="52">
        <v>46225</v>
      </c>
      <c r="O115" s="107">
        <v>46295</v>
      </c>
      <c r="P115" s="52">
        <v>46226</v>
      </c>
      <c r="Q115" s="51" t="s">
        <v>58</v>
      </c>
      <c r="R115" s="51" t="s">
        <v>224</v>
      </c>
      <c r="S115" s="51" t="s">
        <v>227</v>
      </c>
      <c r="T115" s="51" t="s">
        <v>228</v>
      </c>
      <c r="U115" s="51" t="s">
        <v>232</v>
      </c>
      <c r="V115" s="51" t="s">
        <v>233</v>
      </c>
      <c r="W115" s="51"/>
      <c r="X115" s="51"/>
      <c r="Y115" s="51"/>
      <c r="Z115" s="51"/>
      <c r="AA115" s="51" t="s">
        <v>202</v>
      </c>
      <c r="AB115" s="51" t="s">
        <v>573</v>
      </c>
    </row>
    <row r="116" spans="1:28" ht="20.100000000000001" hidden="1" customHeight="1" x14ac:dyDescent="0.25">
      <c r="A116" s="51">
        <v>2333</v>
      </c>
      <c r="B116" s="51" t="s">
        <v>63</v>
      </c>
      <c r="C116" s="51" t="s">
        <v>127</v>
      </c>
      <c r="D116" s="102">
        <v>6840</v>
      </c>
      <c r="E116" s="51" t="s">
        <v>259</v>
      </c>
      <c r="F116" s="51">
        <v>1</v>
      </c>
      <c r="G116" s="51" t="s">
        <v>268</v>
      </c>
      <c r="H116" s="51" t="s">
        <v>252</v>
      </c>
      <c r="I116" s="51" t="s">
        <v>450</v>
      </c>
      <c r="J116" s="51" t="s">
        <v>207</v>
      </c>
      <c r="K116" s="51" t="s">
        <v>197</v>
      </c>
      <c r="L116" s="51">
        <v>61</v>
      </c>
      <c r="M116" s="52">
        <v>46233</v>
      </c>
      <c r="N116" s="52">
        <v>46225</v>
      </c>
      <c r="O116" s="107">
        <v>46295</v>
      </c>
      <c r="P116" s="52">
        <v>46226</v>
      </c>
      <c r="Q116" s="51" t="s">
        <v>58</v>
      </c>
      <c r="R116" s="51" t="s">
        <v>224</v>
      </c>
      <c r="S116" s="51" t="s">
        <v>227</v>
      </c>
      <c r="T116" s="51" t="s">
        <v>228</v>
      </c>
      <c r="U116" s="51" t="s">
        <v>232</v>
      </c>
      <c r="V116" s="51" t="s">
        <v>233</v>
      </c>
      <c r="W116" s="51"/>
      <c r="X116" s="51"/>
      <c r="Y116" s="51"/>
      <c r="Z116" s="51"/>
      <c r="AA116" s="51" t="s">
        <v>202</v>
      </c>
      <c r="AB116" s="51" t="s">
        <v>573</v>
      </c>
    </row>
    <row r="117" spans="1:28" ht="20.100000000000001" hidden="1" customHeight="1" x14ac:dyDescent="0.25">
      <c r="A117" s="51">
        <v>2333</v>
      </c>
      <c r="B117" s="51" t="s">
        <v>63</v>
      </c>
      <c r="C117" s="51" t="s">
        <v>127</v>
      </c>
      <c r="D117" s="102">
        <v>6837</v>
      </c>
      <c r="E117" s="51" t="s">
        <v>259</v>
      </c>
      <c r="F117" s="51">
        <v>1</v>
      </c>
      <c r="G117" s="51" t="s">
        <v>268</v>
      </c>
      <c r="H117" s="51" t="s">
        <v>253</v>
      </c>
      <c r="I117" s="51" t="s">
        <v>373</v>
      </c>
      <c r="J117" s="51" t="s">
        <v>208</v>
      </c>
      <c r="K117" s="51" t="s">
        <v>197</v>
      </c>
      <c r="L117" s="51">
        <v>73</v>
      </c>
      <c r="M117" s="52">
        <v>46233</v>
      </c>
      <c r="N117" s="52">
        <v>46225</v>
      </c>
      <c r="O117" s="107">
        <v>46295</v>
      </c>
      <c r="P117" s="51" t="s">
        <v>56</v>
      </c>
      <c r="Q117" s="51" t="s">
        <v>56</v>
      </c>
      <c r="R117" s="51" t="s">
        <v>224</v>
      </c>
      <c r="S117" s="51" t="s">
        <v>226</v>
      </c>
      <c r="T117" s="51" t="s">
        <v>227</v>
      </c>
      <c r="U117" s="51" t="s">
        <v>229</v>
      </c>
      <c r="V117" s="51" t="s">
        <v>230</v>
      </c>
      <c r="W117" s="51" t="s">
        <v>231</v>
      </c>
      <c r="X117" s="51" t="s">
        <v>228</v>
      </c>
      <c r="Y117" s="51" t="s">
        <v>232</v>
      </c>
      <c r="Z117" s="51" t="s">
        <v>233</v>
      </c>
      <c r="AA117" s="51" t="s">
        <v>202</v>
      </c>
      <c r="AB117" s="83" t="s">
        <v>572</v>
      </c>
    </row>
    <row r="118" spans="1:28" ht="20.100000000000001" hidden="1" customHeight="1" x14ac:dyDescent="0.25">
      <c r="A118" s="51">
        <v>2333</v>
      </c>
      <c r="B118" s="51" t="s">
        <v>63</v>
      </c>
      <c r="C118" s="51" t="s">
        <v>127</v>
      </c>
      <c r="D118" s="102">
        <v>6836</v>
      </c>
      <c r="E118" s="51" t="s">
        <v>259</v>
      </c>
      <c r="F118" s="51">
        <v>1</v>
      </c>
      <c r="G118" s="51" t="s">
        <v>268</v>
      </c>
      <c r="H118" s="51" t="s">
        <v>253</v>
      </c>
      <c r="I118" s="51" t="s">
        <v>450</v>
      </c>
      <c r="J118" s="51" t="s">
        <v>208</v>
      </c>
      <c r="K118" s="51" t="s">
        <v>197</v>
      </c>
      <c r="L118" s="51">
        <v>40</v>
      </c>
      <c r="M118" s="52">
        <v>46233</v>
      </c>
      <c r="N118" s="52">
        <v>46225</v>
      </c>
      <c r="O118" s="107">
        <v>46295</v>
      </c>
      <c r="P118" s="51" t="s">
        <v>56</v>
      </c>
      <c r="Q118" s="51" t="s">
        <v>56</v>
      </c>
      <c r="R118" s="51" t="s">
        <v>224</v>
      </c>
      <c r="S118" s="51" t="s">
        <v>226</v>
      </c>
      <c r="T118" s="51" t="s">
        <v>227</v>
      </c>
      <c r="U118" s="51" t="s">
        <v>229</v>
      </c>
      <c r="V118" s="51" t="s">
        <v>230</v>
      </c>
      <c r="W118" s="51" t="s">
        <v>231</v>
      </c>
      <c r="X118" s="51" t="s">
        <v>228</v>
      </c>
      <c r="Y118" s="51" t="s">
        <v>232</v>
      </c>
      <c r="Z118" s="51" t="s">
        <v>233</v>
      </c>
      <c r="AA118" s="51" t="s">
        <v>202</v>
      </c>
      <c r="AB118" s="83" t="s">
        <v>572</v>
      </c>
    </row>
    <row r="119" spans="1:28" ht="20.100000000000001" hidden="1" customHeight="1" x14ac:dyDescent="0.25">
      <c r="A119" s="51">
        <v>2333</v>
      </c>
      <c r="B119" s="51" t="s">
        <v>63</v>
      </c>
      <c r="C119" s="51" t="s">
        <v>127</v>
      </c>
      <c r="D119" s="102">
        <v>6839</v>
      </c>
      <c r="E119" s="51" t="s">
        <v>259</v>
      </c>
      <c r="F119" s="51">
        <v>1</v>
      </c>
      <c r="G119" s="51" t="s">
        <v>268</v>
      </c>
      <c r="H119" s="51" t="s">
        <v>252</v>
      </c>
      <c r="I119" s="51" t="s">
        <v>254</v>
      </c>
      <c r="J119" s="51" t="s">
        <v>208</v>
      </c>
      <c r="K119" s="51" t="s">
        <v>197</v>
      </c>
      <c r="L119" s="51" t="s">
        <v>550</v>
      </c>
      <c r="M119" s="52">
        <v>46233</v>
      </c>
      <c r="N119" s="52">
        <v>46225</v>
      </c>
      <c r="O119" s="107">
        <v>46421</v>
      </c>
      <c r="P119" s="52">
        <v>46226</v>
      </c>
      <c r="Q119" s="51" t="s">
        <v>58</v>
      </c>
      <c r="R119" s="51" t="s">
        <v>224</v>
      </c>
      <c r="S119" s="51" t="s">
        <v>227</v>
      </c>
      <c r="T119" s="51" t="s">
        <v>228</v>
      </c>
      <c r="U119" s="51" t="s">
        <v>232</v>
      </c>
      <c r="V119" s="51" t="s">
        <v>233</v>
      </c>
      <c r="W119" s="51"/>
      <c r="X119" s="51"/>
      <c r="Y119" s="51"/>
      <c r="Z119" s="51"/>
      <c r="AA119" s="51" t="s">
        <v>488</v>
      </c>
      <c r="AB119" s="51"/>
    </row>
    <row r="120" spans="1:28" ht="20.100000000000001" hidden="1" customHeight="1" x14ac:dyDescent="0.25">
      <c r="A120" s="51">
        <v>2355</v>
      </c>
      <c r="B120" s="51" t="s">
        <v>63</v>
      </c>
      <c r="C120" s="51" t="s">
        <v>28</v>
      </c>
      <c r="D120" s="51">
        <v>6924</v>
      </c>
      <c r="E120" s="51" t="s">
        <v>259</v>
      </c>
      <c r="F120" s="51">
        <v>1</v>
      </c>
      <c r="G120" s="51" t="s">
        <v>298</v>
      </c>
      <c r="H120" s="51" t="s">
        <v>252</v>
      </c>
      <c r="I120" s="51" t="s">
        <v>63</v>
      </c>
      <c r="J120" s="51" t="s">
        <v>63</v>
      </c>
      <c r="K120" s="51" t="s">
        <v>197</v>
      </c>
      <c r="L120" s="51">
        <v>44</v>
      </c>
      <c r="M120" s="52">
        <v>46241</v>
      </c>
      <c r="N120" s="52"/>
      <c r="O120" s="52">
        <v>46261</v>
      </c>
      <c r="P120" s="52">
        <v>46239</v>
      </c>
      <c r="Q120" s="51" t="s">
        <v>58</v>
      </c>
      <c r="R120" s="51" t="s">
        <v>224</v>
      </c>
      <c r="S120" s="51" t="s">
        <v>227</v>
      </c>
      <c r="T120" s="51" t="s">
        <v>232</v>
      </c>
      <c r="U120" s="51" t="s">
        <v>233</v>
      </c>
      <c r="V120" s="51"/>
      <c r="W120" s="51"/>
      <c r="X120" s="51"/>
      <c r="Y120" s="51"/>
      <c r="Z120" s="51"/>
      <c r="AA120" s="51" t="s">
        <v>48</v>
      </c>
      <c r="AB120" s="51" t="s">
        <v>560</v>
      </c>
    </row>
    <row r="121" spans="1:28" ht="20.100000000000001" hidden="1" customHeight="1" x14ac:dyDescent="0.25">
      <c r="A121" s="51">
        <v>2355</v>
      </c>
      <c r="B121" s="51" t="s">
        <v>63</v>
      </c>
      <c r="C121" s="51" t="s">
        <v>28</v>
      </c>
      <c r="D121" s="51">
        <v>6944</v>
      </c>
      <c r="E121" s="51" t="s">
        <v>259</v>
      </c>
      <c r="F121" s="51">
        <v>1</v>
      </c>
      <c r="G121" s="51" t="s">
        <v>298</v>
      </c>
      <c r="H121" s="51" t="s">
        <v>252</v>
      </c>
      <c r="I121" s="51" t="s">
        <v>63</v>
      </c>
      <c r="J121" s="51" t="s">
        <v>63</v>
      </c>
      <c r="K121" s="51" t="s">
        <v>197</v>
      </c>
      <c r="L121" s="51">
        <v>55</v>
      </c>
      <c r="M121" s="52">
        <v>46241</v>
      </c>
      <c r="N121" s="51"/>
      <c r="O121" s="52">
        <v>46261</v>
      </c>
      <c r="P121" s="52">
        <v>46239</v>
      </c>
      <c r="Q121" s="51" t="s">
        <v>58</v>
      </c>
      <c r="R121" s="51" t="s">
        <v>224</v>
      </c>
      <c r="S121" s="51" t="s">
        <v>227</v>
      </c>
      <c r="T121" s="51" t="s">
        <v>232</v>
      </c>
      <c r="U121" s="51" t="s">
        <v>233</v>
      </c>
      <c r="V121" s="51"/>
      <c r="W121" s="51"/>
      <c r="X121" s="51"/>
      <c r="Y121" s="51"/>
      <c r="Z121" s="51"/>
      <c r="AA121" s="51" t="s">
        <v>48</v>
      </c>
      <c r="AB121" s="51" t="s">
        <v>561</v>
      </c>
    </row>
    <row r="122" spans="1:28" ht="20.100000000000001" hidden="1" customHeight="1" x14ac:dyDescent="0.25">
      <c r="A122" s="51">
        <v>2355</v>
      </c>
      <c r="B122" s="51" t="s">
        <v>63</v>
      </c>
      <c r="C122" s="51" t="s">
        <v>28</v>
      </c>
      <c r="D122" s="51">
        <v>6925</v>
      </c>
      <c r="E122" s="51" t="s">
        <v>259</v>
      </c>
      <c r="F122" s="51">
        <v>1</v>
      </c>
      <c r="G122" s="51" t="s">
        <v>298</v>
      </c>
      <c r="H122" s="51" t="s">
        <v>253</v>
      </c>
      <c r="I122" s="51" t="s">
        <v>63</v>
      </c>
      <c r="J122" s="51" t="s">
        <v>63</v>
      </c>
      <c r="K122" s="51" t="s">
        <v>197</v>
      </c>
      <c r="L122" s="51">
        <v>43</v>
      </c>
      <c r="M122" s="52">
        <v>46241</v>
      </c>
      <c r="N122" s="51"/>
      <c r="O122" s="52">
        <v>46261</v>
      </c>
      <c r="P122" s="52">
        <v>46239</v>
      </c>
      <c r="Q122" s="51" t="s">
        <v>58</v>
      </c>
      <c r="R122" s="51" t="s">
        <v>224</v>
      </c>
      <c r="S122" s="51" t="s">
        <v>226</v>
      </c>
      <c r="T122" s="51" t="s">
        <v>227</v>
      </c>
      <c r="U122" s="51" t="s">
        <v>229</v>
      </c>
      <c r="V122" s="51" t="s">
        <v>230</v>
      </c>
      <c r="W122" s="51" t="s">
        <v>231</v>
      </c>
      <c r="X122" s="51" t="s">
        <v>232</v>
      </c>
      <c r="Y122" s="51" t="s">
        <v>233</v>
      </c>
      <c r="Z122" s="51"/>
      <c r="AA122" s="51" t="s">
        <v>48</v>
      </c>
      <c r="AB122" s="83" t="s">
        <v>562</v>
      </c>
    </row>
    <row r="123" spans="1:28" ht="20.100000000000001" hidden="1" customHeight="1" x14ac:dyDescent="0.25">
      <c r="A123" s="51">
        <v>2355</v>
      </c>
      <c r="B123" s="51" t="s">
        <v>63</v>
      </c>
      <c r="C123" s="51" t="s">
        <v>28</v>
      </c>
      <c r="D123" s="51">
        <v>6945</v>
      </c>
      <c r="E123" s="51" t="s">
        <v>259</v>
      </c>
      <c r="F123" s="51">
        <v>1</v>
      </c>
      <c r="G123" s="51" t="s">
        <v>298</v>
      </c>
      <c r="H123" s="51" t="s">
        <v>253</v>
      </c>
      <c r="I123" s="51" t="s">
        <v>63</v>
      </c>
      <c r="J123" s="51" t="s">
        <v>63</v>
      </c>
      <c r="K123" s="51" t="s">
        <v>197</v>
      </c>
      <c r="L123" s="51">
        <v>49</v>
      </c>
      <c r="M123" s="52">
        <v>46241</v>
      </c>
      <c r="N123" s="51"/>
      <c r="O123" s="52">
        <v>46261</v>
      </c>
      <c r="P123" s="52">
        <v>46239</v>
      </c>
      <c r="Q123" s="51" t="s">
        <v>58</v>
      </c>
      <c r="R123" s="51" t="s">
        <v>224</v>
      </c>
      <c r="S123" s="51" t="s">
        <v>226</v>
      </c>
      <c r="T123" s="51" t="s">
        <v>227</v>
      </c>
      <c r="U123" s="51" t="s">
        <v>229</v>
      </c>
      <c r="V123" s="51" t="s">
        <v>230</v>
      </c>
      <c r="W123" s="51" t="s">
        <v>231</v>
      </c>
      <c r="X123" s="51" t="s">
        <v>232</v>
      </c>
      <c r="Y123" s="51" t="s">
        <v>233</v>
      </c>
      <c r="Z123" s="51"/>
      <c r="AA123" s="51" t="s">
        <v>48</v>
      </c>
      <c r="AB123" s="83" t="s">
        <v>562</v>
      </c>
    </row>
    <row r="124" spans="1:28" ht="20.100000000000001" hidden="1" customHeight="1" x14ac:dyDescent="0.25">
      <c r="A124" s="51">
        <v>2365</v>
      </c>
      <c r="B124" s="51" t="s">
        <v>63</v>
      </c>
      <c r="C124" s="51" t="s">
        <v>274</v>
      </c>
      <c r="D124" s="51">
        <v>6350</v>
      </c>
      <c r="E124" s="51" t="s">
        <v>259</v>
      </c>
      <c r="F124" s="51">
        <v>1</v>
      </c>
      <c r="G124" s="51" t="s">
        <v>297</v>
      </c>
      <c r="H124" s="51" t="s">
        <v>253</v>
      </c>
      <c r="I124" s="51" t="s">
        <v>373</v>
      </c>
      <c r="J124" s="51" t="s">
        <v>248</v>
      </c>
      <c r="K124" s="51" t="s">
        <v>197</v>
      </c>
      <c r="L124" s="51">
        <v>64</v>
      </c>
      <c r="M124" s="52">
        <v>46226</v>
      </c>
      <c r="N124" s="52">
        <v>46226</v>
      </c>
      <c r="O124" s="52">
        <v>46255</v>
      </c>
      <c r="P124" s="51" t="s">
        <v>56</v>
      </c>
      <c r="Q124" s="51" t="s">
        <v>56</v>
      </c>
      <c r="R124" s="51" t="s">
        <v>224</v>
      </c>
      <c r="S124" s="51" t="s">
        <v>226</v>
      </c>
      <c r="T124" s="51" t="s">
        <v>227</v>
      </c>
      <c r="U124" s="51" t="s">
        <v>229</v>
      </c>
      <c r="V124" s="51" t="s">
        <v>230</v>
      </c>
      <c r="W124" s="51" t="s">
        <v>231</v>
      </c>
      <c r="X124" s="51" t="s">
        <v>232</v>
      </c>
      <c r="Y124" s="51" t="s">
        <v>233</v>
      </c>
      <c r="Z124" s="51"/>
      <c r="AA124" s="51" t="s">
        <v>202</v>
      </c>
      <c r="AB124" s="83" t="s">
        <v>603</v>
      </c>
    </row>
    <row r="125" spans="1:28" ht="20.100000000000001" hidden="1" customHeight="1" x14ac:dyDescent="0.25">
      <c r="A125" s="102">
        <v>2348</v>
      </c>
      <c r="B125" s="51" t="s">
        <v>63</v>
      </c>
      <c r="C125" s="51" t="s">
        <v>578</v>
      </c>
      <c r="D125" s="111">
        <v>6855</v>
      </c>
      <c r="E125" s="51" t="s">
        <v>259</v>
      </c>
      <c r="F125" s="51">
        <v>1</v>
      </c>
      <c r="G125" s="51" t="s">
        <v>267</v>
      </c>
      <c r="H125" s="51" t="s">
        <v>252</v>
      </c>
      <c r="I125" s="51" t="s">
        <v>450</v>
      </c>
      <c r="J125" s="51" t="s">
        <v>204</v>
      </c>
      <c r="K125" s="51" t="s">
        <v>197</v>
      </c>
      <c r="L125" s="51" t="s">
        <v>58</v>
      </c>
      <c r="M125" s="52">
        <v>46251</v>
      </c>
      <c r="N125" s="51"/>
      <c r="O125" s="52">
        <v>46295</v>
      </c>
      <c r="P125" s="52">
        <v>46239</v>
      </c>
      <c r="Q125" s="51" t="s">
        <v>58</v>
      </c>
      <c r="R125" s="51" t="s">
        <v>224</v>
      </c>
      <c r="S125" s="51" t="s">
        <v>227</v>
      </c>
      <c r="T125" s="51" t="s">
        <v>232</v>
      </c>
      <c r="U125" s="51" t="s">
        <v>233</v>
      </c>
      <c r="V125" s="51"/>
      <c r="W125" s="51"/>
      <c r="X125" s="51"/>
      <c r="Y125" s="51"/>
      <c r="Z125" s="51"/>
      <c r="AA125" s="51" t="s">
        <v>48</v>
      </c>
      <c r="AB125" s="51"/>
    </row>
    <row r="126" spans="1:28" ht="20.100000000000001" hidden="1" customHeight="1" x14ac:dyDescent="0.25">
      <c r="A126" s="102">
        <v>2348</v>
      </c>
      <c r="B126" s="51" t="s">
        <v>63</v>
      </c>
      <c r="C126" s="51" t="s">
        <v>578</v>
      </c>
      <c r="D126" s="111">
        <v>6854</v>
      </c>
      <c r="E126" s="51" t="s">
        <v>259</v>
      </c>
      <c r="F126" s="51">
        <v>1</v>
      </c>
      <c r="G126" s="51" t="s">
        <v>267</v>
      </c>
      <c r="H126" s="51" t="s">
        <v>252</v>
      </c>
      <c r="I126" s="51" t="s">
        <v>254</v>
      </c>
      <c r="J126" s="51" t="s">
        <v>204</v>
      </c>
      <c r="K126" s="51" t="s">
        <v>197</v>
      </c>
      <c r="L126" s="51" t="s">
        <v>563</v>
      </c>
      <c r="M126" s="52">
        <v>46251</v>
      </c>
      <c r="N126" s="51"/>
      <c r="O126" s="52">
        <v>46283</v>
      </c>
      <c r="P126" s="52">
        <v>46239</v>
      </c>
      <c r="Q126" s="51" t="s">
        <v>58</v>
      </c>
      <c r="R126" s="51" t="s">
        <v>224</v>
      </c>
      <c r="S126" s="51" t="s">
        <v>227</v>
      </c>
      <c r="T126" s="51" t="s">
        <v>232</v>
      </c>
      <c r="U126" s="51" t="s">
        <v>233</v>
      </c>
      <c r="V126" s="51"/>
      <c r="W126" s="51"/>
      <c r="X126" s="51"/>
      <c r="Y126" s="51"/>
      <c r="Z126" s="51"/>
      <c r="AA126" s="51" t="s">
        <v>48</v>
      </c>
      <c r="AB126" s="51"/>
    </row>
    <row r="127" spans="1:28" ht="20.100000000000001" hidden="1" customHeight="1" x14ac:dyDescent="0.25">
      <c r="A127" s="102">
        <v>2348</v>
      </c>
      <c r="B127" s="51" t="s">
        <v>63</v>
      </c>
      <c r="C127" s="51" t="s">
        <v>578</v>
      </c>
      <c r="D127" s="111">
        <v>6851</v>
      </c>
      <c r="E127" s="51" t="s">
        <v>259</v>
      </c>
      <c r="F127" s="51">
        <v>1</v>
      </c>
      <c r="G127" s="51" t="s">
        <v>267</v>
      </c>
      <c r="H127" s="51" t="s">
        <v>253</v>
      </c>
      <c r="I127" s="51" t="s">
        <v>373</v>
      </c>
      <c r="J127" s="51" t="s">
        <v>204</v>
      </c>
      <c r="K127" s="51" t="s">
        <v>197</v>
      </c>
      <c r="L127" s="51" t="s">
        <v>564</v>
      </c>
      <c r="M127" s="52">
        <v>46251</v>
      </c>
      <c r="N127" s="51"/>
      <c r="O127" s="52">
        <v>46297</v>
      </c>
      <c r="P127" s="52">
        <v>46239</v>
      </c>
      <c r="Q127" s="51" t="s">
        <v>58</v>
      </c>
      <c r="R127" s="51" t="s">
        <v>224</v>
      </c>
      <c r="S127" s="51" t="s">
        <v>226</v>
      </c>
      <c r="T127" s="51" t="s">
        <v>227</v>
      </c>
      <c r="U127" s="51" t="s">
        <v>229</v>
      </c>
      <c r="V127" s="51" t="s">
        <v>230</v>
      </c>
      <c r="W127" s="51" t="s">
        <v>231</v>
      </c>
      <c r="X127" s="51" t="s">
        <v>232</v>
      </c>
      <c r="Y127" s="51" t="s">
        <v>233</v>
      </c>
      <c r="Z127" s="51"/>
      <c r="AA127" s="51" t="s">
        <v>48</v>
      </c>
      <c r="AB127" s="51"/>
    </row>
    <row r="128" spans="1:28" ht="20.100000000000001" hidden="1" customHeight="1" x14ac:dyDescent="0.25">
      <c r="A128" s="102">
        <v>2348</v>
      </c>
      <c r="B128" s="51" t="s">
        <v>63</v>
      </c>
      <c r="C128" s="51" t="s">
        <v>578</v>
      </c>
      <c r="D128" s="111">
        <v>6856</v>
      </c>
      <c r="E128" s="51" t="s">
        <v>259</v>
      </c>
      <c r="F128" s="51">
        <v>1</v>
      </c>
      <c r="G128" s="51" t="s">
        <v>267</v>
      </c>
      <c r="H128" s="51" t="s">
        <v>252</v>
      </c>
      <c r="I128" s="51" t="s">
        <v>450</v>
      </c>
      <c r="J128" s="51" t="s">
        <v>205</v>
      </c>
      <c r="K128" s="51" t="s">
        <v>197</v>
      </c>
      <c r="L128" s="51" t="s">
        <v>58</v>
      </c>
      <c r="M128" s="52">
        <v>46251</v>
      </c>
      <c r="N128" s="52">
        <v>46230</v>
      </c>
      <c r="O128" s="52">
        <v>46290</v>
      </c>
      <c r="P128" s="52">
        <v>46239</v>
      </c>
      <c r="Q128" s="51" t="s">
        <v>58</v>
      </c>
      <c r="R128" s="51" t="s">
        <v>224</v>
      </c>
      <c r="S128" s="51" t="s">
        <v>227</v>
      </c>
      <c r="T128" s="51" t="s">
        <v>232</v>
      </c>
      <c r="U128" s="51" t="s">
        <v>233</v>
      </c>
      <c r="V128" s="51"/>
      <c r="W128" s="51"/>
      <c r="X128" s="51"/>
      <c r="Y128" s="51"/>
      <c r="Z128" s="51"/>
      <c r="AA128" s="51" t="s">
        <v>488</v>
      </c>
      <c r="AB128" s="51"/>
    </row>
    <row r="129" spans="1:28" ht="20.100000000000001" hidden="1" customHeight="1" x14ac:dyDescent="0.25">
      <c r="A129" s="102">
        <v>2348</v>
      </c>
      <c r="B129" s="51" t="s">
        <v>63</v>
      </c>
      <c r="C129" s="51" t="s">
        <v>578</v>
      </c>
      <c r="D129" s="111">
        <v>6852</v>
      </c>
      <c r="E129" s="51" t="s">
        <v>259</v>
      </c>
      <c r="F129" s="51">
        <v>1</v>
      </c>
      <c r="G129" s="51" t="s">
        <v>267</v>
      </c>
      <c r="H129" s="51" t="s">
        <v>253</v>
      </c>
      <c r="I129" s="51" t="s">
        <v>373</v>
      </c>
      <c r="J129" s="51" t="s">
        <v>205</v>
      </c>
      <c r="K129" s="51" t="s">
        <v>197</v>
      </c>
      <c r="L129" s="51" t="s">
        <v>565</v>
      </c>
      <c r="M129" s="52">
        <v>46251</v>
      </c>
      <c r="N129" s="51"/>
      <c r="O129" s="52">
        <v>46297</v>
      </c>
      <c r="P129" s="52">
        <v>46239</v>
      </c>
      <c r="Q129" s="51" t="s">
        <v>58</v>
      </c>
      <c r="R129" s="51" t="s">
        <v>224</v>
      </c>
      <c r="S129" s="51" t="s">
        <v>226</v>
      </c>
      <c r="T129" s="51" t="s">
        <v>227</v>
      </c>
      <c r="U129" s="51" t="s">
        <v>229</v>
      </c>
      <c r="V129" s="51" t="s">
        <v>230</v>
      </c>
      <c r="W129" s="51" t="s">
        <v>231</v>
      </c>
      <c r="X129" s="51" t="s">
        <v>232</v>
      </c>
      <c r="Y129" s="51" t="s">
        <v>233</v>
      </c>
      <c r="Z129" s="51"/>
      <c r="AA129" s="51" t="s">
        <v>48</v>
      </c>
      <c r="AB129" s="51"/>
    </row>
    <row r="130" spans="1:28" ht="20.100000000000001" hidden="1" customHeight="1" x14ac:dyDescent="0.25">
      <c r="A130" s="102">
        <v>2348</v>
      </c>
      <c r="B130" s="51" t="s">
        <v>63</v>
      </c>
      <c r="C130" s="51" t="s">
        <v>578</v>
      </c>
      <c r="D130" s="111">
        <v>6857</v>
      </c>
      <c r="E130" s="51" t="s">
        <v>259</v>
      </c>
      <c r="F130" s="51">
        <v>1</v>
      </c>
      <c r="G130" s="51" t="s">
        <v>267</v>
      </c>
      <c r="H130" s="51" t="s">
        <v>252</v>
      </c>
      <c r="I130" s="51" t="s">
        <v>450</v>
      </c>
      <c r="J130" s="51" t="s">
        <v>208</v>
      </c>
      <c r="K130" s="51" t="s">
        <v>197</v>
      </c>
      <c r="L130" s="51" t="s">
        <v>58</v>
      </c>
      <c r="M130" s="52">
        <v>46251</v>
      </c>
      <c r="N130" s="51"/>
      <c r="O130" s="52">
        <v>46290</v>
      </c>
      <c r="P130" s="52">
        <v>46239</v>
      </c>
      <c r="Q130" s="51" t="s">
        <v>58</v>
      </c>
      <c r="R130" s="51" t="s">
        <v>224</v>
      </c>
      <c r="S130" s="51" t="s">
        <v>227</v>
      </c>
      <c r="T130" s="51" t="s">
        <v>232</v>
      </c>
      <c r="U130" s="51" t="s">
        <v>233</v>
      </c>
      <c r="V130" s="51"/>
      <c r="W130" s="51"/>
      <c r="X130" s="51"/>
      <c r="Y130" s="51"/>
      <c r="Z130" s="51"/>
      <c r="AA130" s="51" t="s">
        <v>48</v>
      </c>
      <c r="AB130" s="51"/>
    </row>
    <row r="131" spans="1:28" ht="20.100000000000001" hidden="1" customHeight="1" x14ac:dyDescent="0.25">
      <c r="A131" s="102">
        <v>2348</v>
      </c>
      <c r="B131" s="51" t="s">
        <v>63</v>
      </c>
      <c r="C131" s="51" t="s">
        <v>578</v>
      </c>
      <c r="D131" s="111">
        <v>6858</v>
      </c>
      <c r="E131" s="51" t="s">
        <v>259</v>
      </c>
      <c r="F131" s="51">
        <v>1</v>
      </c>
      <c r="G131" s="51" t="s">
        <v>267</v>
      </c>
      <c r="H131" s="51" t="s">
        <v>253</v>
      </c>
      <c r="I131" s="51" t="s">
        <v>450</v>
      </c>
      <c r="J131" s="51" t="s">
        <v>248</v>
      </c>
      <c r="K131" s="51" t="s">
        <v>197</v>
      </c>
      <c r="L131" s="51" t="s">
        <v>58</v>
      </c>
      <c r="M131" s="52">
        <v>46251</v>
      </c>
      <c r="N131" s="51"/>
      <c r="O131" s="52">
        <v>46295</v>
      </c>
      <c r="P131" s="52">
        <v>46239</v>
      </c>
      <c r="Q131" s="51" t="s">
        <v>58</v>
      </c>
      <c r="R131" s="51" t="s">
        <v>224</v>
      </c>
      <c r="S131" s="51" t="s">
        <v>226</v>
      </c>
      <c r="T131" s="51" t="s">
        <v>227</v>
      </c>
      <c r="U131" s="51" t="s">
        <v>229</v>
      </c>
      <c r="V131" s="51" t="s">
        <v>230</v>
      </c>
      <c r="W131" s="51" t="s">
        <v>231</v>
      </c>
      <c r="X131" s="51" t="s">
        <v>232</v>
      </c>
      <c r="Y131" s="51" t="s">
        <v>233</v>
      </c>
      <c r="Z131" s="51"/>
      <c r="AA131" s="51" t="s">
        <v>48</v>
      </c>
      <c r="AB131" s="51"/>
    </row>
    <row r="132" spans="1:28" ht="20.100000000000001" hidden="1" customHeight="1" x14ac:dyDescent="0.25">
      <c r="A132" s="102">
        <v>2348</v>
      </c>
      <c r="B132" s="51" t="s">
        <v>63</v>
      </c>
      <c r="C132" s="51" t="s">
        <v>578</v>
      </c>
      <c r="D132" s="111">
        <v>6853</v>
      </c>
      <c r="E132" s="51" t="s">
        <v>259</v>
      </c>
      <c r="F132" s="51">
        <v>1</v>
      </c>
      <c r="G132" s="51" t="s">
        <v>267</v>
      </c>
      <c r="H132" s="51" t="s">
        <v>253</v>
      </c>
      <c r="I132" s="51" t="s">
        <v>373</v>
      </c>
      <c r="J132" s="51" t="s">
        <v>248</v>
      </c>
      <c r="K132" s="51" t="s">
        <v>197</v>
      </c>
      <c r="L132" s="51" t="s">
        <v>566</v>
      </c>
      <c r="M132" s="52">
        <v>46251</v>
      </c>
      <c r="N132" s="52">
        <v>46230</v>
      </c>
      <c r="O132" s="52">
        <v>46283</v>
      </c>
      <c r="P132" s="52">
        <v>46239</v>
      </c>
      <c r="Q132" s="51" t="s">
        <v>58</v>
      </c>
      <c r="R132" s="51" t="s">
        <v>224</v>
      </c>
      <c r="S132" s="51" t="s">
        <v>226</v>
      </c>
      <c r="T132" s="51" t="s">
        <v>227</v>
      </c>
      <c r="U132" s="51" t="s">
        <v>229</v>
      </c>
      <c r="V132" s="51" t="s">
        <v>230</v>
      </c>
      <c r="W132" s="51" t="s">
        <v>231</v>
      </c>
      <c r="X132" s="51" t="s">
        <v>232</v>
      </c>
      <c r="Y132" s="51" t="s">
        <v>233</v>
      </c>
      <c r="Z132" s="51"/>
      <c r="AA132" s="51" t="s">
        <v>488</v>
      </c>
      <c r="AB132" s="51"/>
    </row>
    <row r="133" spans="1:28" ht="20.100000000000001" hidden="1" customHeight="1" x14ac:dyDescent="0.25">
      <c r="A133" s="51">
        <v>1041</v>
      </c>
      <c r="B133" s="51" t="s">
        <v>63</v>
      </c>
      <c r="C133" s="51" t="s">
        <v>579</v>
      </c>
      <c r="D133" s="51"/>
      <c r="E133" s="51" t="s">
        <v>259</v>
      </c>
      <c r="F133" s="51">
        <v>1</v>
      </c>
      <c r="G133" s="51" t="s">
        <v>260</v>
      </c>
      <c r="H133" s="51" t="s">
        <v>252</v>
      </c>
      <c r="I133" s="51" t="s">
        <v>371</v>
      </c>
      <c r="J133" s="51" t="s">
        <v>204</v>
      </c>
      <c r="K133" s="51" t="s">
        <v>209</v>
      </c>
      <c r="L133" s="51" t="s">
        <v>580</v>
      </c>
      <c r="M133" s="51" t="s">
        <v>63</v>
      </c>
      <c r="N133" s="51" t="s">
        <v>63</v>
      </c>
      <c r="O133" s="52">
        <v>46409</v>
      </c>
      <c r="P133" s="52">
        <v>46388</v>
      </c>
      <c r="Q133" s="51" t="s">
        <v>58</v>
      </c>
      <c r="R133" s="51" t="s">
        <v>369</v>
      </c>
      <c r="S133" s="51" t="s">
        <v>225</v>
      </c>
      <c r="T133" s="51" t="s">
        <v>224</v>
      </c>
      <c r="U133" s="51" t="s">
        <v>228</v>
      </c>
      <c r="V133" s="51"/>
      <c r="W133" s="51"/>
      <c r="X133" s="51"/>
      <c r="Y133" s="51"/>
      <c r="Z133" s="51"/>
      <c r="AA133" s="51" t="s">
        <v>200</v>
      </c>
      <c r="AB133" s="51"/>
    </row>
    <row r="134" spans="1:28" ht="20.100000000000001" hidden="1" customHeight="1" x14ac:dyDescent="0.25">
      <c r="A134" s="51">
        <v>1041</v>
      </c>
      <c r="B134" s="51" t="s">
        <v>63</v>
      </c>
      <c r="C134" s="51" t="s">
        <v>579</v>
      </c>
      <c r="D134" s="51">
        <v>6842</v>
      </c>
      <c r="E134" s="51" t="s">
        <v>259</v>
      </c>
      <c r="F134" s="51">
        <v>1</v>
      </c>
      <c r="G134" s="51" t="s">
        <v>260</v>
      </c>
      <c r="H134" s="51" t="s">
        <v>253</v>
      </c>
      <c r="I134" s="51" t="s">
        <v>450</v>
      </c>
      <c r="J134" s="51" t="s">
        <v>204</v>
      </c>
      <c r="K134" s="51" t="s">
        <v>197</v>
      </c>
      <c r="L134" s="51" t="s">
        <v>581</v>
      </c>
      <c r="M134" s="52">
        <v>46255</v>
      </c>
      <c r="N134" s="52">
        <v>46230</v>
      </c>
      <c r="O134" s="52">
        <v>46316</v>
      </c>
      <c r="P134" s="52">
        <v>46239</v>
      </c>
      <c r="Q134" s="51" t="s">
        <v>58</v>
      </c>
      <c r="R134" s="51" t="s">
        <v>224</v>
      </c>
      <c r="S134" s="51" t="s">
        <v>226</v>
      </c>
      <c r="T134" s="51" t="s">
        <v>227</v>
      </c>
      <c r="U134" s="51" t="s">
        <v>229</v>
      </c>
      <c r="V134" s="51" t="s">
        <v>230</v>
      </c>
      <c r="W134" s="51" t="s">
        <v>231</v>
      </c>
      <c r="X134" s="51" t="s">
        <v>228</v>
      </c>
      <c r="Y134" s="51" t="s">
        <v>232</v>
      </c>
      <c r="Z134" s="51" t="s">
        <v>233</v>
      </c>
      <c r="AA134" s="51" t="s">
        <v>488</v>
      </c>
      <c r="AB134" s="51"/>
    </row>
    <row r="135" spans="1:28" ht="20.100000000000001" hidden="1" customHeight="1" x14ac:dyDescent="0.25">
      <c r="A135" s="51">
        <v>1041</v>
      </c>
      <c r="B135" s="51" t="s">
        <v>63</v>
      </c>
      <c r="C135" s="51" t="s">
        <v>579</v>
      </c>
      <c r="D135" s="51"/>
      <c r="E135" s="51" t="s">
        <v>259</v>
      </c>
      <c r="F135" s="51">
        <v>1</v>
      </c>
      <c r="G135" s="51" t="s">
        <v>260</v>
      </c>
      <c r="H135" s="51" t="s">
        <v>253</v>
      </c>
      <c r="I135" s="51" t="s">
        <v>373</v>
      </c>
      <c r="J135" s="51" t="s">
        <v>204</v>
      </c>
      <c r="K135" s="51" t="s">
        <v>209</v>
      </c>
      <c r="L135" s="51" t="s">
        <v>582</v>
      </c>
      <c r="M135" s="51" t="s">
        <v>63</v>
      </c>
      <c r="N135" s="51" t="s">
        <v>63</v>
      </c>
      <c r="O135" s="52">
        <v>46423</v>
      </c>
      <c r="P135" s="52">
        <v>46388</v>
      </c>
      <c r="Q135" s="51" t="s">
        <v>58</v>
      </c>
      <c r="R135" s="51" t="s">
        <v>369</v>
      </c>
      <c r="S135" s="51" t="s">
        <v>225</v>
      </c>
      <c r="T135" s="51" t="s">
        <v>224</v>
      </c>
      <c r="U135" s="51" t="s">
        <v>228</v>
      </c>
      <c r="V135" s="51"/>
      <c r="W135" s="51"/>
      <c r="X135" s="51"/>
      <c r="Y135" s="51"/>
      <c r="Z135" s="51"/>
      <c r="AA135" s="51" t="s">
        <v>200</v>
      </c>
      <c r="AB135" s="51"/>
    </row>
    <row r="136" spans="1:28" ht="20.100000000000001" hidden="1" customHeight="1" x14ac:dyDescent="0.25">
      <c r="A136" s="51">
        <v>1041</v>
      </c>
      <c r="B136" s="51" t="s">
        <v>63</v>
      </c>
      <c r="C136" s="51" t="s">
        <v>579</v>
      </c>
      <c r="D136" s="51"/>
      <c r="E136" s="51" t="s">
        <v>259</v>
      </c>
      <c r="F136" s="51">
        <v>1</v>
      </c>
      <c r="G136" s="51" t="s">
        <v>267</v>
      </c>
      <c r="H136" s="51" t="s">
        <v>252</v>
      </c>
      <c r="I136" s="51" t="s">
        <v>371</v>
      </c>
      <c r="J136" s="51" t="s">
        <v>205</v>
      </c>
      <c r="K136" s="51" t="s">
        <v>209</v>
      </c>
      <c r="L136" s="51">
        <v>26</v>
      </c>
      <c r="M136" s="51" t="s">
        <v>63</v>
      </c>
      <c r="N136" s="51" t="s">
        <v>63</v>
      </c>
      <c r="O136" s="52">
        <v>46409</v>
      </c>
      <c r="P136" s="52">
        <v>46388</v>
      </c>
      <c r="Q136" s="51" t="s">
        <v>58</v>
      </c>
      <c r="R136" s="51" t="s">
        <v>369</v>
      </c>
      <c r="S136" s="51" t="s">
        <v>225</v>
      </c>
      <c r="T136" s="51" t="s">
        <v>224</v>
      </c>
      <c r="U136" s="51" t="s">
        <v>228</v>
      </c>
      <c r="V136" s="51"/>
      <c r="W136" s="51"/>
      <c r="X136" s="51"/>
      <c r="Y136" s="51"/>
      <c r="Z136" s="51"/>
      <c r="AA136" s="51" t="s">
        <v>200</v>
      </c>
      <c r="AB136" s="51"/>
    </row>
    <row r="137" spans="1:28" ht="20.100000000000001" hidden="1" customHeight="1" x14ac:dyDescent="0.25">
      <c r="A137" s="51">
        <v>1041</v>
      </c>
      <c r="B137" s="51" t="s">
        <v>63</v>
      </c>
      <c r="C137" s="51" t="s">
        <v>579</v>
      </c>
      <c r="D137" s="51"/>
      <c r="E137" s="51" t="s">
        <v>259</v>
      </c>
      <c r="F137" s="51">
        <v>1</v>
      </c>
      <c r="G137" s="51" t="s">
        <v>267</v>
      </c>
      <c r="H137" s="51" t="s">
        <v>252</v>
      </c>
      <c r="I137" s="51" t="s">
        <v>450</v>
      </c>
      <c r="J137" s="51" t="s">
        <v>205</v>
      </c>
      <c r="K137" s="51" t="s">
        <v>209</v>
      </c>
      <c r="L137" s="51">
        <v>12</v>
      </c>
      <c r="M137" s="51" t="s">
        <v>63</v>
      </c>
      <c r="N137" s="51" t="s">
        <v>63</v>
      </c>
      <c r="O137" s="52">
        <v>46285</v>
      </c>
      <c r="P137" s="52">
        <v>46388</v>
      </c>
      <c r="Q137" s="51" t="s">
        <v>58</v>
      </c>
      <c r="R137" s="51" t="s">
        <v>369</v>
      </c>
      <c r="S137" s="51" t="s">
        <v>225</v>
      </c>
      <c r="T137" s="51" t="s">
        <v>224</v>
      </c>
      <c r="U137" s="51" t="s">
        <v>228</v>
      </c>
      <c r="V137" s="51"/>
      <c r="W137" s="51"/>
      <c r="X137" s="51"/>
      <c r="Y137" s="51"/>
      <c r="Z137" s="51"/>
      <c r="AA137" s="51" t="s">
        <v>200</v>
      </c>
      <c r="AB137" s="51"/>
    </row>
    <row r="138" spans="1:28" ht="20.100000000000001" hidden="1" customHeight="1" x14ac:dyDescent="0.25">
      <c r="A138" s="51">
        <v>1041</v>
      </c>
      <c r="B138" s="51" t="s">
        <v>63</v>
      </c>
      <c r="C138" s="51" t="s">
        <v>579</v>
      </c>
      <c r="D138" s="51">
        <v>6845</v>
      </c>
      <c r="E138" s="51" t="s">
        <v>259</v>
      </c>
      <c r="F138" s="51">
        <v>1</v>
      </c>
      <c r="G138" s="51" t="s">
        <v>267</v>
      </c>
      <c r="H138" s="51" t="s">
        <v>252</v>
      </c>
      <c r="I138" s="51" t="s">
        <v>373</v>
      </c>
      <c r="J138" s="51" t="s">
        <v>205</v>
      </c>
      <c r="K138" s="51" t="s">
        <v>197</v>
      </c>
      <c r="L138" s="51">
        <v>34</v>
      </c>
      <c r="M138" s="52">
        <v>46255</v>
      </c>
      <c r="N138" s="51" t="s">
        <v>63</v>
      </c>
      <c r="O138" s="52">
        <v>46297</v>
      </c>
      <c r="P138" s="52">
        <v>46239</v>
      </c>
      <c r="Q138" s="51" t="s">
        <v>58</v>
      </c>
      <c r="R138" s="51" t="s">
        <v>224</v>
      </c>
      <c r="S138" s="51" t="s">
        <v>232</v>
      </c>
      <c r="T138" s="51" t="s">
        <v>228</v>
      </c>
      <c r="U138" s="51" t="s">
        <v>233</v>
      </c>
      <c r="V138" s="51"/>
      <c r="W138" s="51"/>
      <c r="X138" s="51"/>
      <c r="Y138" s="51"/>
      <c r="Z138" s="51"/>
      <c r="AA138" s="51" t="s">
        <v>48</v>
      </c>
      <c r="AB138" s="51"/>
    </row>
    <row r="139" spans="1:28" ht="20.100000000000001" hidden="1" customHeight="1" x14ac:dyDescent="0.25">
      <c r="A139" s="51">
        <v>1041</v>
      </c>
      <c r="B139" s="51" t="s">
        <v>63</v>
      </c>
      <c r="C139" s="51" t="s">
        <v>579</v>
      </c>
      <c r="D139" s="51"/>
      <c r="E139" s="51" t="s">
        <v>259</v>
      </c>
      <c r="F139" s="51">
        <v>1</v>
      </c>
      <c r="G139" s="51" t="s">
        <v>267</v>
      </c>
      <c r="H139" s="51" t="s">
        <v>252</v>
      </c>
      <c r="I139" s="51" t="s">
        <v>371</v>
      </c>
      <c r="J139" s="51" t="s">
        <v>206</v>
      </c>
      <c r="K139" s="51" t="s">
        <v>209</v>
      </c>
      <c r="L139" s="51">
        <v>9</v>
      </c>
      <c r="M139" s="51" t="s">
        <v>63</v>
      </c>
      <c r="N139" s="51" t="s">
        <v>63</v>
      </c>
      <c r="O139" s="52">
        <v>46410</v>
      </c>
      <c r="P139" s="52">
        <v>46388</v>
      </c>
      <c r="Q139" s="51" t="s">
        <v>58</v>
      </c>
      <c r="R139" s="51" t="s">
        <v>369</v>
      </c>
      <c r="S139" s="51" t="s">
        <v>225</v>
      </c>
      <c r="T139" s="51" t="s">
        <v>224</v>
      </c>
      <c r="U139" s="51" t="s">
        <v>228</v>
      </c>
      <c r="V139" s="51"/>
      <c r="W139" s="51"/>
      <c r="X139" s="51"/>
      <c r="Y139" s="51"/>
      <c r="Z139" s="51"/>
      <c r="AA139" s="51" t="s">
        <v>200</v>
      </c>
      <c r="AB139" s="51"/>
    </row>
    <row r="140" spans="1:28" ht="20.100000000000001" hidden="1" customHeight="1" x14ac:dyDescent="0.25">
      <c r="A140" s="51">
        <v>1041</v>
      </c>
      <c r="B140" s="51" t="s">
        <v>63</v>
      </c>
      <c r="C140" s="51" t="s">
        <v>579</v>
      </c>
      <c r="D140" s="51">
        <v>6846</v>
      </c>
      <c r="E140" s="51" t="s">
        <v>259</v>
      </c>
      <c r="F140" s="51">
        <v>1</v>
      </c>
      <c r="G140" s="51" t="s">
        <v>267</v>
      </c>
      <c r="H140" s="51" t="s">
        <v>252</v>
      </c>
      <c r="I140" s="51" t="s">
        <v>450</v>
      </c>
      <c r="J140" s="51" t="s">
        <v>206</v>
      </c>
      <c r="K140" s="51" t="s">
        <v>197</v>
      </c>
      <c r="L140" s="51">
        <v>21</v>
      </c>
      <c r="M140" s="52">
        <v>46255</v>
      </c>
      <c r="N140" s="51" t="s">
        <v>63</v>
      </c>
      <c r="O140" s="52">
        <v>46285</v>
      </c>
      <c r="P140" s="52">
        <v>46239</v>
      </c>
      <c r="Q140" s="51" t="s">
        <v>58</v>
      </c>
      <c r="R140" s="51" t="s">
        <v>224</v>
      </c>
      <c r="S140" s="51" t="s">
        <v>232</v>
      </c>
      <c r="T140" s="51" t="s">
        <v>228</v>
      </c>
      <c r="U140" s="51" t="s">
        <v>233</v>
      </c>
      <c r="V140" s="51"/>
      <c r="W140" s="51"/>
      <c r="X140" s="51"/>
      <c r="Y140" s="51"/>
      <c r="Z140" s="51"/>
      <c r="AA140" s="51" t="s">
        <v>48</v>
      </c>
      <c r="AB140" s="51"/>
    </row>
    <row r="141" spans="1:28" ht="20.100000000000001" hidden="1" customHeight="1" x14ac:dyDescent="0.25">
      <c r="A141" s="51">
        <v>1041</v>
      </c>
      <c r="B141" s="51" t="s">
        <v>63</v>
      </c>
      <c r="C141" s="51" t="s">
        <v>579</v>
      </c>
      <c r="D141" s="51">
        <v>6847</v>
      </c>
      <c r="E141" s="51" t="s">
        <v>259</v>
      </c>
      <c r="F141" s="51">
        <v>1</v>
      </c>
      <c r="G141" s="51" t="s">
        <v>267</v>
      </c>
      <c r="H141" s="51" t="s">
        <v>252</v>
      </c>
      <c r="I141" s="51" t="s">
        <v>373</v>
      </c>
      <c r="J141" s="51" t="s">
        <v>206</v>
      </c>
      <c r="K141" s="51" t="s">
        <v>197</v>
      </c>
      <c r="L141" s="51">
        <v>16</v>
      </c>
      <c r="M141" s="52">
        <v>46255</v>
      </c>
      <c r="N141" s="51" t="s">
        <v>63</v>
      </c>
      <c r="O141" s="52">
        <v>46297</v>
      </c>
      <c r="P141" s="52">
        <v>46239</v>
      </c>
      <c r="Q141" s="51" t="s">
        <v>58</v>
      </c>
      <c r="R141" s="51" t="s">
        <v>224</v>
      </c>
      <c r="S141" s="51" t="s">
        <v>232</v>
      </c>
      <c r="T141" s="51" t="s">
        <v>228</v>
      </c>
      <c r="U141" s="51" t="s">
        <v>233</v>
      </c>
      <c r="V141" s="51"/>
      <c r="W141" s="51"/>
      <c r="X141" s="51"/>
      <c r="Y141" s="51"/>
      <c r="Z141" s="51"/>
      <c r="AA141" s="51" t="s">
        <v>48</v>
      </c>
      <c r="AB141" s="51"/>
    </row>
    <row r="142" spans="1:28" ht="20.100000000000001" hidden="1" customHeight="1" x14ac:dyDescent="0.25">
      <c r="A142" s="51">
        <v>1041</v>
      </c>
      <c r="B142" s="51" t="s">
        <v>63</v>
      </c>
      <c r="C142" s="51" t="s">
        <v>579</v>
      </c>
      <c r="D142" s="51"/>
      <c r="E142" s="51" t="s">
        <v>259</v>
      </c>
      <c r="F142" s="51">
        <v>1</v>
      </c>
      <c r="G142" s="51" t="s">
        <v>267</v>
      </c>
      <c r="H142" s="51" t="s">
        <v>252</v>
      </c>
      <c r="I142" s="51" t="s">
        <v>371</v>
      </c>
      <c r="J142" s="51" t="s">
        <v>207</v>
      </c>
      <c r="K142" s="51" t="s">
        <v>209</v>
      </c>
      <c r="L142" s="51">
        <v>20</v>
      </c>
      <c r="M142" s="51" t="s">
        <v>63</v>
      </c>
      <c r="N142" s="51" t="s">
        <v>63</v>
      </c>
      <c r="O142" s="52">
        <v>46275</v>
      </c>
      <c r="P142" s="52">
        <v>46388</v>
      </c>
      <c r="Q142" s="51" t="s">
        <v>58</v>
      </c>
      <c r="R142" s="51" t="s">
        <v>369</v>
      </c>
      <c r="S142" s="51" t="s">
        <v>225</v>
      </c>
      <c r="T142" s="51" t="s">
        <v>224</v>
      </c>
      <c r="U142" s="51" t="s">
        <v>228</v>
      </c>
      <c r="V142" s="51"/>
      <c r="W142" s="51"/>
      <c r="X142" s="51"/>
      <c r="Y142" s="51"/>
      <c r="Z142" s="51"/>
      <c r="AA142" s="51" t="s">
        <v>200</v>
      </c>
      <c r="AB142" s="51"/>
    </row>
    <row r="143" spans="1:28" ht="20.100000000000001" hidden="1" customHeight="1" x14ac:dyDescent="0.25">
      <c r="A143" s="51">
        <v>1041</v>
      </c>
      <c r="B143" s="51" t="s">
        <v>63</v>
      </c>
      <c r="C143" s="51" t="s">
        <v>579</v>
      </c>
      <c r="D143" s="51">
        <v>6848</v>
      </c>
      <c r="E143" s="51" t="s">
        <v>259</v>
      </c>
      <c r="F143" s="51">
        <v>1</v>
      </c>
      <c r="G143" s="51" t="s">
        <v>267</v>
      </c>
      <c r="H143" s="51" t="s">
        <v>252</v>
      </c>
      <c r="I143" s="51" t="s">
        <v>450</v>
      </c>
      <c r="J143" s="51" t="s">
        <v>207</v>
      </c>
      <c r="K143" s="51" t="s">
        <v>197</v>
      </c>
      <c r="L143" s="51">
        <v>28</v>
      </c>
      <c r="M143" s="52">
        <v>46255</v>
      </c>
      <c r="N143" s="51" t="s">
        <v>63</v>
      </c>
      <c r="O143" s="52">
        <v>46285</v>
      </c>
      <c r="P143" s="52">
        <v>46239</v>
      </c>
      <c r="Q143" s="51" t="s">
        <v>58</v>
      </c>
      <c r="R143" s="51" t="s">
        <v>224</v>
      </c>
      <c r="S143" s="51" t="s">
        <v>232</v>
      </c>
      <c r="T143" s="51" t="s">
        <v>228</v>
      </c>
      <c r="U143" s="51" t="s">
        <v>233</v>
      </c>
      <c r="V143" s="51"/>
      <c r="W143" s="51"/>
      <c r="X143" s="51"/>
      <c r="Y143" s="51"/>
      <c r="Z143" s="51"/>
      <c r="AA143" s="51" t="s">
        <v>48</v>
      </c>
      <c r="AB143" s="51"/>
    </row>
    <row r="144" spans="1:28" ht="20.100000000000001" hidden="1" customHeight="1" x14ac:dyDescent="0.25">
      <c r="A144" s="51">
        <v>1041</v>
      </c>
      <c r="B144" s="51" t="s">
        <v>63</v>
      </c>
      <c r="C144" s="51" t="s">
        <v>579</v>
      </c>
      <c r="D144" s="51"/>
      <c r="E144" s="51" t="s">
        <v>259</v>
      </c>
      <c r="F144" s="51">
        <v>1</v>
      </c>
      <c r="G144" s="51" t="s">
        <v>267</v>
      </c>
      <c r="H144" s="51" t="s">
        <v>252</v>
      </c>
      <c r="I144" s="51" t="s">
        <v>373</v>
      </c>
      <c r="J144" s="51" t="s">
        <v>207</v>
      </c>
      <c r="K144" s="51" t="s">
        <v>209</v>
      </c>
      <c r="L144" s="51">
        <v>37</v>
      </c>
      <c r="M144" s="51" t="s">
        <v>63</v>
      </c>
      <c r="N144" s="51" t="s">
        <v>63</v>
      </c>
      <c r="O144" s="52">
        <v>46429</v>
      </c>
      <c r="P144" s="52">
        <v>46388</v>
      </c>
      <c r="Q144" s="51" t="s">
        <v>58</v>
      </c>
      <c r="R144" s="51" t="s">
        <v>369</v>
      </c>
      <c r="S144" s="51" t="s">
        <v>225</v>
      </c>
      <c r="T144" s="51" t="s">
        <v>224</v>
      </c>
      <c r="U144" s="51" t="s">
        <v>228</v>
      </c>
      <c r="V144" s="51"/>
      <c r="W144" s="51"/>
      <c r="X144" s="51"/>
      <c r="Y144" s="51"/>
      <c r="Z144" s="51"/>
      <c r="AA144" s="51" t="s">
        <v>200</v>
      </c>
      <c r="AB144" s="51"/>
    </row>
    <row r="145" spans="1:28" ht="20.100000000000001" hidden="1" customHeight="1" x14ac:dyDescent="0.25">
      <c r="A145" s="51">
        <v>1041</v>
      </c>
      <c r="B145" s="51" t="s">
        <v>63</v>
      </c>
      <c r="C145" s="51" t="s">
        <v>579</v>
      </c>
      <c r="D145" s="51"/>
      <c r="E145" s="51" t="s">
        <v>259</v>
      </c>
      <c r="F145" s="51">
        <v>1</v>
      </c>
      <c r="G145" s="51" t="s">
        <v>267</v>
      </c>
      <c r="H145" s="51" t="s">
        <v>252</v>
      </c>
      <c r="I145" s="51" t="s">
        <v>371</v>
      </c>
      <c r="J145" s="51" t="s">
        <v>208</v>
      </c>
      <c r="K145" s="51" t="s">
        <v>209</v>
      </c>
      <c r="L145" s="51">
        <v>35</v>
      </c>
      <c r="M145" s="51" t="s">
        <v>63</v>
      </c>
      <c r="N145" s="51" t="s">
        <v>63</v>
      </c>
      <c r="O145" s="52">
        <v>46415</v>
      </c>
      <c r="P145" s="52">
        <v>46388</v>
      </c>
      <c r="Q145" s="51" t="s">
        <v>58</v>
      </c>
      <c r="R145" s="51" t="s">
        <v>369</v>
      </c>
      <c r="S145" s="51" t="s">
        <v>225</v>
      </c>
      <c r="T145" s="51" t="s">
        <v>224</v>
      </c>
      <c r="U145" s="51" t="s">
        <v>228</v>
      </c>
      <c r="V145" s="51"/>
      <c r="W145" s="51"/>
      <c r="X145" s="51"/>
      <c r="Y145" s="51"/>
      <c r="Z145" s="51"/>
      <c r="AA145" s="51" t="s">
        <v>200</v>
      </c>
      <c r="AB145" s="51"/>
    </row>
    <row r="146" spans="1:28" ht="20.100000000000001" hidden="1" customHeight="1" x14ac:dyDescent="0.25">
      <c r="A146" s="51">
        <v>1041</v>
      </c>
      <c r="B146" s="51" t="s">
        <v>63</v>
      </c>
      <c r="C146" s="51" t="s">
        <v>579</v>
      </c>
      <c r="D146" s="51"/>
      <c r="E146" s="51" t="s">
        <v>259</v>
      </c>
      <c r="F146" s="51">
        <v>1</v>
      </c>
      <c r="G146" s="51" t="s">
        <v>267</v>
      </c>
      <c r="H146" s="51" t="s">
        <v>252</v>
      </c>
      <c r="I146" s="51" t="s">
        <v>450</v>
      </c>
      <c r="J146" s="51" t="s">
        <v>208</v>
      </c>
      <c r="K146" s="51" t="s">
        <v>209</v>
      </c>
      <c r="L146" s="51">
        <v>5</v>
      </c>
      <c r="M146" s="51" t="s">
        <v>63</v>
      </c>
      <c r="N146" s="51" t="s">
        <v>63</v>
      </c>
      <c r="O146" s="52">
        <v>46419</v>
      </c>
      <c r="P146" s="52">
        <v>46388</v>
      </c>
      <c r="Q146" s="51" t="s">
        <v>58</v>
      </c>
      <c r="R146" s="51" t="s">
        <v>369</v>
      </c>
      <c r="S146" s="51" t="s">
        <v>225</v>
      </c>
      <c r="T146" s="51" t="s">
        <v>224</v>
      </c>
      <c r="U146" s="51" t="s">
        <v>228</v>
      </c>
      <c r="V146" s="51"/>
      <c r="W146" s="51"/>
      <c r="X146" s="51"/>
      <c r="Y146" s="51"/>
      <c r="Z146" s="51"/>
      <c r="AA146" s="51" t="s">
        <v>200</v>
      </c>
      <c r="AB146" s="51"/>
    </row>
    <row r="147" spans="1:28" ht="20.100000000000001" hidden="1" customHeight="1" x14ac:dyDescent="0.25">
      <c r="A147" s="51">
        <v>1041</v>
      </c>
      <c r="B147" s="51" t="s">
        <v>63</v>
      </c>
      <c r="C147" s="51" t="s">
        <v>579</v>
      </c>
      <c r="D147" s="51"/>
      <c r="E147" s="51" t="s">
        <v>259</v>
      </c>
      <c r="F147" s="51">
        <v>1</v>
      </c>
      <c r="G147" s="51" t="s">
        <v>267</v>
      </c>
      <c r="H147" s="51" t="s">
        <v>252</v>
      </c>
      <c r="I147" s="51" t="s">
        <v>373</v>
      </c>
      <c r="J147" s="51" t="s">
        <v>208</v>
      </c>
      <c r="K147" s="51" t="s">
        <v>209</v>
      </c>
      <c r="L147" s="51">
        <v>23</v>
      </c>
      <c r="M147" s="51" t="s">
        <v>63</v>
      </c>
      <c r="N147" s="51" t="s">
        <v>63</v>
      </c>
      <c r="O147" s="52">
        <v>46429</v>
      </c>
      <c r="P147" s="52">
        <v>46388</v>
      </c>
      <c r="Q147" s="51" t="s">
        <v>58</v>
      </c>
      <c r="R147" s="51" t="s">
        <v>369</v>
      </c>
      <c r="S147" s="51" t="s">
        <v>225</v>
      </c>
      <c r="T147" s="51" t="s">
        <v>224</v>
      </c>
      <c r="U147" s="51" t="s">
        <v>228</v>
      </c>
      <c r="V147" s="51"/>
      <c r="W147" s="51"/>
      <c r="X147" s="51"/>
      <c r="Y147" s="51"/>
      <c r="Z147" s="51"/>
      <c r="AA147" s="51" t="s">
        <v>200</v>
      </c>
      <c r="AB147" s="51"/>
    </row>
    <row r="148" spans="1:28" ht="20.100000000000001" hidden="1" customHeight="1" x14ac:dyDescent="0.25">
      <c r="A148" s="51">
        <v>1041</v>
      </c>
      <c r="B148" s="51" t="s">
        <v>63</v>
      </c>
      <c r="C148" s="51" t="s">
        <v>579</v>
      </c>
      <c r="D148" s="51"/>
      <c r="E148" s="51" t="s">
        <v>259</v>
      </c>
      <c r="F148" s="51">
        <v>1</v>
      </c>
      <c r="G148" s="51" t="s">
        <v>263</v>
      </c>
      <c r="H148" s="51" t="s">
        <v>252</v>
      </c>
      <c r="I148" s="51" t="s">
        <v>371</v>
      </c>
      <c r="J148" s="51" t="s">
        <v>248</v>
      </c>
      <c r="K148" s="51" t="s">
        <v>209</v>
      </c>
      <c r="L148" s="51" t="s">
        <v>583</v>
      </c>
      <c r="M148" s="51" t="s">
        <v>63</v>
      </c>
      <c r="N148" s="51" t="s">
        <v>63</v>
      </c>
      <c r="O148" s="52">
        <v>46419</v>
      </c>
      <c r="P148" s="52">
        <v>46388</v>
      </c>
      <c r="Q148" s="51" t="s">
        <v>58</v>
      </c>
      <c r="R148" s="51" t="s">
        <v>369</v>
      </c>
      <c r="S148" s="51" t="s">
        <v>225</v>
      </c>
      <c r="T148" s="51" t="s">
        <v>224</v>
      </c>
      <c r="U148" s="51" t="s">
        <v>228</v>
      </c>
      <c r="V148" s="51"/>
      <c r="W148" s="51"/>
      <c r="X148" s="51"/>
      <c r="Y148" s="51"/>
      <c r="Z148" s="51"/>
      <c r="AA148" s="51" t="s">
        <v>200</v>
      </c>
      <c r="AB148" s="51"/>
    </row>
    <row r="149" spans="1:28" ht="20.100000000000001" hidden="1" customHeight="1" x14ac:dyDescent="0.25">
      <c r="A149" s="51">
        <v>1041</v>
      </c>
      <c r="B149" s="51" t="s">
        <v>63</v>
      </c>
      <c r="C149" s="51" t="s">
        <v>579</v>
      </c>
      <c r="D149" s="51"/>
      <c r="E149" s="51" t="s">
        <v>259</v>
      </c>
      <c r="F149" s="51">
        <v>1</v>
      </c>
      <c r="G149" s="51" t="s">
        <v>263</v>
      </c>
      <c r="H149" s="51" t="s">
        <v>252</v>
      </c>
      <c r="I149" s="51" t="s">
        <v>450</v>
      </c>
      <c r="J149" s="51" t="s">
        <v>248</v>
      </c>
      <c r="K149" s="51" t="s">
        <v>209</v>
      </c>
      <c r="L149" s="51" t="s">
        <v>584</v>
      </c>
      <c r="M149" s="51" t="s">
        <v>63</v>
      </c>
      <c r="N149" s="51" t="s">
        <v>63</v>
      </c>
      <c r="O149" s="52">
        <v>46419</v>
      </c>
      <c r="P149" s="52">
        <v>46388</v>
      </c>
      <c r="Q149" s="51" t="s">
        <v>58</v>
      </c>
      <c r="R149" s="51" t="s">
        <v>369</v>
      </c>
      <c r="S149" s="51" t="s">
        <v>225</v>
      </c>
      <c r="T149" s="51" t="s">
        <v>224</v>
      </c>
      <c r="U149" s="51" t="s">
        <v>228</v>
      </c>
      <c r="V149" s="51"/>
      <c r="W149" s="51"/>
      <c r="X149" s="51"/>
      <c r="Y149" s="51"/>
      <c r="Z149" s="51"/>
      <c r="AA149" s="51" t="s">
        <v>200</v>
      </c>
      <c r="AB149" s="51"/>
    </row>
    <row r="150" spans="1:28" ht="20.100000000000001" hidden="1" customHeight="1" x14ac:dyDescent="0.25">
      <c r="A150" s="51">
        <v>1041</v>
      </c>
      <c r="B150" s="51" t="s">
        <v>63</v>
      </c>
      <c r="C150" s="51" t="s">
        <v>579</v>
      </c>
      <c r="D150" s="51">
        <v>6843</v>
      </c>
      <c r="E150" s="51" t="s">
        <v>259</v>
      </c>
      <c r="F150" s="51">
        <v>1</v>
      </c>
      <c r="G150" s="51" t="s">
        <v>263</v>
      </c>
      <c r="H150" s="51" t="s">
        <v>253</v>
      </c>
      <c r="I150" s="51" t="s">
        <v>373</v>
      </c>
      <c r="J150" s="51" t="s">
        <v>248</v>
      </c>
      <c r="K150" s="51" t="s">
        <v>197</v>
      </c>
      <c r="L150" s="51" t="s">
        <v>585</v>
      </c>
      <c r="M150" s="52">
        <v>46255</v>
      </c>
      <c r="N150" s="51" t="s">
        <v>63</v>
      </c>
      <c r="O150" s="52">
        <v>46316</v>
      </c>
      <c r="P150" s="52">
        <v>46239</v>
      </c>
      <c r="Q150" s="51" t="s">
        <v>58</v>
      </c>
      <c r="R150" s="51" t="s">
        <v>224</v>
      </c>
      <c r="S150" s="51" t="s">
        <v>226</v>
      </c>
      <c r="T150" s="51" t="s">
        <v>227</v>
      </c>
      <c r="U150" s="51" t="s">
        <v>229</v>
      </c>
      <c r="V150" s="51" t="s">
        <v>230</v>
      </c>
      <c r="W150" s="51" t="s">
        <v>231</v>
      </c>
      <c r="X150" s="51" t="s">
        <v>228</v>
      </c>
      <c r="Y150" s="51" t="s">
        <v>232</v>
      </c>
      <c r="Z150" s="51" t="s">
        <v>233</v>
      </c>
      <c r="AA150" s="51" t="s">
        <v>48</v>
      </c>
      <c r="AB150" s="51"/>
    </row>
    <row r="151" spans="1:28" ht="20.100000000000001" hidden="1" customHeight="1" x14ac:dyDescent="0.25">
      <c r="A151" s="51">
        <v>2353</v>
      </c>
      <c r="B151" s="51">
        <v>2</v>
      </c>
      <c r="C151" s="51" t="s">
        <v>598</v>
      </c>
      <c r="D151" s="111">
        <v>6867</v>
      </c>
      <c r="E151" s="51" t="s">
        <v>259</v>
      </c>
      <c r="F151" s="51">
        <v>1</v>
      </c>
      <c r="G151" s="83" t="s">
        <v>268</v>
      </c>
      <c r="H151" s="51" t="s">
        <v>63</v>
      </c>
      <c r="I151" s="51" t="s">
        <v>63</v>
      </c>
      <c r="J151" s="51" t="s">
        <v>63</v>
      </c>
      <c r="K151" s="51" t="s">
        <v>594</v>
      </c>
      <c r="L151" s="51" t="s">
        <v>63</v>
      </c>
      <c r="M151" s="107">
        <v>46254</v>
      </c>
      <c r="N151" s="51"/>
      <c r="O151" s="112">
        <v>46254</v>
      </c>
      <c r="P151" s="51"/>
      <c r="Q151" s="51" t="s">
        <v>63</v>
      </c>
      <c r="R151" s="51" t="s">
        <v>63</v>
      </c>
      <c r="S151" s="51" t="s">
        <v>63</v>
      </c>
      <c r="T151" s="51" t="s">
        <v>63</v>
      </c>
      <c r="U151" s="51" t="s">
        <v>63</v>
      </c>
      <c r="V151" s="51" t="s">
        <v>63</v>
      </c>
      <c r="W151" s="51" t="s">
        <v>63</v>
      </c>
      <c r="X151" s="51" t="s">
        <v>63</v>
      </c>
      <c r="Y151" s="51" t="s">
        <v>63</v>
      </c>
      <c r="Z151" s="51" t="s">
        <v>63</v>
      </c>
      <c r="AA151" s="51" t="s">
        <v>48</v>
      </c>
      <c r="AB151" s="51"/>
    </row>
    <row r="152" spans="1:28" ht="20.100000000000001" hidden="1" customHeight="1" x14ac:dyDescent="0.25">
      <c r="A152" s="51">
        <v>2353</v>
      </c>
      <c r="B152" s="51">
        <v>3</v>
      </c>
      <c r="C152" s="51" t="s">
        <v>598</v>
      </c>
      <c r="D152" s="111">
        <v>6868</v>
      </c>
      <c r="E152" s="51" t="s">
        <v>259</v>
      </c>
      <c r="F152" s="51">
        <v>1</v>
      </c>
      <c r="G152" s="83" t="s">
        <v>268</v>
      </c>
      <c r="H152" s="51" t="s">
        <v>63</v>
      </c>
      <c r="I152" s="51" t="s">
        <v>63</v>
      </c>
      <c r="J152" s="51" t="s">
        <v>63</v>
      </c>
      <c r="K152" s="51" t="s">
        <v>594</v>
      </c>
      <c r="L152" s="51" t="s">
        <v>63</v>
      </c>
      <c r="M152" s="107">
        <v>46254</v>
      </c>
      <c r="N152" s="51"/>
      <c r="O152" s="112">
        <v>46254</v>
      </c>
      <c r="P152" s="51"/>
      <c r="Q152" s="51" t="s">
        <v>63</v>
      </c>
      <c r="R152" s="51" t="s">
        <v>63</v>
      </c>
      <c r="S152" s="51" t="s">
        <v>63</v>
      </c>
      <c r="T152" s="51" t="s">
        <v>63</v>
      </c>
      <c r="U152" s="51" t="s">
        <v>63</v>
      </c>
      <c r="V152" s="51" t="s">
        <v>63</v>
      </c>
      <c r="W152" s="51" t="s">
        <v>63</v>
      </c>
      <c r="X152" s="51" t="s">
        <v>63</v>
      </c>
      <c r="Y152" s="51" t="s">
        <v>63</v>
      </c>
      <c r="Z152" s="51" t="s">
        <v>63</v>
      </c>
      <c r="AA152" s="51" t="s">
        <v>48</v>
      </c>
      <c r="AB152" s="51"/>
    </row>
    <row r="153" spans="1:28" ht="20.100000000000001" hidden="1" customHeight="1" x14ac:dyDescent="0.25">
      <c r="A153" s="51">
        <v>2353</v>
      </c>
      <c r="B153" s="51">
        <v>4</v>
      </c>
      <c r="C153" s="51" t="s">
        <v>598</v>
      </c>
      <c r="D153" s="111">
        <v>6869</v>
      </c>
      <c r="E153" s="51" t="s">
        <v>259</v>
      </c>
      <c r="F153" s="51">
        <v>1</v>
      </c>
      <c r="G153" s="83" t="s">
        <v>297</v>
      </c>
      <c r="H153" s="51" t="s">
        <v>63</v>
      </c>
      <c r="I153" s="51" t="s">
        <v>63</v>
      </c>
      <c r="J153" s="51" t="s">
        <v>63</v>
      </c>
      <c r="K153" s="51" t="s">
        <v>594</v>
      </c>
      <c r="L153" s="51" t="s">
        <v>63</v>
      </c>
      <c r="M153" s="107">
        <v>46254</v>
      </c>
      <c r="N153" s="51"/>
      <c r="O153" s="112">
        <v>46254</v>
      </c>
      <c r="P153" s="51"/>
      <c r="Q153" s="51" t="s">
        <v>63</v>
      </c>
      <c r="R153" s="51" t="s">
        <v>63</v>
      </c>
      <c r="S153" s="51" t="s">
        <v>63</v>
      </c>
      <c r="T153" s="51" t="s">
        <v>63</v>
      </c>
      <c r="U153" s="51" t="s">
        <v>63</v>
      </c>
      <c r="V153" s="51" t="s">
        <v>63</v>
      </c>
      <c r="W153" s="51" t="s">
        <v>63</v>
      </c>
      <c r="X153" s="51" t="s">
        <v>63</v>
      </c>
      <c r="Y153" s="51" t="s">
        <v>63</v>
      </c>
      <c r="Z153" s="51" t="s">
        <v>63</v>
      </c>
      <c r="AA153" s="51" t="s">
        <v>48</v>
      </c>
      <c r="AB153" s="51"/>
    </row>
    <row r="154" spans="1:28" ht="20.100000000000001" hidden="1" customHeight="1" x14ac:dyDescent="0.25">
      <c r="A154" s="51">
        <v>2353</v>
      </c>
      <c r="B154" s="51">
        <v>5</v>
      </c>
      <c r="C154" s="51" t="s">
        <v>598</v>
      </c>
      <c r="D154" s="111">
        <v>6870</v>
      </c>
      <c r="E154" s="51" t="s">
        <v>259</v>
      </c>
      <c r="F154" s="51">
        <v>1</v>
      </c>
      <c r="G154" s="83" t="s">
        <v>297</v>
      </c>
      <c r="H154" s="51" t="s">
        <v>63</v>
      </c>
      <c r="I154" s="51" t="s">
        <v>63</v>
      </c>
      <c r="J154" s="51" t="s">
        <v>63</v>
      </c>
      <c r="K154" s="51" t="s">
        <v>594</v>
      </c>
      <c r="L154" s="51" t="s">
        <v>63</v>
      </c>
      <c r="M154" s="107">
        <v>46254</v>
      </c>
      <c r="N154" s="51"/>
      <c r="O154" s="112">
        <v>46254</v>
      </c>
      <c r="P154" s="51"/>
      <c r="Q154" s="51" t="s">
        <v>63</v>
      </c>
      <c r="R154" s="51" t="s">
        <v>63</v>
      </c>
      <c r="S154" s="51" t="s">
        <v>63</v>
      </c>
      <c r="T154" s="51" t="s">
        <v>63</v>
      </c>
      <c r="U154" s="51" t="s">
        <v>63</v>
      </c>
      <c r="V154" s="51" t="s">
        <v>63</v>
      </c>
      <c r="W154" s="51" t="s">
        <v>63</v>
      </c>
      <c r="X154" s="51" t="s">
        <v>63</v>
      </c>
      <c r="Y154" s="51" t="s">
        <v>63</v>
      </c>
      <c r="Z154" s="51" t="s">
        <v>63</v>
      </c>
      <c r="AA154" s="51" t="s">
        <v>48</v>
      </c>
      <c r="AB154" s="51"/>
    </row>
    <row r="155" spans="1:28" ht="20.100000000000001" hidden="1" customHeight="1" x14ac:dyDescent="0.25">
      <c r="A155" s="51">
        <v>2353</v>
      </c>
      <c r="B155" s="51">
        <v>6</v>
      </c>
      <c r="C155" s="51" t="s">
        <v>598</v>
      </c>
      <c r="D155" s="111">
        <v>6871</v>
      </c>
      <c r="E155" s="51" t="s">
        <v>259</v>
      </c>
      <c r="F155" s="51">
        <v>1</v>
      </c>
      <c r="G155" s="83" t="s">
        <v>267</v>
      </c>
      <c r="H155" s="51" t="s">
        <v>63</v>
      </c>
      <c r="I155" s="51" t="s">
        <v>63</v>
      </c>
      <c r="J155" s="51" t="s">
        <v>63</v>
      </c>
      <c r="K155" s="51" t="s">
        <v>594</v>
      </c>
      <c r="L155" s="51" t="s">
        <v>63</v>
      </c>
      <c r="M155" s="107">
        <v>46254</v>
      </c>
      <c r="N155" s="51"/>
      <c r="O155" s="112">
        <v>46254</v>
      </c>
      <c r="P155" s="51"/>
      <c r="Q155" s="51" t="s">
        <v>63</v>
      </c>
      <c r="R155" s="51" t="s">
        <v>63</v>
      </c>
      <c r="S155" s="51" t="s">
        <v>63</v>
      </c>
      <c r="T155" s="51" t="s">
        <v>63</v>
      </c>
      <c r="U155" s="51" t="s">
        <v>63</v>
      </c>
      <c r="V155" s="51" t="s">
        <v>63</v>
      </c>
      <c r="W155" s="51" t="s">
        <v>63</v>
      </c>
      <c r="X155" s="51" t="s">
        <v>63</v>
      </c>
      <c r="Y155" s="51" t="s">
        <v>63</v>
      </c>
      <c r="Z155" s="51" t="s">
        <v>63</v>
      </c>
      <c r="AA155" s="51" t="s">
        <v>48</v>
      </c>
      <c r="AB155" s="51"/>
    </row>
    <row r="156" spans="1:28" ht="20.100000000000001" hidden="1" customHeight="1" x14ac:dyDescent="0.25">
      <c r="A156" s="51">
        <v>2353</v>
      </c>
      <c r="B156" s="51">
        <v>7</v>
      </c>
      <c r="C156" s="51" t="s">
        <v>598</v>
      </c>
      <c r="D156" s="111">
        <v>6872</v>
      </c>
      <c r="E156" s="51" t="s">
        <v>259</v>
      </c>
      <c r="F156" s="51">
        <v>1</v>
      </c>
      <c r="G156" s="83" t="s">
        <v>260</v>
      </c>
      <c r="H156" s="51" t="s">
        <v>63</v>
      </c>
      <c r="I156" s="51" t="s">
        <v>63</v>
      </c>
      <c r="J156" s="51" t="s">
        <v>63</v>
      </c>
      <c r="K156" s="51" t="s">
        <v>594</v>
      </c>
      <c r="L156" s="51" t="s">
        <v>63</v>
      </c>
      <c r="M156" s="107">
        <v>46254</v>
      </c>
      <c r="N156" s="51"/>
      <c r="O156" s="112">
        <v>46254</v>
      </c>
      <c r="P156" s="51"/>
      <c r="Q156" s="51" t="s">
        <v>63</v>
      </c>
      <c r="R156" s="51" t="s">
        <v>63</v>
      </c>
      <c r="S156" s="51" t="s">
        <v>63</v>
      </c>
      <c r="T156" s="51" t="s">
        <v>63</v>
      </c>
      <c r="U156" s="51" t="s">
        <v>63</v>
      </c>
      <c r="V156" s="51" t="s">
        <v>63</v>
      </c>
      <c r="W156" s="51" t="s">
        <v>63</v>
      </c>
      <c r="X156" s="51" t="s">
        <v>63</v>
      </c>
      <c r="Y156" s="51" t="s">
        <v>63</v>
      </c>
      <c r="Z156" s="51" t="s">
        <v>63</v>
      </c>
      <c r="AA156" s="51" t="s">
        <v>48</v>
      </c>
      <c r="AB156" s="51"/>
    </row>
    <row r="157" spans="1:28" ht="20.100000000000001" hidden="1" customHeight="1" x14ac:dyDescent="0.25">
      <c r="A157" s="51">
        <v>2353</v>
      </c>
      <c r="B157" s="51">
        <v>8</v>
      </c>
      <c r="C157" s="51" t="s">
        <v>598</v>
      </c>
      <c r="D157" s="111">
        <v>6873</v>
      </c>
      <c r="E157" s="51" t="s">
        <v>259</v>
      </c>
      <c r="F157" s="51">
        <v>1</v>
      </c>
      <c r="G157" s="83" t="s">
        <v>260</v>
      </c>
      <c r="H157" s="51" t="s">
        <v>63</v>
      </c>
      <c r="I157" s="51" t="s">
        <v>63</v>
      </c>
      <c r="J157" s="51" t="s">
        <v>63</v>
      </c>
      <c r="K157" s="51" t="s">
        <v>594</v>
      </c>
      <c r="L157" s="51" t="s">
        <v>63</v>
      </c>
      <c r="M157" s="107">
        <v>46254</v>
      </c>
      <c r="N157" s="51"/>
      <c r="O157" s="112">
        <v>46254</v>
      </c>
      <c r="P157" s="51"/>
      <c r="Q157" s="51" t="s">
        <v>63</v>
      </c>
      <c r="R157" s="51" t="s">
        <v>63</v>
      </c>
      <c r="S157" s="51" t="s">
        <v>63</v>
      </c>
      <c r="T157" s="51" t="s">
        <v>63</v>
      </c>
      <c r="U157" s="51" t="s">
        <v>63</v>
      </c>
      <c r="V157" s="51" t="s">
        <v>63</v>
      </c>
      <c r="W157" s="51" t="s">
        <v>63</v>
      </c>
      <c r="X157" s="51" t="s">
        <v>63</v>
      </c>
      <c r="Y157" s="51" t="s">
        <v>63</v>
      </c>
      <c r="Z157" s="51" t="s">
        <v>63</v>
      </c>
      <c r="AA157" s="51" t="s">
        <v>48</v>
      </c>
      <c r="AB157" s="51"/>
    </row>
    <row r="158" spans="1:28" ht="20.100000000000001" hidden="1" customHeight="1" x14ac:dyDescent="0.25">
      <c r="A158" s="51">
        <v>2353</v>
      </c>
      <c r="B158" s="51">
        <v>9</v>
      </c>
      <c r="C158" s="51" t="s">
        <v>598</v>
      </c>
      <c r="D158" s="111">
        <v>6874</v>
      </c>
      <c r="E158" s="51" t="s">
        <v>259</v>
      </c>
      <c r="F158" s="51">
        <v>1</v>
      </c>
      <c r="G158" s="83" t="s">
        <v>260</v>
      </c>
      <c r="H158" s="51" t="s">
        <v>63</v>
      </c>
      <c r="I158" s="51" t="s">
        <v>63</v>
      </c>
      <c r="J158" s="51" t="s">
        <v>63</v>
      </c>
      <c r="K158" s="51" t="s">
        <v>594</v>
      </c>
      <c r="L158" s="51" t="s">
        <v>63</v>
      </c>
      <c r="M158" s="107">
        <v>46254</v>
      </c>
      <c r="N158" s="51"/>
      <c r="O158" s="112">
        <v>46254</v>
      </c>
      <c r="P158" s="51"/>
      <c r="Q158" s="51" t="s">
        <v>63</v>
      </c>
      <c r="R158" s="51" t="s">
        <v>63</v>
      </c>
      <c r="S158" s="51" t="s">
        <v>63</v>
      </c>
      <c r="T158" s="51" t="s">
        <v>63</v>
      </c>
      <c r="U158" s="51" t="s">
        <v>63</v>
      </c>
      <c r="V158" s="51" t="s">
        <v>63</v>
      </c>
      <c r="W158" s="51" t="s">
        <v>63</v>
      </c>
      <c r="X158" s="51" t="s">
        <v>63</v>
      </c>
      <c r="Y158" s="51" t="s">
        <v>63</v>
      </c>
      <c r="Z158" s="51" t="s">
        <v>63</v>
      </c>
      <c r="AA158" s="51" t="s">
        <v>48</v>
      </c>
      <c r="AB158" s="51"/>
    </row>
    <row r="159" spans="1:28" ht="20.100000000000001" hidden="1" customHeight="1" x14ac:dyDescent="0.25">
      <c r="A159" s="51">
        <v>2353</v>
      </c>
      <c r="B159" s="51">
        <v>10</v>
      </c>
      <c r="C159" s="51" t="s">
        <v>598</v>
      </c>
      <c r="D159" s="111">
        <v>6875</v>
      </c>
      <c r="E159" s="51" t="s">
        <v>259</v>
      </c>
      <c r="F159" s="51">
        <v>1</v>
      </c>
      <c r="G159" s="83" t="s">
        <v>260</v>
      </c>
      <c r="H159" s="51" t="s">
        <v>63</v>
      </c>
      <c r="I159" s="51" t="s">
        <v>63</v>
      </c>
      <c r="J159" s="51" t="s">
        <v>63</v>
      </c>
      <c r="K159" s="51" t="s">
        <v>594</v>
      </c>
      <c r="L159" s="51" t="s">
        <v>63</v>
      </c>
      <c r="M159" s="107">
        <v>46254</v>
      </c>
      <c r="N159" s="51"/>
      <c r="O159" s="112">
        <v>46254</v>
      </c>
      <c r="P159" s="51"/>
      <c r="Q159" s="51" t="s">
        <v>63</v>
      </c>
      <c r="R159" s="51" t="s">
        <v>63</v>
      </c>
      <c r="S159" s="51" t="s">
        <v>63</v>
      </c>
      <c r="T159" s="51" t="s">
        <v>63</v>
      </c>
      <c r="U159" s="51" t="s">
        <v>63</v>
      </c>
      <c r="V159" s="51" t="s">
        <v>63</v>
      </c>
      <c r="W159" s="51" t="s">
        <v>63</v>
      </c>
      <c r="X159" s="51" t="s">
        <v>63</v>
      </c>
      <c r="Y159" s="51" t="s">
        <v>63</v>
      </c>
      <c r="Z159" s="51" t="s">
        <v>63</v>
      </c>
      <c r="AA159" s="51" t="s">
        <v>48</v>
      </c>
      <c r="AB159" s="51"/>
    </row>
    <row r="160" spans="1:28" ht="20.100000000000001" hidden="1" customHeight="1" x14ac:dyDescent="0.25">
      <c r="A160" s="51">
        <v>2353</v>
      </c>
      <c r="B160" s="51">
        <v>11</v>
      </c>
      <c r="C160" s="51" t="s">
        <v>598</v>
      </c>
      <c r="D160" s="111">
        <v>6876</v>
      </c>
      <c r="E160" s="51" t="s">
        <v>259</v>
      </c>
      <c r="F160" s="51">
        <v>1</v>
      </c>
      <c r="G160" s="83" t="s">
        <v>268</v>
      </c>
      <c r="H160" s="51" t="s">
        <v>63</v>
      </c>
      <c r="I160" s="51" t="s">
        <v>63</v>
      </c>
      <c r="J160" s="51" t="s">
        <v>63</v>
      </c>
      <c r="K160" s="51" t="s">
        <v>594</v>
      </c>
      <c r="L160" s="51" t="s">
        <v>63</v>
      </c>
      <c r="M160" s="107">
        <v>46254</v>
      </c>
      <c r="N160" s="51"/>
      <c r="O160" s="112">
        <v>46254</v>
      </c>
      <c r="P160" s="51"/>
      <c r="Q160" s="51" t="s">
        <v>63</v>
      </c>
      <c r="R160" s="51" t="s">
        <v>63</v>
      </c>
      <c r="S160" s="51" t="s">
        <v>63</v>
      </c>
      <c r="T160" s="51" t="s">
        <v>63</v>
      </c>
      <c r="U160" s="51" t="s">
        <v>63</v>
      </c>
      <c r="V160" s="51" t="s">
        <v>63</v>
      </c>
      <c r="W160" s="51" t="s">
        <v>63</v>
      </c>
      <c r="X160" s="51" t="s">
        <v>63</v>
      </c>
      <c r="Y160" s="51" t="s">
        <v>63</v>
      </c>
      <c r="Z160" s="51" t="s">
        <v>63</v>
      </c>
      <c r="AA160" s="51" t="s">
        <v>48</v>
      </c>
      <c r="AB160" s="51"/>
    </row>
    <row r="161" spans="1:28" ht="20.100000000000001" hidden="1" customHeight="1" x14ac:dyDescent="0.25">
      <c r="A161" s="51">
        <v>2353</v>
      </c>
      <c r="B161" s="51">
        <v>12</v>
      </c>
      <c r="C161" s="51" t="s">
        <v>598</v>
      </c>
      <c r="D161" s="111">
        <v>6877</v>
      </c>
      <c r="E161" s="51" t="s">
        <v>259</v>
      </c>
      <c r="F161" s="51">
        <v>1</v>
      </c>
      <c r="G161" s="83" t="s">
        <v>268</v>
      </c>
      <c r="H161" s="51" t="s">
        <v>63</v>
      </c>
      <c r="I161" s="51" t="s">
        <v>63</v>
      </c>
      <c r="J161" s="51" t="s">
        <v>63</v>
      </c>
      <c r="K161" s="51" t="s">
        <v>594</v>
      </c>
      <c r="L161" s="51" t="s">
        <v>63</v>
      </c>
      <c r="M161" s="107">
        <v>46254</v>
      </c>
      <c r="N161" s="51"/>
      <c r="O161" s="112">
        <v>46254</v>
      </c>
      <c r="P161" s="51"/>
      <c r="Q161" s="51" t="s">
        <v>63</v>
      </c>
      <c r="R161" s="51" t="s">
        <v>63</v>
      </c>
      <c r="S161" s="51" t="s">
        <v>63</v>
      </c>
      <c r="T161" s="51" t="s">
        <v>63</v>
      </c>
      <c r="U161" s="51" t="s">
        <v>63</v>
      </c>
      <c r="V161" s="51" t="s">
        <v>63</v>
      </c>
      <c r="W161" s="51" t="s">
        <v>63</v>
      </c>
      <c r="X161" s="51" t="s">
        <v>63</v>
      </c>
      <c r="Y161" s="51" t="s">
        <v>63</v>
      </c>
      <c r="Z161" s="51" t="s">
        <v>63</v>
      </c>
      <c r="AA161" s="51" t="s">
        <v>48</v>
      </c>
      <c r="AB161" s="51"/>
    </row>
    <row r="162" spans="1:28" ht="20.100000000000001" hidden="1" customHeight="1" x14ac:dyDescent="0.25">
      <c r="A162" s="51">
        <v>2353</v>
      </c>
      <c r="B162" s="51">
        <v>13</v>
      </c>
      <c r="C162" s="51" t="s">
        <v>598</v>
      </c>
      <c r="D162" s="111">
        <v>6878</v>
      </c>
      <c r="E162" s="51" t="s">
        <v>259</v>
      </c>
      <c r="F162" s="51">
        <v>1</v>
      </c>
      <c r="G162" s="83" t="s">
        <v>268</v>
      </c>
      <c r="H162" s="51" t="s">
        <v>63</v>
      </c>
      <c r="I162" s="51" t="s">
        <v>63</v>
      </c>
      <c r="J162" s="51" t="s">
        <v>63</v>
      </c>
      <c r="K162" s="51" t="s">
        <v>594</v>
      </c>
      <c r="L162" s="51" t="s">
        <v>63</v>
      </c>
      <c r="M162" s="107">
        <v>46254</v>
      </c>
      <c r="N162" s="51"/>
      <c r="O162" s="112">
        <v>46254</v>
      </c>
      <c r="P162" s="51"/>
      <c r="Q162" s="51" t="s">
        <v>63</v>
      </c>
      <c r="R162" s="51" t="s">
        <v>63</v>
      </c>
      <c r="S162" s="51" t="s">
        <v>63</v>
      </c>
      <c r="T162" s="51" t="s">
        <v>63</v>
      </c>
      <c r="U162" s="51" t="s">
        <v>63</v>
      </c>
      <c r="V162" s="51" t="s">
        <v>63</v>
      </c>
      <c r="W162" s="51" t="s">
        <v>63</v>
      </c>
      <c r="X162" s="51" t="s">
        <v>63</v>
      </c>
      <c r="Y162" s="51" t="s">
        <v>63</v>
      </c>
      <c r="Z162" s="51" t="s">
        <v>63</v>
      </c>
      <c r="AA162" s="51" t="s">
        <v>48</v>
      </c>
      <c r="AB162" s="51"/>
    </row>
    <row r="163" spans="1:28" ht="20.100000000000001" hidden="1" customHeight="1" x14ac:dyDescent="0.25">
      <c r="A163" s="51">
        <v>2353</v>
      </c>
      <c r="B163" s="51">
        <v>14</v>
      </c>
      <c r="C163" s="51" t="s">
        <v>598</v>
      </c>
      <c r="D163" s="111">
        <v>6879</v>
      </c>
      <c r="E163" s="51" t="s">
        <v>259</v>
      </c>
      <c r="F163" s="51">
        <v>1</v>
      </c>
      <c r="G163" s="83" t="s">
        <v>268</v>
      </c>
      <c r="H163" s="51" t="s">
        <v>63</v>
      </c>
      <c r="I163" s="51" t="s">
        <v>63</v>
      </c>
      <c r="J163" s="51" t="s">
        <v>63</v>
      </c>
      <c r="K163" s="51" t="s">
        <v>594</v>
      </c>
      <c r="L163" s="51" t="s">
        <v>63</v>
      </c>
      <c r="M163" s="107">
        <v>46254</v>
      </c>
      <c r="N163" s="51"/>
      <c r="O163" s="112">
        <v>46254</v>
      </c>
      <c r="P163" s="51"/>
      <c r="Q163" s="51" t="s">
        <v>63</v>
      </c>
      <c r="R163" s="51" t="s">
        <v>63</v>
      </c>
      <c r="S163" s="51" t="s">
        <v>63</v>
      </c>
      <c r="T163" s="51" t="s">
        <v>63</v>
      </c>
      <c r="U163" s="51" t="s">
        <v>63</v>
      </c>
      <c r="V163" s="51" t="s">
        <v>63</v>
      </c>
      <c r="W163" s="51" t="s">
        <v>63</v>
      </c>
      <c r="X163" s="51" t="s">
        <v>63</v>
      </c>
      <c r="Y163" s="51" t="s">
        <v>63</v>
      </c>
      <c r="Z163" s="51" t="s">
        <v>63</v>
      </c>
      <c r="AA163" s="51" t="s">
        <v>48</v>
      </c>
      <c r="AB163" s="51"/>
    </row>
    <row r="164" spans="1:28" ht="20.100000000000001" hidden="1" customHeight="1" x14ac:dyDescent="0.25">
      <c r="A164" s="51">
        <v>2353</v>
      </c>
      <c r="B164" s="51">
        <v>15</v>
      </c>
      <c r="C164" s="51" t="s">
        <v>598</v>
      </c>
      <c r="D164" s="111">
        <v>6880</v>
      </c>
      <c r="E164" s="51" t="s">
        <v>259</v>
      </c>
      <c r="F164" s="51">
        <v>1</v>
      </c>
      <c r="G164" s="83" t="s">
        <v>268</v>
      </c>
      <c r="H164" s="51" t="s">
        <v>63</v>
      </c>
      <c r="I164" s="51" t="s">
        <v>63</v>
      </c>
      <c r="J164" s="51" t="s">
        <v>63</v>
      </c>
      <c r="K164" s="51" t="s">
        <v>594</v>
      </c>
      <c r="L164" s="51" t="s">
        <v>63</v>
      </c>
      <c r="M164" s="107">
        <v>46254</v>
      </c>
      <c r="N164" s="51"/>
      <c r="O164" s="112">
        <v>46254</v>
      </c>
      <c r="P164" s="51"/>
      <c r="Q164" s="51" t="s">
        <v>63</v>
      </c>
      <c r="R164" s="51" t="s">
        <v>63</v>
      </c>
      <c r="S164" s="51" t="s">
        <v>63</v>
      </c>
      <c r="T164" s="51" t="s">
        <v>63</v>
      </c>
      <c r="U164" s="51" t="s">
        <v>63</v>
      </c>
      <c r="V164" s="51" t="s">
        <v>63</v>
      </c>
      <c r="W164" s="51" t="s">
        <v>63</v>
      </c>
      <c r="X164" s="51" t="s">
        <v>63</v>
      </c>
      <c r="Y164" s="51" t="s">
        <v>63</v>
      </c>
      <c r="Z164" s="51" t="s">
        <v>63</v>
      </c>
      <c r="AA164" s="51" t="s">
        <v>48</v>
      </c>
      <c r="AB164" s="51"/>
    </row>
    <row r="165" spans="1:28" ht="20.100000000000001" hidden="1" customHeight="1" x14ac:dyDescent="0.25">
      <c r="A165" s="51">
        <v>2353</v>
      </c>
      <c r="B165" s="51">
        <v>16</v>
      </c>
      <c r="C165" s="51" t="s">
        <v>598</v>
      </c>
      <c r="D165" s="111">
        <v>6881</v>
      </c>
      <c r="E165" s="51" t="s">
        <v>259</v>
      </c>
      <c r="F165" s="51">
        <v>1</v>
      </c>
      <c r="G165" s="83" t="s">
        <v>268</v>
      </c>
      <c r="H165" s="51" t="s">
        <v>63</v>
      </c>
      <c r="I165" s="51" t="s">
        <v>63</v>
      </c>
      <c r="J165" s="51" t="s">
        <v>63</v>
      </c>
      <c r="K165" s="51" t="s">
        <v>594</v>
      </c>
      <c r="L165" s="51" t="s">
        <v>63</v>
      </c>
      <c r="M165" s="107">
        <v>46254</v>
      </c>
      <c r="N165" s="51"/>
      <c r="O165" s="112">
        <v>46254</v>
      </c>
      <c r="P165" s="51"/>
      <c r="Q165" s="51" t="s">
        <v>63</v>
      </c>
      <c r="R165" s="51" t="s">
        <v>63</v>
      </c>
      <c r="S165" s="51" t="s">
        <v>63</v>
      </c>
      <c r="T165" s="51" t="s">
        <v>63</v>
      </c>
      <c r="U165" s="51" t="s">
        <v>63</v>
      </c>
      <c r="V165" s="51" t="s">
        <v>63</v>
      </c>
      <c r="W165" s="51" t="s">
        <v>63</v>
      </c>
      <c r="X165" s="51" t="s">
        <v>63</v>
      </c>
      <c r="Y165" s="51" t="s">
        <v>63</v>
      </c>
      <c r="Z165" s="51" t="s">
        <v>63</v>
      </c>
      <c r="AA165" s="51" t="s">
        <v>48</v>
      </c>
      <c r="AB165" s="51"/>
    </row>
    <row r="166" spans="1:28" ht="20.100000000000001" hidden="1" customHeight="1" x14ac:dyDescent="0.25">
      <c r="A166" s="51">
        <v>2353</v>
      </c>
      <c r="B166" s="51">
        <v>17</v>
      </c>
      <c r="C166" s="51" t="s">
        <v>598</v>
      </c>
      <c r="D166" s="111">
        <v>6882</v>
      </c>
      <c r="E166" s="51" t="s">
        <v>259</v>
      </c>
      <c r="F166" s="51">
        <v>1</v>
      </c>
      <c r="G166" s="83" t="s">
        <v>297</v>
      </c>
      <c r="H166" s="51" t="s">
        <v>63</v>
      </c>
      <c r="I166" s="51" t="s">
        <v>63</v>
      </c>
      <c r="J166" s="51" t="s">
        <v>63</v>
      </c>
      <c r="K166" s="51" t="s">
        <v>594</v>
      </c>
      <c r="L166" s="51" t="s">
        <v>63</v>
      </c>
      <c r="M166" s="107">
        <v>46254</v>
      </c>
      <c r="N166" s="51"/>
      <c r="O166" s="112">
        <v>46254</v>
      </c>
      <c r="P166" s="51"/>
      <c r="Q166" s="51" t="s">
        <v>63</v>
      </c>
      <c r="R166" s="51" t="s">
        <v>63</v>
      </c>
      <c r="S166" s="51" t="s">
        <v>63</v>
      </c>
      <c r="T166" s="51" t="s">
        <v>63</v>
      </c>
      <c r="U166" s="51" t="s">
        <v>63</v>
      </c>
      <c r="V166" s="51" t="s">
        <v>63</v>
      </c>
      <c r="W166" s="51" t="s">
        <v>63</v>
      </c>
      <c r="X166" s="51" t="s">
        <v>63</v>
      </c>
      <c r="Y166" s="51" t="s">
        <v>63</v>
      </c>
      <c r="Z166" s="51" t="s">
        <v>63</v>
      </c>
      <c r="AA166" s="51" t="s">
        <v>48</v>
      </c>
      <c r="AB166" s="51"/>
    </row>
    <row r="167" spans="1:28" ht="20.100000000000001" hidden="1" customHeight="1" x14ac:dyDescent="0.25">
      <c r="A167" s="51">
        <v>2353</v>
      </c>
      <c r="B167" s="51">
        <v>18</v>
      </c>
      <c r="C167" s="51" t="s">
        <v>598</v>
      </c>
      <c r="D167" s="111">
        <v>6883</v>
      </c>
      <c r="E167" s="51" t="s">
        <v>259</v>
      </c>
      <c r="F167" s="51">
        <v>1</v>
      </c>
      <c r="G167" s="83" t="s">
        <v>297</v>
      </c>
      <c r="H167" s="51" t="s">
        <v>63</v>
      </c>
      <c r="I167" s="51" t="s">
        <v>63</v>
      </c>
      <c r="J167" s="51" t="s">
        <v>63</v>
      </c>
      <c r="K167" s="51" t="s">
        <v>594</v>
      </c>
      <c r="L167" s="51" t="s">
        <v>63</v>
      </c>
      <c r="M167" s="107">
        <v>46254</v>
      </c>
      <c r="N167" s="51"/>
      <c r="O167" s="112">
        <v>46254</v>
      </c>
      <c r="P167" s="51"/>
      <c r="Q167" s="51" t="s">
        <v>63</v>
      </c>
      <c r="R167" s="51" t="s">
        <v>63</v>
      </c>
      <c r="S167" s="51" t="s">
        <v>63</v>
      </c>
      <c r="T167" s="51" t="s">
        <v>63</v>
      </c>
      <c r="U167" s="51" t="s">
        <v>63</v>
      </c>
      <c r="V167" s="51" t="s">
        <v>63</v>
      </c>
      <c r="W167" s="51" t="s">
        <v>63</v>
      </c>
      <c r="X167" s="51" t="s">
        <v>63</v>
      </c>
      <c r="Y167" s="51" t="s">
        <v>63</v>
      </c>
      <c r="Z167" s="51" t="s">
        <v>63</v>
      </c>
      <c r="AA167" s="51" t="s">
        <v>48</v>
      </c>
      <c r="AB167" s="51"/>
    </row>
    <row r="168" spans="1:28" ht="20.100000000000001" hidden="1" customHeight="1" x14ac:dyDescent="0.25">
      <c r="A168" s="51">
        <v>2353</v>
      </c>
      <c r="B168" s="51">
        <v>19</v>
      </c>
      <c r="C168" s="51" t="s">
        <v>598</v>
      </c>
      <c r="D168" s="111">
        <v>6884</v>
      </c>
      <c r="E168" s="51" t="s">
        <v>259</v>
      </c>
      <c r="F168" s="51">
        <v>1</v>
      </c>
      <c r="G168" s="83" t="s">
        <v>297</v>
      </c>
      <c r="H168" s="51" t="s">
        <v>63</v>
      </c>
      <c r="I168" s="51" t="s">
        <v>63</v>
      </c>
      <c r="J168" s="51" t="s">
        <v>63</v>
      </c>
      <c r="K168" s="51" t="s">
        <v>594</v>
      </c>
      <c r="L168" s="51" t="s">
        <v>63</v>
      </c>
      <c r="M168" s="107">
        <v>46254</v>
      </c>
      <c r="N168" s="51"/>
      <c r="O168" s="112">
        <v>46254</v>
      </c>
      <c r="P168" s="51"/>
      <c r="Q168" s="51" t="s">
        <v>63</v>
      </c>
      <c r="R168" s="51" t="s">
        <v>63</v>
      </c>
      <c r="S168" s="51" t="s">
        <v>63</v>
      </c>
      <c r="T168" s="51" t="s">
        <v>63</v>
      </c>
      <c r="U168" s="51" t="s">
        <v>63</v>
      </c>
      <c r="V168" s="51" t="s">
        <v>63</v>
      </c>
      <c r="W168" s="51" t="s">
        <v>63</v>
      </c>
      <c r="X168" s="51" t="s">
        <v>63</v>
      </c>
      <c r="Y168" s="51" t="s">
        <v>63</v>
      </c>
      <c r="Z168" s="51" t="s">
        <v>63</v>
      </c>
      <c r="AA168" s="51" t="s">
        <v>48</v>
      </c>
      <c r="AB168" s="51"/>
    </row>
    <row r="169" spans="1:28" ht="20.100000000000001" hidden="1" customHeight="1" x14ac:dyDescent="0.25">
      <c r="A169" s="51">
        <v>2353</v>
      </c>
      <c r="B169" s="51">
        <v>20</v>
      </c>
      <c r="C169" s="51" t="s">
        <v>598</v>
      </c>
      <c r="D169" s="111">
        <v>6885</v>
      </c>
      <c r="E169" s="51" t="s">
        <v>259</v>
      </c>
      <c r="F169" s="51">
        <v>1</v>
      </c>
      <c r="G169" s="83" t="s">
        <v>297</v>
      </c>
      <c r="H169" s="51" t="s">
        <v>63</v>
      </c>
      <c r="I169" s="51" t="s">
        <v>63</v>
      </c>
      <c r="J169" s="51" t="s">
        <v>63</v>
      </c>
      <c r="K169" s="51" t="s">
        <v>594</v>
      </c>
      <c r="L169" s="51" t="s">
        <v>63</v>
      </c>
      <c r="M169" s="107">
        <v>46254</v>
      </c>
      <c r="N169" s="51"/>
      <c r="O169" s="112">
        <v>46254</v>
      </c>
      <c r="P169" s="51"/>
      <c r="Q169" s="51" t="s">
        <v>63</v>
      </c>
      <c r="R169" s="51" t="s">
        <v>63</v>
      </c>
      <c r="S169" s="51" t="s">
        <v>63</v>
      </c>
      <c r="T169" s="51" t="s">
        <v>63</v>
      </c>
      <c r="U169" s="51" t="s">
        <v>63</v>
      </c>
      <c r="V169" s="51" t="s">
        <v>63</v>
      </c>
      <c r="W169" s="51" t="s">
        <v>63</v>
      </c>
      <c r="X169" s="51" t="s">
        <v>63</v>
      </c>
      <c r="Y169" s="51" t="s">
        <v>63</v>
      </c>
      <c r="Z169" s="51" t="s">
        <v>63</v>
      </c>
      <c r="AA169" s="51" t="s">
        <v>48</v>
      </c>
      <c r="AB169" s="51"/>
    </row>
    <row r="170" spans="1:28" ht="20.100000000000001" hidden="1" customHeight="1" x14ac:dyDescent="0.25">
      <c r="A170" s="51">
        <v>2353</v>
      </c>
      <c r="B170" s="51">
        <v>21</v>
      </c>
      <c r="C170" s="51" t="s">
        <v>598</v>
      </c>
      <c r="D170" s="111">
        <v>6886</v>
      </c>
      <c r="E170" s="51" t="s">
        <v>259</v>
      </c>
      <c r="F170" s="51">
        <v>1</v>
      </c>
      <c r="G170" s="83" t="s">
        <v>297</v>
      </c>
      <c r="H170" s="51" t="s">
        <v>63</v>
      </c>
      <c r="I170" s="51" t="s">
        <v>63</v>
      </c>
      <c r="J170" s="51" t="s">
        <v>63</v>
      </c>
      <c r="K170" s="51" t="s">
        <v>594</v>
      </c>
      <c r="L170" s="51" t="s">
        <v>63</v>
      </c>
      <c r="M170" s="107">
        <v>46254</v>
      </c>
      <c r="N170" s="51"/>
      <c r="O170" s="112">
        <v>46254</v>
      </c>
      <c r="P170" s="51"/>
      <c r="Q170" s="51" t="s">
        <v>63</v>
      </c>
      <c r="R170" s="51" t="s">
        <v>63</v>
      </c>
      <c r="S170" s="51" t="s">
        <v>63</v>
      </c>
      <c r="T170" s="51" t="s">
        <v>63</v>
      </c>
      <c r="U170" s="51" t="s">
        <v>63</v>
      </c>
      <c r="V170" s="51" t="s">
        <v>63</v>
      </c>
      <c r="W170" s="51" t="s">
        <v>63</v>
      </c>
      <c r="X170" s="51" t="s">
        <v>63</v>
      </c>
      <c r="Y170" s="51" t="s">
        <v>63</v>
      </c>
      <c r="Z170" s="51" t="s">
        <v>63</v>
      </c>
      <c r="AA170" s="51" t="s">
        <v>48</v>
      </c>
      <c r="AB170" s="51"/>
    </row>
    <row r="171" spans="1:28" ht="20.100000000000001" hidden="1" customHeight="1" x14ac:dyDescent="0.25">
      <c r="A171" s="51">
        <v>2353</v>
      </c>
      <c r="B171" s="51">
        <v>22</v>
      </c>
      <c r="C171" s="51" t="s">
        <v>598</v>
      </c>
      <c r="D171" s="111">
        <v>6887</v>
      </c>
      <c r="E171" s="51" t="s">
        <v>259</v>
      </c>
      <c r="F171" s="51">
        <v>1</v>
      </c>
      <c r="G171" s="83" t="s">
        <v>297</v>
      </c>
      <c r="H171" s="51" t="s">
        <v>63</v>
      </c>
      <c r="I171" s="51" t="s">
        <v>63</v>
      </c>
      <c r="J171" s="51" t="s">
        <v>63</v>
      </c>
      <c r="K171" s="51" t="s">
        <v>594</v>
      </c>
      <c r="L171" s="51" t="s">
        <v>63</v>
      </c>
      <c r="M171" s="107">
        <v>46254</v>
      </c>
      <c r="N171" s="51"/>
      <c r="O171" s="112">
        <v>46254</v>
      </c>
      <c r="P171" s="51"/>
      <c r="Q171" s="51" t="s">
        <v>63</v>
      </c>
      <c r="R171" s="51" t="s">
        <v>63</v>
      </c>
      <c r="S171" s="51" t="s">
        <v>63</v>
      </c>
      <c r="T171" s="51" t="s">
        <v>63</v>
      </c>
      <c r="U171" s="51" t="s">
        <v>63</v>
      </c>
      <c r="V171" s="51" t="s">
        <v>63</v>
      </c>
      <c r="W171" s="51" t="s">
        <v>63</v>
      </c>
      <c r="X171" s="51" t="s">
        <v>63</v>
      </c>
      <c r="Y171" s="51" t="s">
        <v>63</v>
      </c>
      <c r="Z171" s="51" t="s">
        <v>63</v>
      </c>
      <c r="AA171" s="51" t="s">
        <v>48</v>
      </c>
      <c r="AB171" s="51"/>
    </row>
    <row r="172" spans="1:28" ht="20.100000000000001" hidden="1" customHeight="1" x14ac:dyDescent="0.25">
      <c r="A172" s="51">
        <v>2353</v>
      </c>
      <c r="B172" s="51">
        <v>23</v>
      </c>
      <c r="C172" s="51" t="s">
        <v>598</v>
      </c>
      <c r="D172" s="111">
        <v>6888</v>
      </c>
      <c r="E172" s="51" t="s">
        <v>259</v>
      </c>
      <c r="F172" s="51">
        <v>1</v>
      </c>
      <c r="G172" s="83" t="s">
        <v>201</v>
      </c>
      <c r="H172" s="51" t="s">
        <v>63</v>
      </c>
      <c r="I172" s="51" t="s">
        <v>63</v>
      </c>
      <c r="J172" s="51" t="s">
        <v>63</v>
      </c>
      <c r="K172" s="51" t="s">
        <v>594</v>
      </c>
      <c r="L172" s="51" t="s">
        <v>63</v>
      </c>
      <c r="M172" s="107">
        <v>46254</v>
      </c>
      <c r="N172" s="51"/>
      <c r="O172" s="112">
        <v>46254</v>
      </c>
      <c r="P172" s="51"/>
      <c r="Q172" s="51" t="s">
        <v>63</v>
      </c>
      <c r="R172" s="51" t="s">
        <v>63</v>
      </c>
      <c r="S172" s="51" t="s">
        <v>63</v>
      </c>
      <c r="T172" s="51" t="s">
        <v>63</v>
      </c>
      <c r="U172" s="51" t="s">
        <v>63</v>
      </c>
      <c r="V172" s="51" t="s">
        <v>63</v>
      </c>
      <c r="W172" s="51" t="s">
        <v>63</v>
      </c>
      <c r="X172" s="51" t="s">
        <v>63</v>
      </c>
      <c r="Y172" s="51" t="s">
        <v>63</v>
      </c>
      <c r="Z172" s="51" t="s">
        <v>63</v>
      </c>
      <c r="AA172" s="51" t="s">
        <v>48</v>
      </c>
      <c r="AB172" s="51"/>
    </row>
    <row r="173" spans="1:28" ht="20.100000000000001" hidden="1" customHeight="1" x14ac:dyDescent="0.25">
      <c r="A173" s="51">
        <v>2353</v>
      </c>
      <c r="B173" s="51">
        <v>24</v>
      </c>
      <c r="C173" s="51" t="s">
        <v>598</v>
      </c>
      <c r="D173" s="111">
        <v>6889</v>
      </c>
      <c r="E173" s="51" t="s">
        <v>259</v>
      </c>
      <c r="F173" s="51">
        <v>1</v>
      </c>
      <c r="G173" s="83" t="s">
        <v>201</v>
      </c>
      <c r="H173" s="51" t="s">
        <v>63</v>
      </c>
      <c r="I173" s="51" t="s">
        <v>63</v>
      </c>
      <c r="J173" s="51" t="s">
        <v>63</v>
      </c>
      <c r="K173" s="51" t="s">
        <v>594</v>
      </c>
      <c r="L173" s="51" t="s">
        <v>63</v>
      </c>
      <c r="M173" s="107">
        <v>46254</v>
      </c>
      <c r="N173" s="51"/>
      <c r="O173" s="112">
        <v>46254</v>
      </c>
      <c r="P173" s="51"/>
      <c r="Q173" s="51" t="s">
        <v>63</v>
      </c>
      <c r="R173" s="51" t="s">
        <v>63</v>
      </c>
      <c r="S173" s="51" t="s">
        <v>63</v>
      </c>
      <c r="T173" s="51" t="s">
        <v>63</v>
      </c>
      <c r="U173" s="51" t="s">
        <v>63</v>
      </c>
      <c r="V173" s="51" t="s">
        <v>63</v>
      </c>
      <c r="W173" s="51" t="s">
        <v>63</v>
      </c>
      <c r="X173" s="51" t="s">
        <v>63</v>
      </c>
      <c r="Y173" s="51" t="s">
        <v>63</v>
      </c>
      <c r="Z173" s="51" t="s">
        <v>63</v>
      </c>
      <c r="AA173" s="51" t="s">
        <v>48</v>
      </c>
      <c r="AB173" s="51"/>
    </row>
    <row r="174" spans="1:28" ht="20.100000000000001" hidden="1" customHeight="1" x14ac:dyDescent="0.25">
      <c r="A174" s="51">
        <v>2353</v>
      </c>
      <c r="B174" s="51">
        <v>25</v>
      </c>
      <c r="C174" s="51" t="s">
        <v>598</v>
      </c>
      <c r="D174" s="111">
        <v>6890</v>
      </c>
      <c r="E174" s="51" t="s">
        <v>259</v>
      </c>
      <c r="F174" s="51">
        <v>1</v>
      </c>
      <c r="G174" s="83">
        <v>2000</v>
      </c>
      <c r="H174" s="51" t="s">
        <v>63</v>
      </c>
      <c r="I174" s="51" t="s">
        <v>63</v>
      </c>
      <c r="J174" s="51" t="s">
        <v>63</v>
      </c>
      <c r="K174" s="51" t="s">
        <v>594</v>
      </c>
      <c r="L174" s="51" t="s">
        <v>63</v>
      </c>
      <c r="M174" s="107">
        <v>46254</v>
      </c>
      <c r="N174" s="51"/>
      <c r="O174" s="112">
        <v>46254</v>
      </c>
      <c r="P174" s="51"/>
      <c r="Q174" s="51" t="s">
        <v>63</v>
      </c>
      <c r="R174" s="51" t="s">
        <v>63</v>
      </c>
      <c r="S174" s="51" t="s">
        <v>63</v>
      </c>
      <c r="T174" s="51" t="s">
        <v>63</v>
      </c>
      <c r="U174" s="51" t="s">
        <v>63</v>
      </c>
      <c r="V174" s="51" t="s">
        <v>63</v>
      </c>
      <c r="W174" s="51" t="s">
        <v>63</v>
      </c>
      <c r="X174" s="51" t="s">
        <v>63</v>
      </c>
      <c r="Y174" s="51" t="s">
        <v>63</v>
      </c>
      <c r="Z174" s="51" t="s">
        <v>63</v>
      </c>
      <c r="AA174" s="51" t="s">
        <v>48</v>
      </c>
      <c r="AB174" s="51"/>
    </row>
    <row r="175" spans="1:28" ht="20.100000000000001" hidden="1" customHeight="1" x14ac:dyDescent="0.25">
      <c r="A175" s="51">
        <v>2353</v>
      </c>
      <c r="B175" s="51">
        <v>26</v>
      </c>
      <c r="C175" s="51" t="s">
        <v>598</v>
      </c>
      <c r="D175" s="111">
        <v>6891</v>
      </c>
      <c r="E175" s="51" t="s">
        <v>259</v>
      </c>
      <c r="F175" s="51">
        <v>1</v>
      </c>
      <c r="G175" s="83">
        <v>2000</v>
      </c>
      <c r="H175" s="51" t="s">
        <v>63</v>
      </c>
      <c r="I175" s="51" t="s">
        <v>63</v>
      </c>
      <c r="J175" s="51" t="s">
        <v>63</v>
      </c>
      <c r="K175" s="51" t="s">
        <v>594</v>
      </c>
      <c r="L175" s="51" t="s">
        <v>63</v>
      </c>
      <c r="M175" s="107">
        <v>46254</v>
      </c>
      <c r="N175" s="51"/>
      <c r="O175" s="112">
        <v>46254</v>
      </c>
      <c r="P175" s="51"/>
      <c r="Q175" s="51" t="s">
        <v>63</v>
      </c>
      <c r="R175" s="51" t="s">
        <v>63</v>
      </c>
      <c r="S175" s="51" t="s">
        <v>63</v>
      </c>
      <c r="T175" s="51" t="s">
        <v>63</v>
      </c>
      <c r="U175" s="51" t="s">
        <v>63</v>
      </c>
      <c r="V175" s="51" t="s">
        <v>63</v>
      </c>
      <c r="W175" s="51" t="s">
        <v>63</v>
      </c>
      <c r="X175" s="51" t="s">
        <v>63</v>
      </c>
      <c r="Y175" s="51" t="s">
        <v>63</v>
      </c>
      <c r="Z175" s="51" t="s">
        <v>63</v>
      </c>
      <c r="AA175" s="51" t="s">
        <v>48</v>
      </c>
      <c r="AB175" s="51"/>
    </row>
    <row r="176" spans="1:28" ht="20.100000000000001" hidden="1" customHeight="1" x14ac:dyDescent="0.25">
      <c r="A176" s="51">
        <v>2353</v>
      </c>
      <c r="B176" s="51">
        <v>27</v>
      </c>
      <c r="C176" s="51" t="s">
        <v>598</v>
      </c>
      <c r="D176" s="111">
        <v>6892</v>
      </c>
      <c r="E176" s="51" t="s">
        <v>259</v>
      </c>
      <c r="F176" s="51">
        <v>1</v>
      </c>
      <c r="G176" s="83">
        <v>2000</v>
      </c>
      <c r="H176" s="51" t="s">
        <v>63</v>
      </c>
      <c r="I176" s="51" t="s">
        <v>63</v>
      </c>
      <c r="J176" s="51" t="s">
        <v>63</v>
      </c>
      <c r="K176" s="51" t="s">
        <v>594</v>
      </c>
      <c r="L176" s="51" t="s">
        <v>63</v>
      </c>
      <c r="M176" s="107">
        <v>46254</v>
      </c>
      <c r="N176" s="51"/>
      <c r="O176" s="112">
        <v>46254</v>
      </c>
      <c r="P176" s="51"/>
      <c r="Q176" s="51" t="s">
        <v>63</v>
      </c>
      <c r="R176" s="51" t="s">
        <v>63</v>
      </c>
      <c r="S176" s="51" t="s">
        <v>63</v>
      </c>
      <c r="T176" s="51" t="s">
        <v>63</v>
      </c>
      <c r="U176" s="51" t="s">
        <v>63</v>
      </c>
      <c r="V176" s="51" t="s">
        <v>63</v>
      </c>
      <c r="W176" s="51" t="s">
        <v>63</v>
      </c>
      <c r="X176" s="51" t="s">
        <v>63</v>
      </c>
      <c r="Y176" s="51" t="s">
        <v>63</v>
      </c>
      <c r="Z176" s="51" t="s">
        <v>63</v>
      </c>
      <c r="AA176" s="51" t="s">
        <v>48</v>
      </c>
      <c r="AB176" s="51"/>
    </row>
    <row r="177" spans="1:28" ht="20.100000000000001" hidden="1" customHeight="1" x14ac:dyDescent="0.25">
      <c r="A177" s="51">
        <v>2353</v>
      </c>
      <c r="B177" s="51">
        <v>28</v>
      </c>
      <c r="C177" s="51" t="s">
        <v>598</v>
      </c>
      <c r="D177" s="111">
        <v>6893</v>
      </c>
      <c r="E177" s="51" t="s">
        <v>259</v>
      </c>
      <c r="F177" s="51">
        <v>1</v>
      </c>
      <c r="G177" s="83">
        <v>2000</v>
      </c>
      <c r="H177" s="51" t="s">
        <v>63</v>
      </c>
      <c r="I177" s="51" t="s">
        <v>63</v>
      </c>
      <c r="J177" s="51" t="s">
        <v>63</v>
      </c>
      <c r="K177" s="51" t="s">
        <v>594</v>
      </c>
      <c r="L177" s="51" t="s">
        <v>63</v>
      </c>
      <c r="M177" s="107">
        <v>46254</v>
      </c>
      <c r="N177" s="51"/>
      <c r="O177" s="112">
        <v>46254</v>
      </c>
      <c r="P177" s="51"/>
      <c r="Q177" s="51" t="s">
        <v>63</v>
      </c>
      <c r="R177" s="51" t="s">
        <v>63</v>
      </c>
      <c r="S177" s="51" t="s">
        <v>63</v>
      </c>
      <c r="T177" s="51" t="s">
        <v>63</v>
      </c>
      <c r="U177" s="51" t="s">
        <v>63</v>
      </c>
      <c r="V177" s="51" t="s">
        <v>63</v>
      </c>
      <c r="W177" s="51" t="s">
        <v>63</v>
      </c>
      <c r="X177" s="51" t="s">
        <v>63</v>
      </c>
      <c r="Y177" s="51" t="s">
        <v>63</v>
      </c>
      <c r="Z177" s="51" t="s">
        <v>63</v>
      </c>
      <c r="AA177" s="51" t="s">
        <v>48</v>
      </c>
      <c r="AB177" s="51"/>
    </row>
    <row r="178" spans="1:28" ht="20.100000000000001" hidden="1" customHeight="1" x14ac:dyDescent="0.25">
      <c r="A178" s="51">
        <v>2353</v>
      </c>
      <c r="B178" s="51">
        <v>29</v>
      </c>
      <c r="C178" s="51" t="s">
        <v>598</v>
      </c>
      <c r="D178" s="111">
        <v>6894</v>
      </c>
      <c r="E178" s="51" t="s">
        <v>259</v>
      </c>
      <c r="F178" s="51">
        <v>1</v>
      </c>
      <c r="G178" s="83">
        <v>2000</v>
      </c>
      <c r="H178" s="51" t="s">
        <v>63</v>
      </c>
      <c r="I178" s="51" t="s">
        <v>63</v>
      </c>
      <c r="J178" s="51" t="s">
        <v>63</v>
      </c>
      <c r="K178" s="51" t="s">
        <v>594</v>
      </c>
      <c r="L178" s="51" t="s">
        <v>63</v>
      </c>
      <c r="M178" s="107">
        <v>46254</v>
      </c>
      <c r="N178" s="51"/>
      <c r="O178" s="112">
        <v>46254</v>
      </c>
      <c r="P178" s="51"/>
      <c r="Q178" s="51" t="s">
        <v>63</v>
      </c>
      <c r="R178" s="51" t="s">
        <v>63</v>
      </c>
      <c r="S178" s="51" t="s">
        <v>63</v>
      </c>
      <c r="T178" s="51" t="s">
        <v>63</v>
      </c>
      <c r="U178" s="51" t="s">
        <v>63</v>
      </c>
      <c r="V178" s="51" t="s">
        <v>63</v>
      </c>
      <c r="W178" s="51" t="s">
        <v>63</v>
      </c>
      <c r="X178" s="51" t="s">
        <v>63</v>
      </c>
      <c r="Y178" s="51" t="s">
        <v>63</v>
      </c>
      <c r="Z178" s="51" t="s">
        <v>63</v>
      </c>
      <c r="AA178" s="51" t="s">
        <v>48</v>
      </c>
      <c r="AB178" s="51"/>
    </row>
    <row r="179" spans="1:28" ht="20.100000000000001" hidden="1" customHeight="1" x14ac:dyDescent="0.25">
      <c r="A179" s="51">
        <v>2353</v>
      </c>
      <c r="B179" s="51">
        <v>30</v>
      </c>
      <c r="C179" s="51" t="s">
        <v>598</v>
      </c>
      <c r="D179" s="111">
        <v>6895</v>
      </c>
      <c r="E179" s="51" t="s">
        <v>259</v>
      </c>
      <c r="F179" s="51">
        <v>1</v>
      </c>
      <c r="G179" s="83">
        <v>2000</v>
      </c>
      <c r="H179" s="51" t="s">
        <v>63</v>
      </c>
      <c r="I179" s="51" t="s">
        <v>63</v>
      </c>
      <c r="J179" s="51" t="s">
        <v>63</v>
      </c>
      <c r="K179" s="51" t="s">
        <v>594</v>
      </c>
      <c r="L179" s="51" t="s">
        <v>63</v>
      </c>
      <c r="M179" s="107">
        <v>46254</v>
      </c>
      <c r="N179" s="51"/>
      <c r="O179" s="112">
        <v>46254</v>
      </c>
      <c r="P179" s="51"/>
      <c r="Q179" s="51" t="s">
        <v>63</v>
      </c>
      <c r="R179" s="51" t="s">
        <v>63</v>
      </c>
      <c r="S179" s="51" t="s">
        <v>63</v>
      </c>
      <c r="T179" s="51" t="s">
        <v>63</v>
      </c>
      <c r="U179" s="51" t="s">
        <v>63</v>
      </c>
      <c r="V179" s="51" t="s">
        <v>63</v>
      </c>
      <c r="W179" s="51" t="s">
        <v>63</v>
      </c>
      <c r="X179" s="51" t="s">
        <v>63</v>
      </c>
      <c r="Y179" s="51" t="s">
        <v>63</v>
      </c>
      <c r="Z179" s="51" t="s">
        <v>63</v>
      </c>
      <c r="AA179" s="51" t="s">
        <v>48</v>
      </c>
      <c r="AB179" s="51"/>
    </row>
    <row r="180" spans="1:28" ht="20.100000000000001" hidden="1" customHeight="1" x14ac:dyDescent="0.25">
      <c r="A180" s="51">
        <v>2353</v>
      </c>
      <c r="B180" s="51">
        <v>31</v>
      </c>
      <c r="C180" s="51" t="s">
        <v>598</v>
      </c>
      <c r="D180" s="111">
        <v>6896</v>
      </c>
      <c r="E180" s="51" t="s">
        <v>259</v>
      </c>
      <c r="F180" s="51">
        <v>1</v>
      </c>
      <c r="G180" s="83">
        <v>2000</v>
      </c>
      <c r="H180" s="51" t="s">
        <v>63</v>
      </c>
      <c r="I180" s="51" t="s">
        <v>63</v>
      </c>
      <c r="J180" s="51" t="s">
        <v>63</v>
      </c>
      <c r="K180" s="51" t="s">
        <v>594</v>
      </c>
      <c r="L180" s="51" t="s">
        <v>63</v>
      </c>
      <c r="M180" s="107">
        <v>46254</v>
      </c>
      <c r="N180" s="51"/>
      <c r="O180" s="112">
        <v>46254</v>
      </c>
      <c r="P180" s="51"/>
      <c r="Q180" s="51" t="s">
        <v>63</v>
      </c>
      <c r="R180" s="51" t="s">
        <v>63</v>
      </c>
      <c r="S180" s="51" t="s">
        <v>63</v>
      </c>
      <c r="T180" s="51" t="s">
        <v>63</v>
      </c>
      <c r="U180" s="51" t="s">
        <v>63</v>
      </c>
      <c r="V180" s="51" t="s">
        <v>63</v>
      </c>
      <c r="W180" s="51" t="s">
        <v>63</v>
      </c>
      <c r="X180" s="51" t="s">
        <v>63</v>
      </c>
      <c r="Y180" s="51" t="s">
        <v>63</v>
      </c>
      <c r="Z180" s="51" t="s">
        <v>63</v>
      </c>
      <c r="AA180" s="51" t="s">
        <v>48</v>
      </c>
      <c r="AB180" s="51"/>
    </row>
    <row r="181" spans="1:28" ht="20.100000000000001" hidden="1" customHeight="1" x14ac:dyDescent="0.25">
      <c r="A181" s="51">
        <v>2353</v>
      </c>
      <c r="B181" s="51">
        <v>32</v>
      </c>
      <c r="C181" s="51" t="s">
        <v>598</v>
      </c>
      <c r="D181" s="111">
        <v>6897</v>
      </c>
      <c r="E181" s="51" t="s">
        <v>259</v>
      </c>
      <c r="F181" s="51">
        <v>1</v>
      </c>
      <c r="G181" s="83">
        <v>2200</v>
      </c>
      <c r="H181" s="51" t="s">
        <v>63</v>
      </c>
      <c r="I181" s="51" t="s">
        <v>63</v>
      </c>
      <c r="J181" s="51" t="s">
        <v>63</v>
      </c>
      <c r="K181" s="51" t="s">
        <v>594</v>
      </c>
      <c r="L181" s="51" t="s">
        <v>63</v>
      </c>
      <c r="M181" s="107">
        <v>46254</v>
      </c>
      <c r="N181" s="51"/>
      <c r="O181" s="112">
        <v>46254</v>
      </c>
      <c r="P181" s="51"/>
      <c r="Q181" s="51" t="s">
        <v>63</v>
      </c>
      <c r="R181" s="51" t="s">
        <v>63</v>
      </c>
      <c r="S181" s="51" t="s">
        <v>63</v>
      </c>
      <c r="T181" s="51" t="s">
        <v>63</v>
      </c>
      <c r="U181" s="51" t="s">
        <v>63</v>
      </c>
      <c r="V181" s="51" t="s">
        <v>63</v>
      </c>
      <c r="W181" s="51" t="s">
        <v>63</v>
      </c>
      <c r="X181" s="51" t="s">
        <v>63</v>
      </c>
      <c r="Y181" s="51" t="s">
        <v>63</v>
      </c>
      <c r="Z181" s="51" t="s">
        <v>63</v>
      </c>
      <c r="AA181" s="51" t="s">
        <v>48</v>
      </c>
      <c r="AB181" s="51"/>
    </row>
    <row r="182" spans="1:28" ht="20.100000000000001" hidden="1" customHeight="1" x14ac:dyDescent="0.25">
      <c r="A182" s="51">
        <v>2353</v>
      </c>
      <c r="B182" s="51">
        <v>33</v>
      </c>
      <c r="C182" s="51" t="s">
        <v>598</v>
      </c>
      <c r="D182" s="111">
        <v>6898</v>
      </c>
      <c r="E182" s="51" t="s">
        <v>259</v>
      </c>
      <c r="F182" s="51">
        <v>1</v>
      </c>
      <c r="G182" s="83" t="s">
        <v>263</v>
      </c>
      <c r="H182" s="51" t="s">
        <v>63</v>
      </c>
      <c r="I182" s="51" t="s">
        <v>63</v>
      </c>
      <c r="J182" s="51" t="s">
        <v>63</v>
      </c>
      <c r="K182" s="51" t="s">
        <v>594</v>
      </c>
      <c r="L182" s="51" t="s">
        <v>63</v>
      </c>
      <c r="M182" s="107">
        <v>46254</v>
      </c>
      <c r="N182" s="51"/>
      <c r="O182" s="112">
        <v>46254</v>
      </c>
      <c r="P182" s="51"/>
      <c r="Q182" s="51" t="s">
        <v>63</v>
      </c>
      <c r="R182" s="51" t="s">
        <v>63</v>
      </c>
      <c r="S182" s="51" t="s">
        <v>63</v>
      </c>
      <c r="T182" s="51" t="s">
        <v>63</v>
      </c>
      <c r="U182" s="51" t="s">
        <v>63</v>
      </c>
      <c r="V182" s="51" t="s">
        <v>63</v>
      </c>
      <c r="W182" s="51" t="s">
        <v>63</v>
      </c>
      <c r="X182" s="51" t="s">
        <v>63</v>
      </c>
      <c r="Y182" s="51" t="s">
        <v>63</v>
      </c>
      <c r="Z182" s="51" t="s">
        <v>63</v>
      </c>
      <c r="AA182" s="51" t="s">
        <v>48</v>
      </c>
      <c r="AB182" s="51"/>
    </row>
    <row r="183" spans="1:28" ht="20.100000000000001" hidden="1" customHeight="1" x14ac:dyDescent="0.25">
      <c r="A183" s="51">
        <v>2353</v>
      </c>
      <c r="B183" s="51">
        <v>34</v>
      </c>
      <c r="C183" s="51" t="s">
        <v>598</v>
      </c>
      <c r="D183" s="111">
        <v>6899</v>
      </c>
      <c r="E183" s="51" t="s">
        <v>259</v>
      </c>
      <c r="F183" s="51">
        <v>1</v>
      </c>
      <c r="G183" s="83" t="s">
        <v>263</v>
      </c>
      <c r="H183" s="51" t="s">
        <v>63</v>
      </c>
      <c r="I183" s="51" t="s">
        <v>63</v>
      </c>
      <c r="J183" s="51" t="s">
        <v>63</v>
      </c>
      <c r="K183" s="51" t="s">
        <v>594</v>
      </c>
      <c r="L183" s="51" t="s">
        <v>63</v>
      </c>
      <c r="M183" s="107">
        <v>46254</v>
      </c>
      <c r="N183" s="51"/>
      <c r="O183" s="112">
        <v>46254</v>
      </c>
      <c r="P183" s="51"/>
      <c r="Q183" s="51" t="s">
        <v>63</v>
      </c>
      <c r="R183" s="51" t="s">
        <v>63</v>
      </c>
      <c r="S183" s="51" t="s">
        <v>63</v>
      </c>
      <c r="T183" s="51" t="s">
        <v>63</v>
      </c>
      <c r="U183" s="51" t="s">
        <v>63</v>
      </c>
      <c r="V183" s="51" t="s">
        <v>63</v>
      </c>
      <c r="W183" s="51" t="s">
        <v>63</v>
      </c>
      <c r="X183" s="51" t="s">
        <v>63</v>
      </c>
      <c r="Y183" s="51" t="s">
        <v>63</v>
      </c>
      <c r="Z183" s="51" t="s">
        <v>63</v>
      </c>
      <c r="AA183" s="51" t="s">
        <v>48</v>
      </c>
      <c r="AB183" s="51"/>
    </row>
    <row r="184" spans="1:28" ht="20.100000000000001" hidden="1" customHeight="1" x14ac:dyDescent="0.25">
      <c r="A184" s="51">
        <v>2353</v>
      </c>
      <c r="B184" s="51">
        <v>35</v>
      </c>
      <c r="C184" s="51" t="s">
        <v>598</v>
      </c>
      <c r="D184" s="111">
        <v>6900</v>
      </c>
      <c r="E184" s="51" t="s">
        <v>259</v>
      </c>
      <c r="F184" s="51">
        <v>1</v>
      </c>
      <c r="G184" s="83" t="s">
        <v>260</v>
      </c>
      <c r="H184" s="51" t="s">
        <v>63</v>
      </c>
      <c r="I184" s="51" t="s">
        <v>63</v>
      </c>
      <c r="J184" s="51" t="s">
        <v>63</v>
      </c>
      <c r="K184" s="51" t="s">
        <v>594</v>
      </c>
      <c r="L184" s="51" t="s">
        <v>63</v>
      </c>
      <c r="M184" s="107">
        <v>46254</v>
      </c>
      <c r="N184" s="51"/>
      <c r="O184" s="112">
        <v>46254</v>
      </c>
      <c r="P184" s="51"/>
      <c r="Q184" s="51" t="s">
        <v>63</v>
      </c>
      <c r="R184" s="51" t="s">
        <v>63</v>
      </c>
      <c r="S184" s="51" t="s">
        <v>63</v>
      </c>
      <c r="T184" s="51" t="s">
        <v>63</v>
      </c>
      <c r="U184" s="51" t="s">
        <v>63</v>
      </c>
      <c r="V184" s="51" t="s">
        <v>63</v>
      </c>
      <c r="W184" s="51" t="s">
        <v>63</v>
      </c>
      <c r="X184" s="51" t="s">
        <v>63</v>
      </c>
      <c r="Y184" s="51" t="s">
        <v>63</v>
      </c>
      <c r="Z184" s="51" t="s">
        <v>63</v>
      </c>
      <c r="AA184" s="51" t="s">
        <v>48</v>
      </c>
      <c r="AB184" s="51"/>
    </row>
    <row r="185" spans="1:28" ht="20.100000000000001" hidden="1" customHeight="1" x14ac:dyDescent="0.25">
      <c r="A185" s="51">
        <v>2353</v>
      </c>
      <c r="B185" s="51">
        <v>36</v>
      </c>
      <c r="C185" s="51" t="s">
        <v>598</v>
      </c>
      <c r="D185" s="111">
        <v>6901</v>
      </c>
      <c r="E185" s="51" t="s">
        <v>259</v>
      </c>
      <c r="F185" s="51">
        <v>1</v>
      </c>
      <c r="G185" s="83" t="s">
        <v>260</v>
      </c>
      <c r="H185" s="51" t="s">
        <v>63</v>
      </c>
      <c r="I185" s="51" t="s">
        <v>63</v>
      </c>
      <c r="J185" s="51" t="s">
        <v>63</v>
      </c>
      <c r="K185" s="51" t="s">
        <v>594</v>
      </c>
      <c r="L185" s="51" t="s">
        <v>63</v>
      </c>
      <c r="M185" s="107">
        <v>46254</v>
      </c>
      <c r="N185" s="51"/>
      <c r="O185" s="112">
        <v>46254</v>
      </c>
      <c r="P185" s="51"/>
      <c r="Q185" s="51" t="s">
        <v>63</v>
      </c>
      <c r="R185" s="51" t="s">
        <v>63</v>
      </c>
      <c r="S185" s="51" t="s">
        <v>63</v>
      </c>
      <c r="T185" s="51" t="s">
        <v>63</v>
      </c>
      <c r="U185" s="51" t="s">
        <v>63</v>
      </c>
      <c r="V185" s="51" t="s">
        <v>63</v>
      </c>
      <c r="W185" s="51" t="s">
        <v>63</v>
      </c>
      <c r="X185" s="51" t="s">
        <v>63</v>
      </c>
      <c r="Y185" s="51" t="s">
        <v>63</v>
      </c>
      <c r="Z185" s="51" t="s">
        <v>63</v>
      </c>
      <c r="AA185" s="51" t="s">
        <v>48</v>
      </c>
      <c r="AB185" s="51"/>
    </row>
    <row r="186" spans="1:28" ht="20.100000000000001" hidden="1" customHeight="1" x14ac:dyDescent="0.25">
      <c r="A186" s="51">
        <v>2353</v>
      </c>
      <c r="B186" s="51">
        <v>37</v>
      </c>
      <c r="C186" s="51" t="s">
        <v>598</v>
      </c>
      <c r="D186" s="111">
        <v>6902</v>
      </c>
      <c r="E186" s="51" t="s">
        <v>259</v>
      </c>
      <c r="F186" s="51">
        <v>1</v>
      </c>
      <c r="G186" s="83" t="s">
        <v>260</v>
      </c>
      <c r="H186" s="51" t="s">
        <v>63</v>
      </c>
      <c r="I186" s="51" t="s">
        <v>63</v>
      </c>
      <c r="J186" s="51" t="s">
        <v>63</v>
      </c>
      <c r="K186" s="51" t="s">
        <v>594</v>
      </c>
      <c r="L186" s="51" t="s">
        <v>63</v>
      </c>
      <c r="M186" s="107">
        <v>46254</v>
      </c>
      <c r="N186" s="51"/>
      <c r="O186" s="112">
        <v>46254</v>
      </c>
      <c r="P186" s="51"/>
      <c r="Q186" s="51" t="s">
        <v>63</v>
      </c>
      <c r="R186" s="51" t="s">
        <v>63</v>
      </c>
      <c r="S186" s="51" t="s">
        <v>63</v>
      </c>
      <c r="T186" s="51" t="s">
        <v>63</v>
      </c>
      <c r="U186" s="51" t="s">
        <v>63</v>
      </c>
      <c r="V186" s="51" t="s">
        <v>63</v>
      </c>
      <c r="W186" s="51" t="s">
        <v>63</v>
      </c>
      <c r="X186" s="51" t="s">
        <v>63</v>
      </c>
      <c r="Y186" s="51" t="s">
        <v>63</v>
      </c>
      <c r="Z186" s="51" t="s">
        <v>63</v>
      </c>
      <c r="AA186" s="51" t="s">
        <v>48</v>
      </c>
      <c r="AB186" s="51"/>
    </row>
    <row r="187" spans="1:28" ht="20.100000000000001" hidden="1" customHeight="1" x14ac:dyDescent="0.25">
      <c r="A187" s="51">
        <v>2353</v>
      </c>
      <c r="B187" s="51">
        <v>38</v>
      </c>
      <c r="C187" s="51" t="s">
        <v>598</v>
      </c>
      <c r="D187" s="111">
        <v>6903</v>
      </c>
      <c r="E187" s="51" t="s">
        <v>259</v>
      </c>
      <c r="F187" s="51">
        <v>1</v>
      </c>
      <c r="G187" s="83" t="s">
        <v>260</v>
      </c>
      <c r="H187" s="51" t="s">
        <v>63</v>
      </c>
      <c r="I187" s="51" t="s">
        <v>63</v>
      </c>
      <c r="J187" s="51" t="s">
        <v>63</v>
      </c>
      <c r="K187" s="51" t="s">
        <v>594</v>
      </c>
      <c r="L187" s="51" t="s">
        <v>63</v>
      </c>
      <c r="M187" s="107">
        <v>46254</v>
      </c>
      <c r="N187" s="51"/>
      <c r="O187" s="112">
        <v>46254</v>
      </c>
      <c r="P187" s="51"/>
      <c r="Q187" s="51" t="s">
        <v>63</v>
      </c>
      <c r="R187" s="51" t="s">
        <v>63</v>
      </c>
      <c r="S187" s="51" t="s">
        <v>63</v>
      </c>
      <c r="T187" s="51" t="s">
        <v>63</v>
      </c>
      <c r="U187" s="51" t="s">
        <v>63</v>
      </c>
      <c r="V187" s="51" t="s">
        <v>63</v>
      </c>
      <c r="W187" s="51" t="s">
        <v>63</v>
      </c>
      <c r="X187" s="51" t="s">
        <v>63</v>
      </c>
      <c r="Y187" s="51" t="s">
        <v>63</v>
      </c>
      <c r="Z187" s="51" t="s">
        <v>63</v>
      </c>
      <c r="AA187" s="51" t="s">
        <v>48</v>
      </c>
      <c r="AB187" s="51"/>
    </row>
    <row r="188" spans="1:28" ht="20.100000000000001" hidden="1" customHeight="1" x14ac:dyDescent="0.25">
      <c r="A188" s="51">
        <v>2353</v>
      </c>
      <c r="B188" s="51">
        <v>39</v>
      </c>
      <c r="C188" s="51" t="s">
        <v>598</v>
      </c>
      <c r="D188" s="111">
        <v>6904</v>
      </c>
      <c r="E188" s="51" t="s">
        <v>259</v>
      </c>
      <c r="F188" s="51">
        <v>1</v>
      </c>
      <c r="G188" s="83" t="s">
        <v>263</v>
      </c>
      <c r="H188" s="51" t="s">
        <v>63</v>
      </c>
      <c r="I188" s="51" t="s">
        <v>63</v>
      </c>
      <c r="J188" s="51" t="s">
        <v>63</v>
      </c>
      <c r="K188" s="51" t="s">
        <v>594</v>
      </c>
      <c r="L188" s="51" t="s">
        <v>63</v>
      </c>
      <c r="M188" s="107">
        <v>46254</v>
      </c>
      <c r="N188" s="51"/>
      <c r="O188" s="112">
        <v>46254</v>
      </c>
      <c r="P188" s="51"/>
      <c r="Q188" s="51" t="s">
        <v>63</v>
      </c>
      <c r="R188" s="51" t="s">
        <v>63</v>
      </c>
      <c r="S188" s="51" t="s">
        <v>63</v>
      </c>
      <c r="T188" s="51" t="s">
        <v>63</v>
      </c>
      <c r="U188" s="51" t="s">
        <v>63</v>
      </c>
      <c r="V188" s="51" t="s">
        <v>63</v>
      </c>
      <c r="W188" s="51" t="s">
        <v>63</v>
      </c>
      <c r="X188" s="51" t="s">
        <v>63</v>
      </c>
      <c r="Y188" s="51" t="s">
        <v>63</v>
      </c>
      <c r="Z188" s="51" t="s">
        <v>63</v>
      </c>
      <c r="AA188" s="51" t="s">
        <v>48</v>
      </c>
      <c r="AB188" s="51"/>
    </row>
    <row r="189" spans="1:28" ht="20.100000000000001" hidden="1" customHeight="1" x14ac:dyDescent="0.25">
      <c r="A189" s="51">
        <v>2353</v>
      </c>
      <c r="B189" s="51">
        <v>40</v>
      </c>
      <c r="C189" s="51" t="s">
        <v>598</v>
      </c>
      <c r="D189" s="111">
        <v>6905</v>
      </c>
      <c r="E189" s="51" t="s">
        <v>259</v>
      </c>
      <c r="F189" s="51">
        <v>1</v>
      </c>
      <c r="G189" s="83" t="s">
        <v>263</v>
      </c>
      <c r="H189" s="51" t="s">
        <v>63</v>
      </c>
      <c r="I189" s="51" t="s">
        <v>63</v>
      </c>
      <c r="J189" s="51" t="s">
        <v>63</v>
      </c>
      <c r="K189" s="51" t="s">
        <v>594</v>
      </c>
      <c r="L189" s="51" t="s">
        <v>63</v>
      </c>
      <c r="M189" s="107">
        <v>46254</v>
      </c>
      <c r="N189" s="51"/>
      <c r="O189" s="112">
        <v>46254</v>
      </c>
      <c r="P189" s="51"/>
      <c r="Q189" s="51" t="s">
        <v>63</v>
      </c>
      <c r="R189" s="51" t="s">
        <v>63</v>
      </c>
      <c r="S189" s="51" t="s">
        <v>63</v>
      </c>
      <c r="T189" s="51" t="s">
        <v>63</v>
      </c>
      <c r="U189" s="51" t="s">
        <v>63</v>
      </c>
      <c r="V189" s="51" t="s">
        <v>63</v>
      </c>
      <c r="W189" s="51" t="s">
        <v>63</v>
      </c>
      <c r="X189" s="51" t="s">
        <v>63</v>
      </c>
      <c r="Y189" s="51" t="s">
        <v>63</v>
      </c>
      <c r="Z189" s="51" t="s">
        <v>63</v>
      </c>
      <c r="AA189" s="51" t="s">
        <v>48</v>
      </c>
      <c r="AB189" s="51"/>
    </row>
    <row r="190" spans="1:28" ht="20.100000000000001" hidden="1" customHeight="1" x14ac:dyDescent="0.25">
      <c r="A190" s="51">
        <v>2353</v>
      </c>
      <c r="B190" s="51">
        <v>41</v>
      </c>
      <c r="C190" s="51" t="s">
        <v>598</v>
      </c>
      <c r="D190" s="111">
        <v>6906</v>
      </c>
      <c r="E190" s="51" t="s">
        <v>259</v>
      </c>
      <c r="F190" s="51">
        <v>1</v>
      </c>
      <c r="G190" s="83" t="s">
        <v>260</v>
      </c>
      <c r="H190" s="51" t="s">
        <v>63</v>
      </c>
      <c r="I190" s="51" t="s">
        <v>63</v>
      </c>
      <c r="J190" s="51" t="s">
        <v>63</v>
      </c>
      <c r="K190" s="51" t="s">
        <v>594</v>
      </c>
      <c r="L190" s="51" t="s">
        <v>63</v>
      </c>
      <c r="M190" s="107">
        <v>46254</v>
      </c>
      <c r="N190" s="51"/>
      <c r="O190" s="112">
        <v>46254</v>
      </c>
      <c r="P190" s="51"/>
      <c r="Q190" s="51" t="s">
        <v>63</v>
      </c>
      <c r="R190" s="51" t="s">
        <v>63</v>
      </c>
      <c r="S190" s="51" t="s">
        <v>63</v>
      </c>
      <c r="T190" s="51" t="s">
        <v>63</v>
      </c>
      <c r="U190" s="51" t="s">
        <v>63</v>
      </c>
      <c r="V190" s="51" t="s">
        <v>63</v>
      </c>
      <c r="W190" s="51" t="s">
        <v>63</v>
      </c>
      <c r="X190" s="51" t="s">
        <v>63</v>
      </c>
      <c r="Y190" s="51" t="s">
        <v>63</v>
      </c>
      <c r="Z190" s="51" t="s">
        <v>63</v>
      </c>
      <c r="AA190" s="51" t="s">
        <v>48</v>
      </c>
      <c r="AB190" s="51"/>
    </row>
    <row r="191" spans="1:28" ht="20.100000000000001" hidden="1" customHeight="1" x14ac:dyDescent="0.25">
      <c r="A191" s="51">
        <v>2353</v>
      </c>
      <c r="B191" s="51">
        <v>42</v>
      </c>
      <c r="C191" s="51" t="s">
        <v>598</v>
      </c>
      <c r="D191" s="111">
        <v>6907</v>
      </c>
      <c r="E191" s="51" t="s">
        <v>259</v>
      </c>
      <c r="F191" s="51">
        <v>1</v>
      </c>
      <c r="G191" s="83" t="s">
        <v>260</v>
      </c>
      <c r="H191" s="51" t="s">
        <v>63</v>
      </c>
      <c r="I191" s="51" t="s">
        <v>63</v>
      </c>
      <c r="J191" s="51" t="s">
        <v>63</v>
      </c>
      <c r="K191" s="51" t="s">
        <v>594</v>
      </c>
      <c r="L191" s="51" t="s">
        <v>63</v>
      </c>
      <c r="M191" s="107">
        <v>46254</v>
      </c>
      <c r="N191" s="51"/>
      <c r="O191" s="112">
        <v>46254</v>
      </c>
      <c r="P191" s="51"/>
      <c r="Q191" s="51" t="s">
        <v>63</v>
      </c>
      <c r="R191" s="51" t="s">
        <v>63</v>
      </c>
      <c r="S191" s="51" t="s">
        <v>63</v>
      </c>
      <c r="T191" s="51" t="s">
        <v>63</v>
      </c>
      <c r="U191" s="51" t="s">
        <v>63</v>
      </c>
      <c r="V191" s="51" t="s">
        <v>63</v>
      </c>
      <c r="W191" s="51" t="s">
        <v>63</v>
      </c>
      <c r="X191" s="51" t="s">
        <v>63</v>
      </c>
      <c r="Y191" s="51" t="s">
        <v>63</v>
      </c>
      <c r="Z191" s="51" t="s">
        <v>63</v>
      </c>
      <c r="AA191" s="51" t="s">
        <v>48</v>
      </c>
      <c r="AB191" s="51"/>
    </row>
    <row r="192" spans="1:28" ht="20.100000000000001" hidden="1" customHeight="1" x14ac:dyDescent="0.25">
      <c r="A192" s="51">
        <v>2353</v>
      </c>
      <c r="B192" s="51">
        <v>43</v>
      </c>
      <c r="C192" s="51" t="s">
        <v>598</v>
      </c>
      <c r="D192" s="111">
        <v>6908</v>
      </c>
      <c r="E192" s="51" t="s">
        <v>259</v>
      </c>
      <c r="F192" s="51">
        <v>1</v>
      </c>
      <c r="G192" s="83" t="s">
        <v>260</v>
      </c>
      <c r="H192" s="51" t="s">
        <v>63</v>
      </c>
      <c r="I192" s="51" t="s">
        <v>63</v>
      </c>
      <c r="J192" s="51" t="s">
        <v>63</v>
      </c>
      <c r="K192" s="51" t="s">
        <v>594</v>
      </c>
      <c r="L192" s="51" t="s">
        <v>63</v>
      </c>
      <c r="M192" s="107">
        <v>46254</v>
      </c>
      <c r="N192" s="51"/>
      <c r="O192" s="112">
        <v>46254</v>
      </c>
      <c r="P192" s="51"/>
      <c r="Q192" s="51" t="s">
        <v>63</v>
      </c>
      <c r="R192" s="51" t="s">
        <v>63</v>
      </c>
      <c r="S192" s="51" t="s">
        <v>63</v>
      </c>
      <c r="T192" s="51" t="s">
        <v>63</v>
      </c>
      <c r="U192" s="51" t="s">
        <v>63</v>
      </c>
      <c r="V192" s="51" t="s">
        <v>63</v>
      </c>
      <c r="W192" s="51" t="s">
        <v>63</v>
      </c>
      <c r="X192" s="51" t="s">
        <v>63</v>
      </c>
      <c r="Y192" s="51" t="s">
        <v>63</v>
      </c>
      <c r="Z192" s="51" t="s">
        <v>63</v>
      </c>
      <c r="AA192" s="51" t="s">
        <v>48</v>
      </c>
      <c r="AB192" s="51"/>
    </row>
    <row r="193" spans="1:28" ht="20.100000000000001" hidden="1" customHeight="1" x14ac:dyDescent="0.25">
      <c r="A193" s="51">
        <v>2353</v>
      </c>
      <c r="B193" s="51">
        <v>44</v>
      </c>
      <c r="C193" s="51" t="s">
        <v>598</v>
      </c>
      <c r="D193" s="111">
        <v>6909</v>
      </c>
      <c r="E193" s="51" t="s">
        <v>259</v>
      </c>
      <c r="F193" s="51">
        <v>1</v>
      </c>
      <c r="G193" s="83" t="s">
        <v>260</v>
      </c>
      <c r="H193" s="51" t="s">
        <v>63</v>
      </c>
      <c r="I193" s="51" t="s">
        <v>63</v>
      </c>
      <c r="J193" s="51" t="s">
        <v>63</v>
      </c>
      <c r="K193" s="51" t="s">
        <v>594</v>
      </c>
      <c r="L193" s="51" t="s">
        <v>63</v>
      </c>
      <c r="M193" s="107">
        <v>46254</v>
      </c>
      <c r="N193" s="51"/>
      <c r="O193" s="112">
        <v>46254</v>
      </c>
      <c r="P193" s="51"/>
      <c r="Q193" s="51" t="s">
        <v>63</v>
      </c>
      <c r="R193" s="51" t="s">
        <v>63</v>
      </c>
      <c r="S193" s="51" t="s">
        <v>63</v>
      </c>
      <c r="T193" s="51" t="s">
        <v>63</v>
      </c>
      <c r="U193" s="51" t="s">
        <v>63</v>
      </c>
      <c r="V193" s="51" t="s">
        <v>63</v>
      </c>
      <c r="W193" s="51" t="s">
        <v>63</v>
      </c>
      <c r="X193" s="51" t="s">
        <v>63</v>
      </c>
      <c r="Y193" s="51" t="s">
        <v>63</v>
      </c>
      <c r="Z193" s="51" t="s">
        <v>63</v>
      </c>
      <c r="AA193" s="51" t="s">
        <v>48</v>
      </c>
      <c r="AB193" s="51"/>
    </row>
    <row r="194" spans="1:28" ht="20.100000000000001" hidden="1" customHeight="1" x14ac:dyDescent="0.25">
      <c r="A194" s="51">
        <v>2353</v>
      </c>
      <c r="B194" s="51">
        <v>45</v>
      </c>
      <c r="C194" s="51" t="s">
        <v>598</v>
      </c>
      <c r="D194" s="111">
        <v>6910</v>
      </c>
      <c r="E194" s="51" t="s">
        <v>259</v>
      </c>
      <c r="F194" s="51">
        <v>1</v>
      </c>
      <c r="G194" s="83" t="s">
        <v>260</v>
      </c>
      <c r="H194" s="51" t="s">
        <v>63</v>
      </c>
      <c r="I194" s="51" t="s">
        <v>63</v>
      </c>
      <c r="J194" s="51" t="s">
        <v>63</v>
      </c>
      <c r="K194" s="51" t="s">
        <v>594</v>
      </c>
      <c r="L194" s="51" t="s">
        <v>63</v>
      </c>
      <c r="M194" s="107">
        <v>46254</v>
      </c>
      <c r="N194" s="51"/>
      <c r="O194" s="112">
        <v>46254</v>
      </c>
      <c r="P194" s="51"/>
      <c r="Q194" s="51" t="s">
        <v>63</v>
      </c>
      <c r="R194" s="51" t="s">
        <v>63</v>
      </c>
      <c r="S194" s="51" t="s">
        <v>63</v>
      </c>
      <c r="T194" s="51" t="s">
        <v>63</v>
      </c>
      <c r="U194" s="51" t="s">
        <v>63</v>
      </c>
      <c r="V194" s="51" t="s">
        <v>63</v>
      </c>
      <c r="W194" s="51" t="s">
        <v>63</v>
      </c>
      <c r="X194" s="51" t="s">
        <v>63</v>
      </c>
      <c r="Y194" s="51" t="s">
        <v>63</v>
      </c>
      <c r="Z194" s="51" t="s">
        <v>63</v>
      </c>
      <c r="AA194" s="51" t="s">
        <v>48</v>
      </c>
      <c r="AB194" s="51"/>
    </row>
    <row r="195" spans="1:28" ht="20.100000000000001" hidden="1" customHeight="1" x14ac:dyDescent="0.25">
      <c r="A195" s="51">
        <v>2353</v>
      </c>
      <c r="B195" s="51">
        <v>46</v>
      </c>
      <c r="C195" s="51" t="s">
        <v>598</v>
      </c>
      <c r="D195" s="111">
        <v>6911</v>
      </c>
      <c r="E195" s="51" t="s">
        <v>259</v>
      </c>
      <c r="F195" s="51">
        <v>1</v>
      </c>
      <c r="G195" s="83" t="s">
        <v>260</v>
      </c>
      <c r="H195" s="51" t="s">
        <v>63</v>
      </c>
      <c r="I195" s="51" t="s">
        <v>63</v>
      </c>
      <c r="J195" s="51" t="s">
        <v>63</v>
      </c>
      <c r="K195" s="51" t="s">
        <v>594</v>
      </c>
      <c r="L195" s="51" t="s">
        <v>63</v>
      </c>
      <c r="M195" s="107">
        <v>46254</v>
      </c>
      <c r="N195" s="51"/>
      <c r="O195" s="112">
        <v>46254</v>
      </c>
      <c r="P195" s="51"/>
      <c r="Q195" s="51" t="s">
        <v>63</v>
      </c>
      <c r="R195" s="51" t="s">
        <v>63</v>
      </c>
      <c r="S195" s="51" t="s">
        <v>63</v>
      </c>
      <c r="T195" s="51" t="s">
        <v>63</v>
      </c>
      <c r="U195" s="51" t="s">
        <v>63</v>
      </c>
      <c r="V195" s="51" t="s">
        <v>63</v>
      </c>
      <c r="W195" s="51" t="s">
        <v>63</v>
      </c>
      <c r="X195" s="51" t="s">
        <v>63</v>
      </c>
      <c r="Y195" s="51" t="s">
        <v>63</v>
      </c>
      <c r="Z195" s="51" t="s">
        <v>63</v>
      </c>
      <c r="AA195" s="51" t="s">
        <v>48</v>
      </c>
      <c r="AB195" s="51"/>
    </row>
    <row r="196" spans="1:28" ht="20.100000000000001" hidden="1" customHeight="1" x14ac:dyDescent="0.25">
      <c r="A196" s="51">
        <v>2253</v>
      </c>
      <c r="B196" s="51">
        <v>1</v>
      </c>
      <c r="C196" s="51" t="s">
        <v>598</v>
      </c>
      <c r="D196" s="111">
        <v>6789</v>
      </c>
      <c r="E196" s="51" t="s">
        <v>259</v>
      </c>
      <c r="F196" s="51">
        <v>1</v>
      </c>
      <c r="G196" s="83" t="s">
        <v>268</v>
      </c>
      <c r="H196" s="51" t="s">
        <v>63</v>
      </c>
      <c r="I196" s="51" t="s">
        <v>63</v>
      </c>
      <c r="J196" s="51" t="s">
        <v>63</v>
      </c>
      <c r="K196" s="51" t="s">
        <v>594</v>
      </c>
      <c r="L196" s="51" t="s">
        <v>63</v>
      </c>
      <c r="M196" s="107">
        <v>46206</v>
      </c>
      <c r="N196" s="107">
        <v>46206</v>
      </c>
      <c r="O196" s="112">
        <v>46206</v>
      </c>
      <c r="P196" s="107">
        <v>46206</v>
      </c>
      <c r="Q196" s="51" t="s">
        <v>63</v>
      </c>
      <c r="R196" s="51" t="s">
        <v>63</v>
      </c>
      <c r="S196" s="51" t="s">
        <v>63</v>
      </c>
      <c r="T196" s="51" t="s">
        <v>63</v>
      </c>
      <c r="U196" s="51" t="s">
        <v>63</v>
      </c>
      <c r="V196" s="51" t="s">
        <v>63</v>
      </c>
      <c r="W196" s="51" t="s">
        <v>63</v>
      </c>
      <c r="X196" s="51" t="s">
        <v>63</v>
      </c>
      <c r="Y196" s="51" t="s">
        <v>63</v>
      </c>
      <c r="Z196" s="51" t="s">
        <v>63</v>
      </c>
      <c r="AA196" s="51" t="s">
        <v>326</v>
      </c>
      <c r="AB196" s="51"/>
    </row>
    <row r="197" spans="1:28" ht="20.100000000000001" hidden="1" customHeight="1" x14ac:dyDescent="0.25">
      <c r="A197" s="51">
        <v>2253</v>
      </c>
      <c r="B197" s="51">
        <v>2</v>
      </c>
      <c r="C197" s="51" t="s">
        <v>598</v>
      </c>
      <c r="D197" s="111">
        <v>6790</v>
      </c>
      <c r="E197" s="51" t="s">
        <v>259</v>
      </c>
      <c r="F197" s="51">
        <v>1</v>
      </c>
      <c r="G197" s="83" t="s">
        <v>260</v>
      </c>
      <c r="H197" s="51" t="s">
        <v>63</v>
      </c>
      <c r="I197" s="51" t="s">
        <v>63</v>
      </c>
      <c r="J197" s="51" t="s">
        <v>63</v>
      </c>
      <c r="K197" s="51" t="s">
        <v>594</v>
      </c>
      <c r="L197" s="51" t="s">
        <v>63</v>
      </c>
      <c r="M197" s="107">
        <v>46206</v>
      </c>
      <c r="N197" s="107">
        <v>46206</v>
      </c>
      <c r="O197" s="112">
        <v>46206</v>
      </c>
      <c r="P197" s="107">
        <v>46206</v>
      </c>
      <c r="Q197" s="51" t="s">
        <v>63</v>
      </c>
      <c r="R197" s="51" t="s">
        <v>63</v>
      </c>
      <c r="S197" s="51" t="s">
        <v>63</v>
      </c>
      <c r="T197" s="51" t="s">
        <v>63</v>
      </c>
      <c r="U197" s="51" t="s">
        <v>63</v>
      </c>
      <c r="V197" s="51" t="s">
        <v>63</v>
      </c>
      <c r="W197" s="51" t="s">
        <v>63</v>
      </c>
      <c r="X197" s="51" t="s">
        <v>63</v>
      </c>
      <c r="Y197" s="51" t="s">
        <v>63</v>
      </c>
      <c r="Z197" s="51" t="s">
        <v>63</v>
      </c>
      <c r="AA197" s="51" t="s">
        <v>326</v>
      </c>
      <c r="AB197" s="51"/>
    </row>
    <row r="198" spans="1:28" ht="20.100000000000001" hidden="1" customHeight="1" x14ac:dyDescent="0.25">
      <c r="A198" s="51">
        <v>2253</v>
      </c>
      <c r="B198" s="51">
        <v>3</v>
      </c>
      <c r="C198" s="51" t="s">
        <v>598</v>
      </c>
      <c r="D198" s="111">
        <v>6791</v>
      </c>
      <c r="E198" s="51" t="s">
        <v>259</v>
      </c>
      <c r="F198" s="51">
        <v>1</v>
      </c>
      <c r="G198" s="83" t="s">
        <v>260</v>
      </c>
      <c r="H198" s="51" t="s">
        <v>63</v>
      </c>
      <c r="I198" s="51" t="s">
        <v>63</v>
      </c>
      <c r="J198" s="51" t="s">
        <v>63</v>
      </c>
      <c r="K198" s="51" t="s">
        <v>594</v>
      </c>
      <c r="L198" s="51" t="s">
        <v>63</v>
      </c>
      <c r="M198" s="107">
        <v>46206</v>
      </c>
      <c r="N198" s="107">
        <v>46206</v>
      </c>
      <c r="O198" s="112">
        <v>46206</v>
      </c>
      <c r="P198" s="107">
        <v>46206</v>
      </c>
      <c r="Q198" s="51" t="s">
        <v>63</v>
      </c>
      <c r="R198" s="51" t="s">
        <v>63</v>
      </c>
      <c r="S198" s="51" t="s">
        <v>63</v>
      </c>
      <c r="T198" s="51" t="s">
        <v>63</v>
      </c>
      <c r="U198" s="51" t="s">
        <v>63</v>
      </c>
      <c r="V198" s="51" t="s">
        <v>63</v>
      </c>
      <c r="W198" s="51" t="s">
        <v>63</v>
      </c>
      <c r="X198" s="51" t="s">
        <v>63</v>
      </c>
      <c r="Y198" s="51" t="s">
        <v>63</v>
      </c>
      <c r="Z198" s="51" t="s">
        <v>63</v>
      </c>
      <c r="AA198" s="51" t="s">
        <v>326</v>
      </c>
      <c r="AB198" s="51"/>
    </row>
    <row r="199" spans="1:28" ht="20.100000000000001" hidden="1" customHeight="1" x14ac:dyDescent="0.25">
      <c r="A199" s="51">
        <v>2253</v>
      </c>
      <c r="B199" s="51">
        <v>4</v>
      </c>
      <c r="C199" s="51" t="s">
        <v>598</v>
      </c>
      <c r="D199" s="111">
        <v>6792</v>
      </c>
      <c r="E199" s="51" t="s">
        <v>259</v>
      </c>
      <c r="F199" s="51">
        <v>1</v>
      </c>
      <c r="G199" s="83" t="s">
        <v>595</v>
      </c>
      <c r="H199" s="51" t="s">
        <v>63</v>
      </c>
      <c r="I199" s="51" t="s">
        <v>63</v>
      </c>
      <c r="J199" s="51" t="s">
        <v>63</v>
      </c>
      <c r="K199" s="51" t="s">
        <v>594</v>
      </c>
      <c r="L199" s="51" t="s">
        <v>63</v>
      </c>
      <c r="M199" s="107">
        <v>46186</v>
      </c>
      <c r="N199" s="107">
        <v>46186</v>
      </c>
      <c r="O199" s="112">
        <v>46186</v>
      </c>
      <c r="P199" s="107">
        <v>46186</v>
      </c>
      <c r="Q199" s="51" t="s">
        <v>63</v>
      </c>
      <c r="R199" s="51" t="s">
        <v>63</v>
      </c>
      <c r="S199" s="51" t="s">
        <v>63</v>
      </c>
      <c r="T199" s="51" t="s">
        <v>63</v>
      </c>
      <c r="U199" s="51" t="s">
        <v>63</v>
      </c>
      <c r="V199" s="51" t="s">
        <v>63</v>
      </c>
      <c r="W199" s="51" t="s">
        <v>63</v>
      </c>
      <c r="X199" s="51" t="s">
        <v>63</v>
      </c>
      <c r="Y199" s="51" t="s">
        <v>63</v>
      </c>
      <c r="Z199" s="51" t="s">
        <v>63</v>
      </c>
      <c r="AA199" s="51" t="s">
        <v>326</v>
      </c>
      <c r="AB199" s="51"/>
    </row>
    <row r="200" spans="1:28" ht="20.100000000000001" hidden="1" customHeight="1" x14ac:dyDescent="0.25">
      <c r="A200" s="51">
        <v>2253</v>
      </c>
      <c r="B200" s="51">
        <v>5</v>
      </c>
      <c r="C200" s="51" t="s">
        <v>598</v>
      </c>
      <c r="D200" s="111">
        <v>6793</v>
      </c>
      <c r="E200" s="51" t="s">
        <v>259</v>
      </c>
      <c r="F200" s="51">
        <v>1</v>
      </c>
      <c r="G200" s="83" t="s">
        <v>595</v>
      </c>
      <c r="H200" s="51" t="s">
        <v>63</v>
      </c>
      <c r="I200" s="51" t="s">
        <v>63</v>
      </c>
      <c r="J200" s="51" t="s">
        <v>63</v>
      </c>
      <c r="K200" s="51" t="s">
        <v>594</v>
      </c>
      <c r="L200" s="51" t="s">
        <v>63</v>
      </c>
      <c r="M200" s="107">
        <v>46186</v>
      </c>
      <c r="N200" s="107">
        <v>46186</v>
      </c>
      <c r="O200" s="112">
        <v>46186</v>
      </c>
      <c r="P200" s="107">
        <v>46186</v>
      </c>
      <c r="Q200" s="51" t="s">
        <v>63</v>
      </c>
      <c r="R200" s="51" t="s">
        <v>63</v>
      </c>
      <c r="S200" s="51" t="s">
        <v>63</v>
      </c>
      <c r="T200" s="51" t="s">
        <v>63</v>
      </c>
      <c r="U200" s="51" t="s">
        <v>63</v>
      </c>
      <c r="V200" s="51" t="s">
        <v>63</v>
      </c>
      <c r="W200" s="51" t="s">
        <v>63</v>
      </c>
      <c r="X200" s="51" t="s">
        <v>63</v>
      </c>
      <c r="Y200" s="51" t="s">
        <v>63</v>
      </c>
      <c r="Z200" s="51" t="s">
        <v>63</v>
      </c>
      <c r="AA200" s="51" t="s">
        <v>326</v>
      </c>
      <c r="AB200" s="51"/>
    </row>
    <row r="201" spans="1:28" ht="20.100000000000001" hidden="1" customHeight="1" x14ac:dyDescent="0.25">
      <c r="A201" s="51">
        <v>2253</v>
      </c>
      <c r="B201" s="51">
        <v>6</v>
      </c>
      <c r="C201" s="51" t="s">
        <v>598</v>
      </c>
      <c r="D201" s="111">
        <v>6794</v>
      </c>
      <c r="E201" s="51" t="s">
        <v>259</v>
      </c>
      <c r="F201" s="51">
        <v>1</v>
      </c>
      <c r="G201" s="83" t="s">
        <v>595</v>
      </c>
      <c r="H201" s="51" t="s">
        <v>63</v>
      </c>
      <c r="I201" s="51" t="s">
        <v>63</v>
      </c>
      <c r="J201" s="51" t="s">
        <v>63</v>
      </c>
      <c r="K201" s="51" t="s">
        <v>594</v>
      </c>
      <c r="L201" s="51" t="s">
        <v>63</v>
      </c>
      <c r="M201" s="107">
        <v>46186</v>
      </c>
      <c r="N201" s="107">
        <v>46186</v>
      </c>
      <c r="O201" s="112">
        <v>46186</v>
      </c>
      <c r="P201" s="107">
        <v>46186</v>
      </c>
      <c r="Q201" s="51" t="s">
        <v>63</v>
      </c>
      <c r="R201" s="51" t="s">
        <v>63</v>
      </c>
      <c r="S201" s="51" t="s">
        <v>63</v>
      </c>
      <c r="T201" s="51" t="s">
        <v>63</v>
      </c>
      <c r="U201" s="51" t="s">
        <v>63</v>
      </c>
      <c r="V201" s="51" t="s">
        <v>63</v>
      </c>
      <c r="W201" s="51" t="s">
        <v>63</v>
      </c>
      <c r="X201" s="51" t="s">
        <v>63</v>
      </c>
      <c r="Y201" s="51" t="s">
        <v>63</v>
      </c>
      <c r="Z201" s="51" t="s">
        <v>63</v>
      </c>
      <c r="AA201" s="51" t="s">
        <v>326</v>
      </c>
      <c r="AB201" s="51"/>
    </row>
    <row r="202" spans="1:28" ht="20.100000000000001" hidden="1" customHeight="1" x14ac:dyDescent="0.25">
      <c r="A202" s="51">
        <v>2253</v>
      </c>
      <c r="B202" s="51">
        <v>7</v>
      </c>
      <c r="C202" s="51" t="s">
        <v>598</v>
      </c>
      <c r="D202" s="111">
        <v>6795</v>
      </c>
      <c r="E202" s="51" t="s">
        <v>259</v>
      </c>
      <c r="F202" s="51">
        <v>1</v>
      </c>
      <c r="G202" s="83" t="s">
        <v>595</v>
      </c>
      <c r="H202" s="51" t="s">
        <v>63</v>
      </c>
      <c r="I202" s="51" t="s">
        <v>63</v>
      </c>
      <c r="J202" s="51" t="s">
        <v>63</v>
      </c>
      <c r="K202" s="51" t="s">
        <v>594</v>
      </c>
      <c r="L202" s="51" t="s">
        <v>63</v>
      </c>
      <c r="M202" s="107">
        <v>46186</v>
      </c>
      <c r="N202" s="107">
        <v>46186</v>
      </c>
      <c r="O202" s="112">
        <v>46186</v>
      </c>
      <c r="P202" s="107">
        <v>46186</v>
      </c>
      <c r="Q202" s="51" t="s">
        <v>63</v>
      </c>
      <c r="R202" s="51" t="s">
        <v>63</v>
      </c>
      <c r="S202" s="51" t="s">
        <v>63</v>
      </c>
      <c r="T202" s="51" t="s">
        <v>63</v>
      </c>
      <c r="U202" s="51" t="s">
        <v>63</v>
      </c>
      <c r="V202" s="51" t="s">
        <v>63</v>
      </c>
      <c r="W202" s="51" t="s">
        <v>63</v>
      </c>
      <c r="X202" s="51" t="s">
        <v>63</v>
      </c>
      <c r="Y202" s="51" t="s">
        <v>63</v>
      </c>
      <c r="Z202" s="51" t="s">
        <v>63</v>
      </c>
      <c r="AA202" s="51" t="s">
        <v>326</v>
      </c>
      <c r="AB202" s="51"/>
    </row>
    <row r="203" spans="1:28" ht="20.100000000000001" hidden="1" customHeight="1" x14ac:dyDescent="0.25">
      <c r="A203" s="51">
        <v>2253</v>
      </c>
      <c r="B203" s="51">
        <v>8</v>
      </c>
      <c r="C203" s="51" t="s">
        <v>598</v>
      </c>
      <c r="D203" s="111">
        <v>6796</v>
      </c>
      <c r="E203" s="51" t="s">
        <v>259</v>
      </c>
      <c r="F203" s="51">
        <v>1</v>
      </c>
      <c r="G203" s="83" t="s">
        <v>267</v>
      </c>
      <c r="H203" s="51" t="s">
        <v>63</v>
      </c>
      <c r="I203" s="51" t="s">
        <v>63</v>
      </c>
      <c r="J203" s="51" t="s">
        <v>63</v>
      </c>
      <c r="K203" s="51" t="s">
        <v>594</v>
      </c>
      <c r="L203" s="51" t="s">
        <v>63</v>
      </c>
      <c r="M203" s="107">
        <v>46196</v>
      </c>
      <c r="N203" s="107">
        <v>46196</v>
      </c>
      <c r="O203" s="112">
        <v>46196</v>
      </c>
      <c r="P203" s="107">
        <v>46196</v>
      </c>
      <c r="Q203" s="51" t="s">
        <v>63</v>
      </c>
      <c r="R203" s="51" t="s">
        <v>63</v>
      </c>
      <c r="S203" s="51" t="s">
        <v>63</v>
      </c>
      <c r="T203" s="51" t="s">
        <v>63</v>
      </c>
      <c r="U203" s="51" t="s">
        <v>63</v>
      </c>
      <c r="V203" s="51" t="s">
        <v>63</v>
      </c>
      <c r="W203" s="51" t="s">
        <v>63</v>
      </c>
      <c r="X203" s="51" t="s">
        <v>63</v>
      </c>
      <c r="Y203" s="51" t="s">
        <v>63</v>
      </c>
      <c r="Z203" s="51" t="s">
        <v>63</v>
      </c>
      <c r="AA203" s="51" t="s">
        <v>326</v>
      </c>
      <c r="AB203" s="51"/>
    </row>
    <row r="204" spans="1:28" ht="20.100000000000001" hidden="1" customHeight="1" x14ac:dyDescent="0.25">
      <c r="A204" s="51">
        <v>2253</v>
      </c>
      <c r="B204" s="51">
        <v>9</v>
      </c>
      <c r="C204" s="51" t="s">
        <v>598</v>
      </c>
      <c r="D204" s="111">
        <v>6797</v>
      </c>
      <c r="E204" s="51" t="s">
        <v>259</v>
      </c>
      <c r="F204" s="51">
        <v>1</v>
      </c>
      <c r="G204" s="83" t="s">
        <v>267</v>
      </c>
      <c r="H204" s="51" t="s">
        <v>63</v>
      </c>
      <c r="I204" s="51" t="s">
        <v>63</v>
      </c>
      <c r="J204" s="51" t="s">
        <v>63</v>
      </c>
      <c r="K204" s="51" t="s">
        <v>594</v>
      </c>
      <c r="L204" s="51" t="s">
        <v>63</v>
      </c>
      <c r="M204" s="107">
        <v>46196</v>
      </c>
      <c r="N204" s="107">
        <v>46196</v>
      </c>
      <c r="O204" s="112">
        <v>46196</v>
      </c>
      <c r="P204" s="107">
        <v>46196</v>
      </c>
      <c r="Q204" s="51" t="s">
        <v>63</v>
      </c>
      <c r="R204" s="51" t="s">
        <v>63</v>
      </c>
      <c r="S204" s="51" t="s">
        <v>63</v>
      </c>
      <c r="T204" s="51" t="s">
        <v>63</v>
      </c>
      <c r="U204" s="51" t="s">
        <v>63</v>
      </c>
      <c r="V204" s="51" t="s">
        <v>63</v>
      </c>
      <c r="W204" s="51" t="s">
        <v>63</v>
      </c>
      <c r="X204" s="51" t="s">
        <v>63</v>
      </c>
      <c r="Y204" s="51" t="s">
        <v>63</v>
      </c>
      <c r="Z204" s="51" t="s">
        <v>63</v>
      </c>
      <c r="AA204" s="51" t="s">
        <v>326</v>
      </c>
      <c r="AB204" s="51"/>
    </row>
    <row r="205" spans="1:28" ht="20.100000000000001" hidden="1" customHeight="1" x14ac:dyDescent="0.25">
      <c r="A205" s="51">
        <v>2253</v>
      </c>
      <c r="B205" s="51">
        <v>10</v>
      </c>
      <c r="C205" s="51" t="s">
        <v>598</v>
      </c>
      <c r="D205" s="111">
        <v>6798</v>
      </c>
      <c r="E205" s="51" t="s">
        <v>259</v>
      </c>
      <c r="F205" s="51">
        <v>1</v>
      </c>
      <c r="G205" s="83" t="s">
        <v>595</v>
      </c>
      <c r="H205" s="51" t="s">
        <v>63</v>
      </c>
      <c r="I205" s="51" t="s">
        <v>63</v>
      </c>
      <c r="J205" s="51" t="s">
        <v>63</v>
      </c>
      <c r="K205" s="51" t="s">
        <v>594</v>
      </c>
      <c r="L205" s="51" t="s">
        <v>63</v>
      </c>
      <c r="M205" s="107">
        <v>46196</v>
      </c>
      <c r="N205" s="107">
        <v>46196</v>
      </c>
      <c r="O205" s="112">
        <v>46196</v>
      </c>
      <c r="P205" s="107">
        <v>46196</v>
      </c>
      <c r="Q205" s="51" t="s">
        <v>63</v>
      </c>
      <c r="R205" s="51" t="s">
        <v>63</v>
      </c>
      <c r="S205" s="51" t="s">
        <v>63</v>
      </c>
      <c r="T205" s="51" t="s">
        <v>63</v>
      </c>
      <c r="U205" s="51" t="s">
        <v>63</v>
      </c>
      <c r="V205" s="51" t="s">
        <v>63</v>
      </c>
      <c r="W205" s="51" t="s">
        <v>63</v>
      </c>
      <c r="X205" s="51" t="s">
        <v>63</v>
      </c>
      <c r="Y205" s="51" t="s">
        <v>63</v>
      </c>
      <c r="Z205" s="51" t="s">
        <v>63</v>
      </c>
      <c r="AA205" s="51" t="s">
        <v>326</v>
      </c>
      <c r="AB205" s="51"/>
    </row>
    <row r="206" spans="1:28" ht="20.100000000000001" hidden="1" customHeight="1" x14ac:dyDescent="0.25">
      <c r="A206" s="51">
        <v>2253</v>
      </c>
      <c r="B206" s="51">
        <v>11</v>
      </c>
      <c r="C206" s="51" t="s">
        <v>598</v>
      </c>
      <c r="D206" s="111">
        <v>6799</v>
      </c>
      <c r="E206" s="51" t="s">
        <v>259</v>
      </c>
      <c r="F206" s="51">
        <v>1</v>
      </c>
      <c r="G206" s="83" t="s">
        <v>595</v>
      </c>
      <c r="H206" s="51" t="s">
        <v>63</v>
      </c>
      <c r="I206" s="51" t="s">
        <v>63</v>
      </c>
      <c r="J206" s="51" t="s">
        <v>63</v>
      </c>
      <c r="K206" s="51" t="s">
        <v>594</v>
      </c>
      <c r="L206" s="51" t="s">
        <v>63</v>
      </c>
      <c r="M206" s="107">
        <v>46196</v>
      </c>
      <c r="N206" s="107">
        <v>46196</v>
      </c>
      <c r="O206" s="112">
        <v>46196</v>
      </c>
      <c r="P206" s="107">
        <v>46196</v>
      </c>
      <c r="Q206" s="51" t="s">
        <v>63</v>
      </c>
      <c r="R206" s="51" t="s">
        <v>63</v>
      </c>
      <c r="S206" s="51" t="s">
        <v>63</v>
      </c>
      <c r="T206" s="51" t="s">
        <v>63</v>
      </c>
      <c r="U206" s="51" t="s">
        <v>63</v>
      </c>
      <c r="V206" s="51" t="s">
        <v>63</v>
      </c>
      <c r="W206" s="51" t="s">
        <v>63</v>
      </c>
      <c r="X206" s="51" t="s">
        <v>63</v>
      </c>
      <c r="Y206" s="51" t="s">
        <v>63</v>
      </c>
      <c r="Z206" s="51" t="s">
        <v>63</v>
      </c>
      <c r="AA206" s="51" t="s">
        <v>326</v>
      </c>
      <c r="AB206" s="51"/>
    </row>
    <row r="207" spans="1:28" ht="20.100000000000001" hidden="1" customHeight="1" x14ac:dyDescent="0.25">
      <c r="A207" s="51">
        <v>2253</v>
      </c>
      <c r="B207" s="51">
        <v>12</v>
      </c>
      <c r="C207" s="51" t="s">
        <v>598</v>
      </c>
      <c r="D207" s="111">
        <v>6800</v>
      </c>
      <c r="E207" s="51" t="s">
        <v>259</v>
      </c>
      <c r="F207" s="51">
        <v>1</v>
      </c>
      <c r="G207" s="83" t="s">
        <v>268</v>
      </c>
      <c r="H207" s="51" t="s">
        <v>63</v>
      </c>
      <c r="I207" s="51" t="s">
        <v>63</v>
      </c>
      <c r="J207" s="51" t="s">
        <v>63</v>
      </c>
      <c r="K207" s="51" t="s">
        <v>594</v>
      </c>
      <c r="L207" s="51" t="s">
        <v>63</v>
      </c>
      <c r="M207" s="107">
        <v>46196</v>
      </c>
      <c r="N207" s="107">
        <v>46196</v>
      </c>
      <c r="O207" s="112">
        <v>46196</v>
      </c>
      <c r="P207" s="107">
        <v>46196</v>
      </c>
      <c r="Q207" s="51" t="s">
        <v>63</v>
      </c>
      <c r="R207" s="51" t="s">
        <v>63</v>
      </c>
      <c r="S207" s="51" t="s">
        <v>63</v>
      </c>
      <c r="T207" s="51" t="s">
        <v>63</v>
      </c>
      <c r="U207" s="51" t="s">
        <v>63</v>
      </c>
      <c r="V207" s="51" t="s">
        <v>63</v>
      </c>
      <c r="W207" s="51" t="s">
        <v>63</v>
      </c>
      <c r="X207" s="51" t="s">
        <v>63</v>
      </c>
      <c r="Y207" s="51" t="s">
        <v>63</v>
      </c>
      <c r="Z207" s="51" t="s">
        <v>63</v>
      </c>
      <c r="AA207" s="51" t="s">
        <v>326</v>
      </c>
      <c r="AB207" s="51"/>
    </row>
    <row r="208" spans="1:28" ht="20.100000000000001" hidden="1" customHeight="1" x14ac:dyDescent="0.25">
      <c r="A208" s="51">
        <v>2253</v>
      </c>
      <c r="B208" s="51">
        <v>13</v>
      </c>
      <c r="C208" s="51" t="s">
        <v>598</v>
      </c>
      <c r="D208" s="111">
        <v>6801</v>
      </c>
      <c r="E208" s="51" t="s">
        <v>259</v>
      </c>
      <c r="F208" s="51">
        <v>1</v>
      </c>
      <c r="G208" s="83" t="s">
        <v>268</v>
      </c>
      <c r="H208" s="51" t="s">
        <v>63</v>
      </c>
      <c r="I208" s="51" t="s">
        <v>63</v>
      </c>
      <c r="J208" s="51" t="s">
        <v>63</v>
      </c>
      <c r="K208" s="51" t="s">
        <v>594</v>
      </c>
      <c r="L208" s="51" t="s">
        <v>63</v>
      </c>
      <c r="M208" s="107">
        <v>46196</v>
      </c>
      <c r="N208" s="107">
        <v>46196</v>
      </c>
      <c r="O208" s="112">
        <v>46196</v>
      </c>
      <c r="P208" s="107">
        <v>46196</v>
      </c>
      <c r="Q208" s="51" t="s">
        <v>63</v>
      </c>
      <c r="R208" s="51" t="s">
        <v>63</v>
      </c>
      <c r="S208" s="51" t="s">
        <v>63</v>
      </c>
      <c r="T208" s="51" t="s">
        <v>63</v>
      </c>
      <c r="U208" s="51" t="s">
        <v>63</v>
      </c>
      <c r="V208" s="51" t="s">
        <v>63</v>
      </c>
      <c r="W208" s="51" t="s">
        <v>63</v>
      </c>
      <c r="X208" s="51" t="s">
        <v>63</v>
      </c>
      <c r="Y208" s="51" t="s">
        <v>63</v>
      </c>
      <c r="Z208" s="51" t="s">
        <v>63</v>
      </c>
      <c r="AA208" s="51" t="s">
        <v>326</v>
      </c>
      <c r="AB208" s="51"/>
    </row>
    <row r="209" spans="1:28" ht="20.100000000000001" hidden="1" customHeight="1" x14ac:dyDescent="0.25">
      <c r="A209" s="51">
        <v>2253</v>
      </c>
      <c r="B209" s="51">
        <v>14</v>
      </c>
      <c r="C209" s="51" t="s">
        <v>598</v>
      </c>
      <c r="D209" s="111">
        <v>6802</v>
      </c>
      <c r="E209" s="51" t="s">
        <v>259</v>
      </c>
      <c r="F209" s="51">
        <v>1</v>
      </c>
      <c r="G209" s="83" t="s">
        <v>298</v>
      </c>
      <c r="H209" s="51" t="s">
        <v>63</v>
      </c>
      <c r="I209" s="51" t="s">
        <v>63</v>
      </c>
      <c r="J209" s="51" t="s">
        <v>63</v>
      </c>
      <c r="K209" s="51" t="s">
        <v>594</v>
      </c>
      <c r="L209" s="51" t="s">
        <v>63</v>
      </c>
      <c r="M209" s="107">
        <v>46196</v>
      </c>
      <c r="N209" s="107">
        <v>46196</v>
      </c>
      <c r="O209" s="112">
        <v>46196</v>
      </c>
      <c r="P209" s="107">
        <v>46196</v>
      </c>
      <c r="Q209" s="51" t="s">
        <v>63</v>
      </c>
      <c r="R209" s="51" t="s">
        <v>63</v>
      </c>
      <c r="S209" s="51" t="s">
        <v>63</v>
      </c>
      <c r="T209" s="51" t="s">
        <v>63</v>
      </c>
      <c r="U209" s="51" t="s">
        <v>63</v>
      </c>
      <c r="V209" s="51" t="s">
        <v>63</v>
      </c>
      <c r="W209" s="51" t="s">
        <v>63</v>
      </c>
      <c r="X209" s="51" t="s">
        <v>63</v>
      </c>
      <c r="Y209" s="51" t="s">
        <v>63</v>
      </c>
      <c r="Z209" s="51" t="s">
        <v>63</v>
      </c>
      <c r="AA209" s="51" t="s">
        <v>326</v>
      </c>
      <c r="AB209" s="51"/>
    </row>
    <row r="210" spans="1:28" ht="20.100000000000001" hidden="1" customHeight="1" x14ac:dyDescent="0.25">
      <c r="A210" s="51">
        <v>2253</v>
      </c>
      <c r="B210" s="51">
        <v>15</v>
      </c>
      <c r="C210" s="51" t="s">
        <v>598</v>
      </c>
      <c r="D210" s="111">
        <v>6803</v>
      </c>
      <c r="E210" s="51" t="s">
        <v>259</v>
      </c>
      <c r="F210" s="51">
        <v>1</v>
      </c>
      <c r="G210" s="83" t="s">
        <v>596</v>
      </c>
      <c r="H210" s="51" t="s">
        <v>63</v>
      </c>
      <c r="I210" s="51" t="s">
        <v>63</v>
      </c>
      <c r="J210" s="51" t="s">
        <v>63</v>
      </c>
      <c r="K210" s="51" t="s">
        <v>594</v>
      </c>
      <c r="L210" s="51" t="s">
        <v>63</v>
      </c>
      <c r="M210" s="107">
        <v>46186</v>
      </c>
      <c r="N210" s="107">
        <v>46186</v>
      </c>
      <c r="O210" s="112">
        <v>46186</v>
      </c>
      <c r="P210" s="107">
        <v>46186</v>
      </c>
      <c r="Q210" s="51" t="s">
        <v>63</v>
      </c>
      <c r="R210" s="51" t="s">
        <v>63</v>
      </c>
      <c r="S210" s="51" t="s">
        <v>63</v>
      </c>
      <c r="T210" s="51" t="s">
        <v>63</v>
      </c>
      <c r="U210" s="51" t="s">
        <v>63</v>
      </c>
      <c r="V210" s="51" t="s">
        <v>63</v>
      </c>
      <c r="W210" s="51" t="s">
        <v>63</v>
      </c>
      <c r="X210" s="51" t="s">
        <v>63</v>
      </c>
      <c r="Y210" s="51" t="s">
        <v>63</v>
      </c>
      <c r="Z210" s="51" t="s">
        <v>63</v>
      </c>
      <c r="AA210" s="51" t="s">
        <v>326</v>
      </c>
      <c r="AB210" s="51"/>
    </row>
    <row r="211" spans="1:28" ht="20.100000000000001" hidden="1" customHeight="1" x14ac:dyDescent="0.25">
      <c r="A211" s="51">
        <v>2253</v>
      </c>
      <c r="B211" s="51">
        <v>16</v>
      </c>
      <c r="C211" s="51" t="s">
        <v>598</v>
      </c>
      <c r="D211" s="111">
        <v>6804</v>
      </c>
      <c r="E211" s="51" t="s">
        <v>259</v>
      </c>
      <c r="F211" s="51">
        <v>1</v>
      </c>
      <c r="G211" s="83" t="s">
        <v>596</v>
      </c>
      <c r="H211" s="51" t="s">
        <v>63</v>
      </c>
      <c r="I211" s="51" t="s">
        <v>63</v>
      </c>
      <c r="J211" s="51" t="s">
        <v>63</v>
      </c>
      <c r="K211" s="51" t="s">
        <v>594</v>
      </c>
      <c r="L211" s="51" t="s">
        <v>63</v>
      </c>
      <c r="M211" s="107">
        <v>46186</v>
      </c>
      <c r="N211" s="107">
        <v>46186</v>
      </c>
      <c r="O211" s="112">
        <v>46186</v>
      </c>
      <c r="P211" s="107">
        <v>46186</v>
      </c>
      <c r="Q211" s="51" t="s">
        <v>63</v>
      </c>
      <c r="R211" s="51" t="s">
        <v>63</v>
      </c>
      <c r="S211" s="51" t="s">
        <v>63</v>
      </c>
      <c r="T211" s="51" t="s">
        <v>63</v>
      </c>
      <c r="U211" s="51" t="s">
        <v>63</v>
      </c>
      <c r="V211" s="51" t="s">
        <v>63</v>
      </c>
      <c r="W211" s="51" t="s">
        <v>63</v>
      </c>
      <c r="X211" s="51" t="s">
        <v>63</v>
      </c>
      <c r="Y211" s="51" t="s">
        <v>63</v>
      </c>
      <c r="Z211" s="51" t="s">
        <v>63</v>
      </c>
      <c r="AA211" s="51" t="s">
        <v>326</v>
      </c>
      <c r="AB211" s="51"/>
    </row>
    <row r="212" spans="1:28" ht="20.100000000000001" hidden="1" customHeight="1" x14ac:dyDescent="0.25">
      <c r="A212" s="51">
        <v>2253</v>
      </c>
      <c r="B212" s="51">
        <v>17</v>
      </c>
      <c r="C212" s="51" t="s">
        <v>598</v>
      </c>
      <c r="D212" s="111">
        <v>6805</v>
      </c>
      <c r="E212" s="51" t="s">
        <v>259</v>
      </c>
      <c r="F212" s="51">
        <v>1</v>
      </c>
      <c r="G212" s="83" t="s">
        <v>596</v>
      </c>
      <c r="H212" s="51" t="s">
        <v>63</v>
      </c>
      <c r="I212" s="51" t="s">
        <v>63</v>
      </c>
      <c r="J212" s="51" t="s">
        <v>63</v>
      </c>
      <c r="K212" s="51" t="s">
        <v>594</v>
      </c>
      <c r="L212" s="51" t="s">
        <v>63</v>
      </c>
      <c r="M212" s="107">
        <v>46186</v>
      </c>
      <c r="N212" s="107">
        <v>46186</v>
      </c>
      <c r="O212" s="112">
        <v>46186</v>
      </c>
      <c r="P212" s="107">
        <v>46186</v>
      </c>
      <c r="Q212" s="51" t="s">
        <v>63</v>
      </c>
      <c r="R212" s="51" t="s">
        <v>63</v>
      </c>
      <c r="S212" s="51" t="s">
        <v>63</v>
      </c>
      <c r="T212" s="51" t="s">
        <v>63</v>
      </c>
      <c r="U212" s="51" t="s">
        <v>63</v>
      </c>
      <c r="V212" s="51" t="s">
        <v>63</v>
      </c>
      <c r="W212" s="51" t="s">
        <v>63</v>
      </c>
      <c r="X212" s="51" t="s">
        <v>63</v>
      </c>
      <c r="Y212" s="51" t="s">
        <v>63</v>
      </c>
      <c r="Z212" s="51" t="s">
        <v>63</v>
      </c>
      <c r="AA212" s="51" t="s">
        <v>326</v>
      </c>
      <c r="AB212" s="51"/>
    </row>
    <row r="213" spans="1:28" ht="20.100000000000001" hidden="1" customHeight="1" x14ac:dyDescent="0.25">
      <c r="A213" s="51">
        <v>2253</v>
      </c>
      <c r="B213" s="51">
        <v>18</v>
      </c>
      <c r="C213" s="51" t="s">
        <v>598</v>
      </c>
      <c r="D213" s="111">
        <v>6806</v>
      </c>
      <c r="E213" s="51" t="s">
        <v>259</v>
      </c>
      <c r="F213" s="51">
        <v>1</v>
      </c>
      <c r="G213" s="83" t="s">
        <v>596</v>
      </c>
      <c r="H213" s="51" t="s">
        <v>63</v>
      </c>
      <c r="I213" s="51" t="s">
        <v>63</v>
      </c>
      <c r="J213" s="51" t="s">
        <v>63</v>
      </c>
      <c r="K213" s="51" t="s">
        <v>594</v>
      </c>
      <c r="L213" s="51" t="s">
        <v>63</v>
      </c>
      <c r="M213" s="107">
        <v>46186</v>
      </c>
      <c r="N213" s="107">
        <v>46186</v>
      </c>
      <c r="O213" s="112">
        <v>46186</v>
      </c>
      <c r="P213" s="107">
        <v>46186</v>
      </c>
      <c r="Q213" s="51" t="s">
        <v>63</v>
      </c>
      <c r="R213" s="51" t="s">
        <v>63</v>
      </c>
      <c r="S213" s="51" t="s">
        <v>63</v>
      </c>
      <c r="T213" s="51" t="s">
        <v>63</v>
      </c>
      <c r="U213" s="51" t="s">
        <v>63</v>
      </c>
      <c r="V213" s="51" t="s">
        <v>63</v>
      </c>
      <c r="W213" s="51" t="s">
        <v>63</v>
      </c>
      <c r="X213" s="51" t="s">
        <v>63</v>
      </c>
      <c r="Y213" s="51" t="s">
        <v>63</v>
      </c>
      <c r="Z213" s="51" t="s">
        <v>63</v>
      </c>
      <c r="AA213" s="51" t="s">
        <v>326</v>
      </c>
      <c r="AB213" s="51"/>
    </row>
    <row r="214" spans="1:28" ht="20.100000000000001" hidden="1" customHeight="1" x14ac:dyDescent="0.25">
      <c r="A214" s="51">
        <v>2253</v>
      </c>
      <c r="B214" s="51">
        <v>20</v>
      </c>
      <c r="C214" s="51" t="s">
        <v>598</v>
      </c>
      <c r="D214" s="111">
        <v>6808</v>
      </c>
      <c r="E214" s="51" t="s">
        <v>259</v>
      </c>
      <c r="F214" s="51">
        <v>1</v>
      </c>
      <c r="G214" s="83" t="s">
        <v>597</v>
      </c>
      <c r="H214" s="51" t="s">
        <v>63</v>
      </c>
      <c r="I214" s="51" t="s">
        <v>63</v>
      </c>
      <c r="J214" s="51" t="s">
        <v>63</v>
      </c>
      <c r="K214" s="51" t="s">
        <v>594</v>
      </c>
      <c r="L214" s="51" t="s">
        <v>63</v>
      </c>
      <c r="M214" s="107">
        <v>46206</v>
      </c>
      <c r="N214" s="107">
        <v>46206</v>
      </c>
      <c r="O214" s="112">
        <v>46206</v>
      </c>
      <c r="P214" s="107">
        <v>46206</v>
      </c>
      <c r="Q214" s="51" t="s">
        <v>63</v>
      </c>
      <c r="R214" s="51" t="s">
        <v>63</v>
      </c>
      <c r="S214" s="51" t="s">
        <v>63</v>
      </c>
      <c r="T214" s="51" t="s">
        <v>63</v>
      </c>
      <c r="U214" s="51" t="s">
        <v>63</v>
      </c>
      <c r="V214" s="51" t="s">
        <v>63</v>
      </c>
      <c r="W214" s="51" t="s">
        <v>63</v>
      </c>
      <c r="X214" s="51" t="s">
        <v>63</v>
      </c>
      <c r="Y214" s="51" t="s">
        <v>63</v>
      </c>
      <c r="Z214" s="51" t="s">
        <v>63</v>
      </c>
      <c r="AA214" s="51" t="s">
        <v>326</v>
      </c>
      <c r="AB214" s="51"/>
    </row>
    <row r="215" spans="1:28" ht="20.100000000000001" hidden="1" customHeight="1" x14ac:dyDescent="0.25">
      <c r="A215" s="51">
        <v>2253</v>
      </c>
      <c r="B215" s="51">
        <v>21</v>
      </c>
      <c r="C215" s="51" t="s">
        <v>598</v>
      </c>
      <c r="D215" s="111">
        <v>6809</v>
      </c>
      <c r="E215" s="51" t="s">
        <v>259</v>
      </c>
      <c r="F215" s="51">
        <v>1</v>
      </c>
      <c r="G215" s="83" t="s">
        <v>260</v>
      </c>
      <c r="H215" s="51" t="s">
        <v>63</v>
      </c>
      <c r="I215" s="51" t="s">
        <v>63</v>
      </c>
      <c r="J215" s="51" t="s">
        <v>63</v>
      </c>
      <c r="K215" s="51" t="s">
        <v>594</v>
      </c>
      <c r="L215" s="51" t="s">
        <v>63</v>
      </c>
      <c r="M215" s="107">
        <v>46206</v>
      </c>
      <c r="N215" s="107">
        <v>46206</v>
      </c>
      <c r="O215" s="112">
        <v>46206</v>
      </c>
      <c r="P215" s="107">
        <v>46206</v>
      </c>
      <c r="Q215" s="51" t="s">
        <v>63</v>
      </c>
      <c r="R215" s="51" t="s">
        <v>63</v>
      </c>
      <c r="S215" s="51" t="s">
        <v>63</v>
      </c>
      <c r="T215" s="51" t="s">
        <v>63</v>
      </c>
      <c r="U215" s="51" t="s">
        <v>63</v>
      </c>
      <c r="V215" s="51" t="s">
        <v>63</v>
      </c>
      <c r="W215" s="51" t="s">
        <v>63</v>
      </c>
      <c r="X215" s="51" t="s">
        <v>63</v>
      </c>
      <c r="Y215" s="51" t="s">
        <v>63</v>
      </c>
      <c r="Z215" s="51" t="s">
        <v>63</v>
      </c>
      <c r="AA215" s="51" t="s">
        <v>326</v>
      </c>
      <c r="AB215" s="51"/>
    </row>
    <row r="216" spans="1:28" ht="20.100000000000001" hidden="1" customHeight="1" x14ac:dyDescent="0.25">
      <c r="A216" s="51">
        <v>2253</v>
      </c>
      <c r="B216" s="51">
        <v>22</v>
      </c>
      <c r="C216" s="51" t="s">
        <v>598</v>
      </c>
      <c r="D216" s="111">
        <v>6810</v>
      </c>
      <c r="E216" s="51" t="s">
        <v>259</v>
      </c>
      <c r="F216" s="51">
        <v>1</v>
      </c>
      <c r="G216" s="83" t="s">
        <v>260</v>
      </c>
      <c r="H216" s="51" t="s">
        <v>63</v>
      </c>
      <c r="I216" s="51" t="s">
        <v>63</v>
      </c>
      <c r="J216" s="51" t="s">
        <v>63</v>
      </c>
      <c r="K216" s="51" t="s">
        <v>594</v>
      </c>
      <c r="L216" s="51" t="s">
        <v>63</v>
      </c>
      <c r="M216" s="107">
        <v>46206</v>
      </c>
      <c r="N216" s="107">
        <v>46206</v>
      </c>
      <c r="O216" s="112">
        <v>46206</v>
      </c>
      <c r="P216" s="107">
        <v>46206</v>
      </c>
      <c r="Q216" s="51" t="s">
        <v>63</v>
      </c>
      <c r="R216" s="51" t="s">
        <v>63</v>
      </c>
      <c r="S216" s="51" t="s">
        <v>63</v>
      </c>
      <c r="T216" s="51" t="s">
        <v>63</v>
      </c>
      <c r="U216" s="51" t="s">
        <v>63</v>
      </c>
      <c r="V216" s="51" t="s">
        <v>63</v>
      </c>
      <c r="W216" s="51" t="s">
        <v>63</v>
      </c>
      <c r="X216" s="51" t="s">
        <v>63</v>
      </c>
      <c r="Y216" s="51" t="s">
        <v>63</v>
      </c>
      <c r="Z216" s="51" t="s">
        <v>63</v>
      </c>
      <c r="AA216" s="51" t="s">
        <v>326</v>
      </c>
      <c r="AB216" s="51"/>
    </row>
    <row r="217" spans="1:28" ht="20.100000000000001" hidden="1" customHeight="1" x14ac:dyDescent="0.25">
      <c r="A217" s="51">
        <v>2253</v>
      </c>
      <c r="B217" s="51">
        <v>23</v>
      </c>
      <c r="C217" s="51" t="s">
        <v>598</v>
      </c>
      <c r="D217" s="111">
        <v>6811</v>
      </c>
      <c r="E217" s="51" t="s">
        <v>259</v>
      </c>
      <c r="F217" s="51">
        <v>1</v>
      </c>
      <c r="G217" s="83" t="s">
        <v>201</v>
      </c>
      <c r="H217" s="51" t="s">
        <v>63</v>
      </c>
      <c r="I217" s="51" t="s">
        <v>63</v>
      </c>
      <c r="J217" s="51" t="s">
        <v>63</v>
      </c>
      <c r="K217" s="51" t="s">
        <v>594</v>
      </c>
      <c r="L217" s="51" t="s">
        <v>63</v>
      </c>
      <c r="M217" s="107">
        <v>46206</v>
      </c>
      <c r="N217" s="107">
        <v>46206</v>
      </c>
      <c r="O217" s="112">
        <v>46206</v>
      </c>
      <c r="P217" s="107">
        <v>46206</v>
      </c>
      <c r="Q217" s="51" t="s">
        <v>63</v>
      </c>
      <c r="R217" s="51" t="s">
        <v>63</v>
      </c>
      <c r="S217" s="51" t="s">
        <v>63</v>
      </c>
      <c r="T217" s="51" t="s">
        <v>63</v>
      </c>
      <c r="U217" s="51" t="s">
        <v>63</v>
      </c>
      <c r="V217" s="51" t="s">
        <v>63</v>
      </c>
      <c r="W217" s="51" t="s">
        <v>63</v>
      </c>
      <c r="X217" s="51" t="s">
        <v>63</v>
      </c>
      <c r="Y217" s="51" t="s">
        <v>63</v>
      </c>
      <c r="Z217" s="51" t="s">
        <v>63</v>
      </c>
      <c r="AA217" s="51" t="s">
        <v>326</v>
      </c>
      <c r="AB217" s="51"/>
    </row>
    <row r="218" spans="1:28" ht="20.100000000000001" hidden="1" customHeight="1" x14ac:dyDescent="0.25">
      <c r="A218" s="51">
        <v>2253</v>
      </c>
      <c r="B218" s="51">
        <v>24</v>
      </c>
      <c r="C218" s="51" t="s">
        <v>598</v>
      </c>
      <c r="D218" s="111">
        <v>6812</v>
      </c>
      <c r="E218" s="51" t="s">
        <v>259</v>
      </c>
      <c r="F218" s="51">
        <v>1</v>
      </c>
      <c r="G218" s="83" t="s">
        <v>201</v>
      </c>
      <c r="H218" s="51" t="s">
        <v>63</v>
      </c>
      <c r="I218" s="51" t="s">
        <v>63</v>
      </c>
      <c r="J218" s="51" t="s">
        <v>63</v>
      </c>
      <c r="K218" s="51" t="s">
        <v>594</v>
      </c>
      <c r="L218" s="51" t="s">
        <v>63</v>
      </c>
      <c r="M218" s="107">
        <v>46206</v>
      </c>
      <c r="N218" s="107">
        <v>46206</v>
      </c>
      <c r="O218" s="112">
        <v>46206</v>
      </c>
      <c r="P218" s="107">
        <v>46206</v>
      </c>
      <c r="Q218" s="51" t="s">
        <v>63</v>
      </c>
      <c r="R218" s="51" t="s">
        <v>63</v>
      </c>
      <c r="S218" s="51" t="s">
        <v>63</v>
      </c>
      <c r="T218" s="51" t="s">
        <v>63</v>
      </c>
      <c r="U218" s="51" t="s">
        <v>63</v>
      </c>
      <c r="V218" s="51" t="s">
        <v>63</v>
      </c>
      <c r="W218" s="51" t="s">
        <v>63</v>
      </c>
      <c r="X218" s="51" t="s">
        <v>63</v>
      </c>
      <c r="Y218" s="51" t="s">
        <v>63</v>
      </c>
      <c r="Z218" s="51" t="s">
        <v>63</v>
      </c>
      <c r="AA218" s="51" t="s">
        <v>326</v>
      </c>
      <c r="AB218" s="51"/>
    </row>
    <row r="219" spans="1:28" ht="20.100000000000001" hidden="1" customHeight="1" x14ac:dyDescent="0.25">
      <c r="A219" s="51">
        <v>2253</v>
      </c>
      <c r="B219" s="51">
        <v>25</v>
      </c>
      <c r="C219" s="51" t="s">
        <v>598</v>
      </c>
      <c r="D219" s="111">
        <v>6813</v>
      </c>
      <c r="E219" s="51" t="s">
        <v>259</v>
      </c>
      <c r="F219" s="51">
        <v>1</v>
      </c>
      <c r="G219" s="83">
        <v>2600</v>
      </c>
      <c r="H219" s="51" t="s">
        <v>63</v>
      </c>
      <c r="I219" s="51" t="s">
        <v>63</v>
      </c>
      <c r="J219" s="51" t="s">
        <v>63</v>
      </c>
      <c r="K219" s="51" t="s">
        <v>594</v>
      </c>
      <c r="L219" s="51" t="s">
        <v>63</v>
      </c>
      <c r="M219" s="107">
        <v>46206</v>
      </c>
      <c r="N219" s="107"/>
      <c r="O219" s="112">
        <v>46206</v>
      </c>
      <c r="P219" s="107"/>
      <c r="Q219" s="51" t="s">
        <v>63</v>
      </c>
      <c r="R219" s="51" t="s">
        <v>63</v>
      </c>
      <c r="S219" s="51" t="s">
        <v>63</v>
      </c>
      <c r="T219" s="51" t="s">
        <v>63</v>
      </c>
      <c r="U219" s="51" t="s">
        <v>63</v>
      </c>
      <c r="V219" s="51" t="s">
        <v>63</v>
      </c>
      <c r="W219" s="51" t="s">
        <v>63</v>
      </c>
      <c r="X219" s="51" t="s">
        <v>63</v>
      </c>
      <c r="Y219" s="51" t="s">
        <v>63</v>
      </c>
      <c r="Z219" s="51" t="s">
        <v>63</v>
      </c>
      <c r="AA219" s="51" t="s">
        <v>48</v>
      </c>
      <c r="AB219" s="51" t="s">
        <v>599</v>
      </c>
    </row>
    <row r="220" spans="1:28" ht="20.100000000000001" hidden="1" customHeight="1" x14ac:dyDescent="0.25">
      <c r="A220" s="51">
        <v>2253</v>
      </c>
      <c r="B220" s="51">
        <v>26</v>
      </c>
      <c r="C220" s="51" t="s">
        <v>598</v>
      </c>
      <c r="D220" s="111">
        <v>6817</v>
      </c>
      <c r="E220" s="51" t="s">
        <v>259</v>
      </c>
      <c r="F220" s="51">
        <v>1</v>
      </c>
      <c r="G220" s="83" t="s">
        <v>595</v>
      </c>
      <c r="H220" s="51" t="s">
        <v>63</v>
      </c>
      <c r="I220" s="51" t="s">
        <v>63</v>
      </c>
      <c r="J220" s="51" t="s">
        <v>63</v>
      </c>
      <c r="K220" s="51" t="s">
        <v>594</v>
      </c>
      <c r="L220" s="51" t="s">
        <v>63</v>
      </c>
      <c r="M220" s="107">
        <v>46206</v>
      </c>
      <c r="N220" s="107">
        <v>46206</v>
      </c>
      <c r="O220" s="112">
        <v>46206</v>
      </c>
      <c r="P220" s="107">
        <v>46206</v>
      </c>
      <c r="Q220" s="51" t="s">
        <v>63</v>
      </c>
      <c r="R220" s="51" t="s">
        <v>63</v>
      </c>
      <c r="S220" s="51" t="s">
        <v>63</v>
      </c>
      <c r="T220" s="51" t="s">
        <v>63</v>
      </c>
      <c r="U220" s="51" t="s">
        <v>63</v>
      </c>
      <c r="V220" s="51" t="s">
        <v>63</v>
      </c>
      <c r="W220" s="51" t="s">
        <v>63</v>
      </c>
      <c r="X220" s="51" t="s">
        <v>63</v>
      </c>
      <c r="Y220" s="51" t="s">
        <v>63</v>
      </c>
      <c r="Z220" s="51" t="s">
        <v>63</v>
      </c>
      <c r="AA220" s="51" t="s">
        <v>326</v>
      </c>
      <c r="AB220" s="51"/>
    </row>
    <row r="221" spans="1:28" ht="20.100000000000001" hidden="1" customHeight="1" x14ac:dyDescent="0.25">
      <c r="A221" s="51">
        <v>2253</v>
      </c>
      <c r="B221" s="51">
        <v>5</v>
      </c>
      <c r="C221" s="51" t="s">
        <v>598</v>
      </c>
      <c r="D221" s="111">
        <v>6818</v>
      </c>
      <c r="E221" s="51" t="s">
        <v>259</v>
      </c>
      <c r="F221" s="51">
        <v>1</v>
      </c>
      <c r="G221" s="83" t="s">
        <v>595</v>
      </c>
      <c r="H221" s="51" t="s">
        <v>63</v>
      </c>
      <c r="I221" s="51" t="s">
        <v>63</v>
      </c>
      <c r="J221" s="51" t="s">
        <v>63</v>
      </c>
      <c r="K221" s="51" t="s">
        <v>594</v>
      </c>
      <c r="L221" s="51" t="s">
        <v>63</v>
      </c>
      <c r="M221" s="107">
        <v>46186</v>
      </c>
      <c r="N221" s="107">
        <v>46186</v>
      </c>
      <c r="O221" s="112">
        <v>46186</v>
      </c>
      <c r="P221" s="107">
        <v>46186</v>
      </c>
      <c r="Q221" s="51" t="s">
        <v>63</v>
      </c>
      <c r="R221" s="51" t="s">
        <v>63</v>
      </c>
      <c r="S221" s="51" t="s">
        <v>63</v>
      </c>
      <c r="T221" s="51" t="s">
        <v>63</v>
      </c>
      <c r="U221" s="51" t="s">
        <v>63</v>
      </c>
      <c r="V221" s="51" t="s">
        <v>63</v>
      </c>
      <c r="W221" s="51" t="s">
        <v>63</v>
      </c>
      <c r="X221" s="51" t="s">
        <v>63</v>
      </c>
      <c r="Y221" s="51" t="s">
        <v>63</v>
      </c>
      <c r="Z221" s="51" t="s">
        <v>63</v>
      </c>
      <c r="AA221" s="51" t="s">
        <v>326</v>
      </c>
      <c r="AB221" s="51"/>
    </row>
    <row r="222" spans="1:28" ht="20.100000000000001" hidden="1" customHeight="1" x14ac:dyDescent="0.25">
      <c r="A222" s="51">
        <v>2253</v>
      </c>
      <c r="B222" s="51">
        <v>26</v>
      </c>
      <c r="C222" s="51" t="s">
        <v>598</v>
      </c>
      <c r="D222" s="111">
        <v>6819</v>
      </c>
      <c r="E222" s="51" t="s">
        <v>259</v>
      </c>
      <c r="F222" s="51">
        <v>1</v>
      </c>
      <c r="G222" s="83" t="s">
        <v>595</v>
      </c>
      <c r="H222" s="51" t="s">
        <v>63</v>
      </c>
      <c r="I222" s="51" t="s">
        <v>63</v>
      </c>
      <c r="J222" s="51" t="s">
        <v>63</v>
      </c>
      <c r="K222" s="51" t="s">
        <v>594</v>
      </c>
      <c r="L222" s="51" t="s">
        <v>63</v>
      </c>
      <c r="M222" s="107">
        <v>46206</v>
      </c>
      <c r="N222" s="107">
        <v>46206</v>
      </c>
      <c r="O222" s="112">
        <v>46206</v>
      </c>
      <c r="P222" s="107">
        <v>46206</v>
      </c>
      <c r="Q222" s="51" t="s">
        <v>63</v>
      </c>
      <c r="R222" s="51" t="s">
        <v>63</v>
      </c>
      <c r="S222" s="51" t="s">
        <v>63</v>
      </c>
      <c r="T222" s="51" t="s">
        <v>63</v>
      </c>
      <c r="U222" s="51" t="s">
        <v>63</v>
      </c>
      <c r="V222" s="51" t="s">
        <v>63</v>
      </c>
      <c r="W222" s="51" t="s">
        <v>63</v>
      </c>
      <c r="X222" s="51" t="s">
        <v>63</v>
      </c>
      <c r="Y222" s="51" t="s">
        <v>63</v>
      </c>
      <c r="Z222" s="51" t="s">
        <v>63</v>
      </c>
      <c r="AA222" s="51" t="s">
        <v>326</v>
      </c>
      <c r="AB222" s="51"/>
    </row>
    <row r="223" spans="1:28" ht="20.100000000000001" hidden="1" customHeight="1" x14ac:dyDescent="0.25">
      <c r="A223" s="122">
        <v>2353</v>
      </c>
      <c r="B223" s="122">
        <v>47</v>
      </c>
      <c r="C223" s="51" t="s">
        <v>598</v>
      </c>
      <c r="D223" s="122">
        <v>5884</v>
      </c>
      <c r="E223" s="51" t="s">
        <v>259</v>
      </c>
      <c r="F223" s="51">
        <v>1</v>
      </c>
      <c r="G223" s="51" t="s">
        <v>263</v>
      </c>
      <c r="H223" s="51" t="s">
        <v>63</v>
      </c>
      <c r="I223" s="51" t="s">
        <v>63</v>
      </c>
      <c r="J223" s="51" t="s">
        <v>63</v>
      </c>
      <c r="K223" s="51" t="s">
        <v>594</v>
      </c>
      <c r="L223" s="51" t="s">
        <v>63</v>
      </c>
      <c r="M223" s="123">
        <v>46220</v>
      </c>
      <c r="N223" s="123">
        <v>46220</v>
      </c>
      <c r="O223" s="123">
        <v>46220</v>
      </c>
      <c r="P223" s="123">
        <v>46220</v>
      </c>
      <c r="Q223" s="51" t="s">
        <v>63</v>
      </c>
      <c r="R223" s="51" t="s">
        <v>63</v>
      </c>
      <c r="S223" s="51" t="s">
        <v>63</v>
      </c>
      <c r="T223" s="51" t="s">
        <v>63</v>
      </c>
      <c r="U223" s="51" t="s">
        <v>63</v>
      </c>
      <c r="V223" s="51" t="s">
        <v>63</v>
      </c>
      <c r="W223" s="51" t="s">
        <v>63</v>
      </c>
      <c r="X223" s="51" t="s">
        <v>63</v>
      </c>
      <c r="Y223" s="51" t="s">
        <v>63</v>
      </c>
      <c r="Z223" s="51" t="s">
        <v>63</v>
      </c>
      <c r="AA223" s="122" t="s">
        <v>326</v>
      </c>
      <c r="AB223" s="122" t="s">
        <v>612</v>
      </c>
    </row>
    <row r="224" spans="1:28" ht="20.100000000000001" hidden="1" customHeight="1" x14ac:dyDescent="0.25">
      <c r="A224" s="122">
        <v>2353</v>
      </c>
      <c r="B224" s="122">
        <v>48</v>
      </c>
      <c r="C224" s="51" t="s">
        <v>598</v>
      </c>
      <c r="D224" s="122">
        <v>5924</v>
      </c>
      <c r="E224" s="51" t="s">
        <v>259</v>
      </c>
      <c r="F224" s="51">
        <v>1</v>
      </c>
      <c r="G224" s="51" t="s">
        <v>263</v>
      </c>
      <c r="H224" s="51" t="s">
        <v>63</v>
      </c>
      <c r="I224" s="51" t="s">
        <v>63</v>
      </c>
      <c r="J224" s="51" t="s">
        <v>63</v>
      </c>
      <c r="K224" s="51" t="s">
        <v>594</v>
      </c>
      <c r="L224" s="51" t="s">
        <v>63</v>
      </c>
      <c r="M224" s="123">
        <v>46220</v>
      </c>
      <c r="N224" s="123">
        <v>46220</v>
      </c>
      <c r="O224" s="123">
        <v>46220</v>
      </c>
      <c r="P224" s="123">
        <v>46220</v>
      </c>
      <c r="Q224" s="51" t="s">
        <v>63</v>
      </c>
      <c r="R224" s="51" t="s">
        <v>63</v>
      </c>
      <c r="S224" s="51" t="s">
        <v>63</v>
      </c>
      <c r="T224" s="51" t="s">
        <v>63</v>
      </c>
      <c r="U224" s="51" t="s">
        <v>63</v>
      </c>
      <c r="V224" s="51" t="s">
        <v>63</v>
      </c>
      <c r="W224" s="51" t="s">
        <v>63</v>
      </c>
      <c r="X224" s="51" t="s">
        <v>63</v>
      </c>
      <c r="Y224" s="51" t="s">
        <v>63</v>
      </c>
      <c r="Z224" s="51" t="s">
        <v>63</v>
      </c>
      <c r="AA224" s="122" t="s">
        <v>326</v>
      </c>
      <c r="AB224" s="122" t="s">
        <v>612</v>
      </c>
    </row>
    <row r="225" spans="1:28" ht="20.100000000000001" hidden="1" customHeight="1" x14ac:dyDescent="0.25">
      <c r="A225" s="122">
        <v>2353</v>
      </c>
      <c r="B225" s="122">
        <v>49</v>
      </c>
      <c r="C225" s="51" t="s">
        <v>598</v>
      </c>
      <c r="D225" s="122">
        <v>27636</v>
      </c>
      <c r="E225" s="51" t="s">
        <v>259</v>
      </c>
      <c r="F225" s="51">
        <v>1</v>
      </c>
      <c r="G225" s="51" t="s">
        <v>260</v>
      </c>
      <c r="H225" s="51" t="s">
        <v>63</v>
      </c>
      <c r="I225" s="51" t="s">
        <v>63</v>
      </c>
      <c r="J225" s="51" t="s">
        <v>63</v>
      </c>
      <c r="K225" s="51" t="s">
        <v>594</v>
      </c>
      <c r="L225" s="51" t="s">
        <v>63</v>
      </c>
      <c r="M225" s="123">
        <v>46255</v>
      </c>
      <c r="N225" s="122"/>
      <c r="O225" s="123">
        <v>46255</v>
      </c>
      <c r="P225" s="122"/>
      <c r="Q225" s="51" t="s">
        <v>63</v>
      </c>
      <c r="R225" s="51" t="s">
        <v>63</v>
      </c>
      <c r="S225" s="51" t="s">
        <v>63</v>
      </c>
      <c r="T225" s="51" t="s">
        <v>63</v>
      </c>
      <c r="U225" s="51" t="s">
        <v>63</v>
      </c>
      <c r="V225" s="51" t="s">
        <v>63</v>
      </c>
      <c r="W225" s="51" t="s">
        <v>63</v>
      </c>
      <c r="X225" s="51" t="s">
        <v>63</v>
      </c>
      <c r="Y225" s="51" t="s">
        <v>63</v>
      </c>
      <c r="Z225" s="51" t="s">
        <v>63</v>
      </c>
      <c r="AA225" s="51" t="s">
        <v>48</v>
      </c>
      <c r="AB225" s="122"/>
    </row>
    <row r="226" spans="1:28" ht="20.100000000000001" customHeight="1" x14ac:dyDescent="0.25"/>
    <row r="227" spans="1:28" ht="20.100000000000001" customHeight="1" x14ac:dyDescent="0.25"/>
    <row r="228" spans="1:28" ht="20.100000000000001" customHeight="1" x14ac:dyDescent="0.25"/>
    <row r="229" spans="1:28" ht="20.100000000000001" customHeight="1" x14ac:dyDescent="0.25"/>
    <row r="230" spans="1:28" ht="20.100000000000001" customHeight="1" x14ac:dyDescent="0.25"/>
    <row r="231" spans="1:28" ht="20.100000000000001" customHeight="1" x14ac:dyDescent="0.25"/>
    <row r="232" spans="1:28" ht="20.100000000000001" customHeight="1" x14ac:dyDescent="0.25"/>
    <row r="233" spans="1:28" ht="20.100000000000001" customHeight="1" x14ac:dyDescent="0.25"/>
    <row r="234" spans="1:28" ht="20.100000000000001" customHeight="1" x14ac:dyDescent="0.25"/>
    <row r="235" spans="1:28" ht="20.100000000000001" customHeight="1" x14ac:dyDescent="0.25"/>
    <row r="236" spans="1:28" ht="20.100000000000001" customHeight="1" x14ac:dyDescent="0.25"/>
    <row r="237" spans="1:28" ht="20.100000000000001" customHeight="1" x14ac:dyDescent="0.25"/>
    <row r="238" spans="1:28" ht="20.100000000000001" customHeight="1" x14ac:dyDescent="0.25"/>
    <row r="239" spans="1:28" ht="20.100000000000001" customHeight="1" x14ac:dyDescent="0.25"/>
    <row r="240" spans="1:28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20.100000000000001" customHeight="1" x14ac:dyDescent="0.25"/>
    <row r="332" ht="20.100000000000001" customHeight="1" x14ac:dyDescent="0.25"/>
    <row r="333" ht="20.100000000000001" customHeight="1" x14ac:dyDescent="0.25"/>
    <row r="334" ht="20.100000000000001" customHeight="1" x14ac:dyDescent="0.25"/>
    <row r="335" ht="20.100000000000001" customHeight="1" x14ac:dyDescent="0.25"/>
    <row r="336" ht="20.100000000000001" customHeight="1" x14ac:dyDescent="0.25"/>
    <row r="337" ht="20.100000000000001" customHeight="1" x14ac:dyDescent="0.25"/>
    <row r="338" ht="20.100000000000001" customHeight="1" x14ac:dyDescent="0.25"/>
    <row r="339" ht="20.100000000000001" customHeight="1" x14ac:dyDescent="0.25"/>
    <row r="340" ht="20.100000000000001" customHeight="1" x14ac:dyDescent="0.25"/>
    <row r="341" ht="20.100000000000001" customHeight="1" x14ac:dyDescent="0.25"/>
    <row r="342" ht="20.100000000000001" customHeight="1" x14ac:dyDescent="0.25"/>
    <row r="343" ht="20.100000000000001" customHeight="1" x14ac:dyDescent="0.25"/>
    <row r="344" ht="20.100000000000001" customHeight="1" x14ac:dyDescent="0.25"/>
    <row r="345" ht="20.100000000000001" customHeight="1" x14ac:dyDescent="0.25"/>
    <row r="346" ht="20.100000000000001" customHeight="1" x14ac:dyDescent="0.25"/>
    <row r="347" ht="20.100000000000001" customHeight="1" x14ac:dyDescent="0.25"/>
    <row r="348" ht="20.100000000000001" customHeight="1" x14ac:dyDescent="0.25"/>
    <row r="349" ht="20.100000000000001" customHeight="1" x14ac:dyDescent="0.25"/>
    <row r="350" ht="20.100000000000001" customHeight="1" x14ac:dyDescent="0.25"/>
    <row r="351" ht="20.100000000000001" customHeight="1" x14ac:dyDescent="0.25"/>
    <row r="352" ht="20.100000000000001" customHeight="1" x14ac:dyDescent="0.25"/>
    <row r="353" ht="20.100000000000001" customHeight="1" x14ac:dyDescent="0.25"/>
    <row r="354" ht="20.100000000000001" customHeight="1" x14ac:dyDescent="0.25"/>
    <row r="355" ht="20.100000000000001" customHeight="1" x14ac:dyDescent="0.25"/>
    <row r="356" ht="20.100000000000001" customHeight="1" x14ac:dyDescent="0.25"/>
    <row r="357" ht="20.100000000000001" customHeight="1" x14ac:dyDescent="0.25"/>
    <row r="358" ht="20.100000000000001" customHeight="1" x14ac:dyDescent="0.25"/>
    <row r="359" ht="20.100000000000001" customHeight="1" x14ac:dyDescent="0.25"/>
    <row r="360" ht="20.10000000000000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</sheetData>
  <phoneticPr fontId="10" type="noConversion"/>
  <conditionalFormatting sqref="A30:A43 H60 H62 H65:H66 G67 H76">
    <cfRule type="containsText" dxfId="66" priority="53" operator="containsText" text="encamisado">
      <formula>NOT(ISERROR(SEARCH("encamisado",A30)))</formula>
    </cfRule>
    <cfRule type="containsText" dxfId="65" priority="54" operator="containsText" text="pronto">
      <formula>NOT(ISERROR(SEARCH("pronto",A30)))</formula>
    </cfRule>
    <cfRule type="expression" dxfId="64" priority="55">
      <formula>$P30="s"</formula>
    </cfRule>
  </conditionalFormatting>
  <conditionalFormatting sqref="A55:A77">
    <cfRule type="containsText" dxfId="63" priority="20" operator="containsText" text="encamisado">
      <formula>NOT(ISERROR(SEARCH("encamisado",A55)))</formula>
    </cfRule>
    <cfRule type="containsText" dxfId="62" priority="21" operator="containsText" text="pronto">
      <formula>NOT(ISERROR(SEARCH("pronto",A55)))</formula>
    </cfRule>
    <cfRule type="expression" dxfId="61" priority="22">
      <formula>$P55="s"</formula>
    </cfRule>
  </conditionalFormatting>
  <conditionalFormatting sqref="C45:C49">
    <cfRule type="containsText" dxfId="60" priority="32" operator="containsText" text="encamisado">
      <formula>NOT(ISERROR(SEARCH("encamisado",C45)))</formula>
    </cfRule>
    <cfRule type="containsText" dxfId="59" priority="33" operator="containsText" text="pronto">
      <formula>NOT(ISERROR(SEARCH("pronto",C45)))</formula>
    </cfRule>
    <cfRule type="expression" dxfId="58" priority="34">
      <formula>$P45="s"</formula>
    </cfRule>
  </conditionalFormatting>
  <conditionalFormatting sqref="C55:C77">
    <cfRule type="containsText" dxfId="57" priority="28" operator="containsText" text="encamisado">
      <formula>NOT(ISERROR(SEARCH("encamisado",C55)))</formula>
    </cfRule>
    <cfRule type="containsText" dxfId="56" priority="29" operator="containsText" text="pronto">
      <formula>NOT(ISERROR(SEARCH("pronto",C55)))</formula>
    </cfRule>
    <cfRule type="expression" dxfId="55" priority="30">
      <formula>$P55="s"</formula>
    </cfRule>
  </conditionalFormatting>
  <conditionalFormatting sqref="D30:D43">
    <cfRule type="containsText" dxfId="54" priority="50" operator="containsText" text="encamisado">
      <formula>NOT(ISERROR(SEARCH("encamisado",D30)))</formula>
    </cfRule>
    <cfRule type="containsText" dxfId="53" priority="51" operator="containsText" text="pronto">
      <formula>NOT(ISERROR(SEARCH("pronto",D30)))</formula>
    </cfRule>
    <cfRule type="expression" dxfId="52" priority="52">
      <formula>$P30="s"</formula>
    </cfRule>
  </conditionalFormatting>
  <conditionalFormatting sqref="D55:D77">
    <cfRule type="containsText" dxfId="51" priority="24" operator="containsText" text="encamisado">
      <formula>NOT(ISERROR(SEARCH("encamisado",D55)))</formula>
    </cfRule>
    <cfRule type="containsText" dxfId="50" priority="25" operator="containsText" text="pronto">
      <formula>NOT(ISERROR(SEARCH("pronto",D55)))</formula>
    </cfRule>
    <cfRule type="expression" dxfId="49" priority="26">
      <formula>$P55="s"</formula>
    </cfRule>
  </conditionalFormatting>
  <conditionalFormatting sqref="G59:G60">
    <cfRule type="containsText" dxfId="48" priority="12" operator="containsText" text="encamisado">
      <formula>NOT(ISERROR(SEARCH("encamisado",G59)))</formula>
    </cfRule>
    <cfRule type="containsText" dxfId="47" priority="13" operator="containsText" text="pronto">
      <formula>NOT(ISERROR(SEARCH("pronto",G59)))</formula>
    </cfRule>
    <cfRule type="expression" dxfId="46" priority="15">
      <formula>$P59="s"</formula>
    </cfRule>
  </conditionalFormatting>
  <conditionalFormatting sqref="H58">
    <cfRule type="containsText" dxfId="45" priority="16" operator="containsText" text="encamisado">
      <formula>NOT(ISERROR(SEARCH("encamisado",H58)))</formula>
    </cfRule>
    <cfRule type="containsText" dxfId="44" priority="17" operator="containsText" text="pronto">
      <formula>NOT(ISERROR(SEARCH("pronto",H58)))</formula>
    </cfRule>
    <cfRule type="expression" dxfId="43" priority="19">
      <formula>$P58="s"</formula>
    </cfRule>
  </conditionalFormatting>
  <conditionalFormatting sqref="O33:O45">
    <cfRule type="containsText" dxfId="42" priority="44" operator="containsText" text="encamisado">
      <formula>NOT(ISERROR(SEARCH("encamisado",O33)))</formula>
    </cfRule>
    <cfRule type="containsText" dxfId="41" priority="45" operator="containsText" text="pronto">
      <formula>NOT(ISERROR(SEARCH("pronto",O33)))</formula>
    </cfRule>
    <cfRule type="expression" dxfId="40" priority="46">
      <formula>$P33="s"</formula>
    </cfRule>
  </conditionalFormatting>
  <conditionalFormatting sqref="O55:O77">
    <cfRule type="containsText" dxfId="39" priority="8" operator="containsText" text="encamisado">
      <formula>NOT(ISERROR(SEARCH("encamisado",O55)))</formula>
    </cfRule>
    <cfRule type="containsText" dxfId="38" priority="9" operator="containsText" text="pronto">
      <formula>NOT(ISERROR(SEARCH("pronto",O55)))</formula>
    </cfRule>
    <cfRule type="expression" dxfId="37" priority="10">
      <formula>$P55="s"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C0BE-4E8C-4316-8FB3-0D6E759AADD5}">
  <dimension ref="A1:W176"/>
  <sheetViews>
    <sheetView zoomScale="90" zoomScaleNormal="90" workbookViewId="0">
      <selection activeCell="V47" sqref="V47"/>
    </sheetView>
  </sheetViews>
  <sheetFormatPr defaultRowHeight="13.5" x14ac:dyDescent="0.25"/>
  <cols>
    <col min="1" max="2" width="9.140625" style="50"/>
    <col min="3" max="3" width="19.7109375" style="50" customWidth="1"/>
    <col min="4" max="4" width="25.7109375" style="50" bestFit="1" customWidth="1"/>
    <col min="5" max="5" width="9.85546875" style="50" bestFit="1" customWidth="1"/>
    <col min="6" max="6" width="8.42578125" style="50" bestFit="1" customWidth="1"/>
    <col min="7" max="7" width="8.42578125" style="50" customWidth="1"/>
    <col min="8" max="8" width="7.42578125" style="50" customWidth="1"/>
    <col min="9" max="10" width="10.140625" style="50" bestFit="1" customWidth="1"/>
    <col min="11" max="21" width="9.140625" style="50"/>
    <col min="22" max="22" width="19.28515625" style="50" customWidth="1"/>
    <col min="23" max="23" width="25.42578125" style="50" customWidth="1"/>
    <col min="24" max="16384" width="9.140625" style="50"/>
  </cols>
  <sheetData>
    <row r="1" spans="1:23" ht="40.5" x14ac:dyDescent="0.25">
      <c r="A1" s="79" t="s">
        <v>7</v>
      </c>
      <c r="B1" s="49" t="s">
        <v>1</v>
      </c>
      <c r="C1" s="48" t="s">
        <v>3</v>
      </c>
      <c r="D1" s="48" t="s">
        <v>6</v>
      </c>
      <c r="E1" s="48" t="s">
        <v>2</v>
      </c>
      <c r="F1" s="48" t="s">
        <v>216</v>
      </c>
      <c r="G1" s="48" t="s">
        <v>250</v>
      </c>
      <c r="H1" s="48" t="s">
        <v>203</v>
      </c>
      <c r="I1" s="49" t="s">
        <v>211</v>
      </c>
      <c r="J1" s="49" t="s">
        <v>84</v>
      </c>
      <c r="K1" s="49" t="s">
        <v>68</v>
      </c>
      <c r="L1" s="49" t="s">
        <v>249</v>
      </c>
      <c r="M1" s="49" t="s">
        <v>234</v>
      </c>
      <c r="N1" s="49" t="s">
        <v>235</v>
      </c>
      <c r="O1" s="49" t="s">
        <v>236</v>
      </c>
      <c r="P1" s="49" t="s">
        <v>237</v>
      </c>
      <c r="Q1" s="49" t="s">
        <v>238</v>
      </c>
      <c r="R1" s="49" t="s">
        <v>239</v>
      </c>
      <c r="S1" s="49" t="s">
        <v>240</v>
      </c>
      <c r="T1" s="49" t="s">
        <v>241</v>
      </c>
      <c r="U1" s="49" t="s">
        <v>242</v>
      </c>
      <c r="V1" s="49" t="s">
        <v>47</v>
      </c>
      <c r="W1" s="49" t="s">
        <v>59</v>
      </c>
    </row>
    <row r="2" spans="1:23" hidden="1" x14ac:dyDescent="0.25">
      <c r="A2" s="78" t="s">
        <v>58</v>
      </c>
      <c r="B2" s="78" t="s">
        <v>58</v>
      </c>
      <c r="C2" s="51" t="s">
        <v>199</v>
      </c>
      <c r="D2" s="51" t="s">
        <v>382</v>
      </c>
      <c r="E2" s="51">
        <v>1</v>
      </c>
      <c r="F2" s="51">
        <v>2300</v>
      </c>
      <c r="G2" s="51" t="s">
        <v>58</v>
      </c>
      <c r="H2" s="51" t="s">
        <v>58</v>
      </c>
      <c r="I2" s="52">
        <v>46569</v>
      </c>
      <c r="J2" s="51" t="s">
        <v>58</v>
      </c>
      <c r="K2" s="51" t="s">
        <v>58</v>
      </c>
      <c r="L2" s="51" t="s">
        <v>58</v>
      </c>
      <c r="M2" s="51" t="s">
        <v>369</v>
      </c>
      <c r="N2" s="51" t="s">
        <v>374</v>
      </c>
      <c r="O2" s="51" t="s">
        <v>246</v>
      </c>
      <c r="P2" s="51"/>
      <c r="Q2" s="51"/>
      <c r="R2" s="51"/>
      <c r="S2" s="51"/>
      <c r="T2" s="51"/>
      <c r="U2" s="51"/>
      <c r="V2" s="51" t="s">
        <v>200</v>
      </c>
      <c r="W2" s="51" t="s">
        <v>390</v>
      </c>
    </row>
    <row r="3" spans="1:23" ht="20.100000000000001" hidden="1" customHeight="1" x14ac:dyDescent="0.25">
      <c r="A3" s="78">
        <v>1020</v>
      </c>
      <c r="B3" s="78" t="s">
        <v>63</v>
      </c>
      <c r="C3" s="51" t="s">
        <v>414</v>
      </c>
      <c r="D3" s="51" t="s">
        <v>382</v>
      </c>
      <c r="E3" s="51">
        <v>1</v>
      </c>
      <c r="F3" s="76" t="s">
        <v>368</v>
      </c>
      <c r="G3" s="51" t="s">
        <v>371</v>
      </c>
      <c r="H3" s="76" t="s">
        <v>204</v>
      </c>
      <c r="I3" s="75">
        <v>46406</v>
      </c>
      <c r="J3" s="51" t="s">
        <v>58</v>
      </c>
      <c r="K3" s="51" t="s">
        <v>58</v>
      </c>
      <c r="L3" s="74">
        <v>121</v>
      </c>
      <c r="M3" s="51" t="s">
        <v>369</v>
      </c>
      <c r="N3" s="51" t="s">
        <v>374</v>
      </c>
      <c r="O3" s="51" t="s">
        <v>246</v>
      </c>
      <c r="P3" s="51"/>
      <c r="Q3" s="51"/>
      <c r="R3" s="51"/>
      <c r="S3" s="51"/>
      <c r="T3" s="51"/>
      <c r="U3" s="51"/>
      <c r="V3" s="51" t="s">
        <v>200</v>
      </c>
      <c r="W3" s="51"/>
    </row>
    <row r="4" spans="1:23" ht="20.100000000000001" hidden="1" customHeight="1" x14ac:dyDescent="0.25">
      <c r="A4" s="78">
        <v>1020</v>
      </c>
      <c r="B4" s="78" t="s">
        <v>63</v>
      </c>
      <c r="C4" s="51" t="s">
        <v>414</v>
      </c>
      <c r="D4" s="51" t="s">
        <v>382</v>
      </c>
      <c r="E4" s="51">
        <v>1</v>
      </c>
      <c r="F4" s="76" t="s">
        <v>368</v>
      </c>
      <c r="G4" s="51" t="s">
        <v>372</v>
      </c>
      <c r="H4" s="76" t="s">
        <v>204</v>
      </c>
      <c r="I4" s="75">
        <v>46405</v>
      </c>
      <c r="J4" s="51" t="s">
        <v>58</v>
      </c>
      <c r="K4" s="51" t="s">
        <v>58</v>
      </c>
      <c r="L4" s="74">
        <v>103</v>
      </c>
      <c r="M4" s="51" t="s">
        <v>369</v>
      </c>
      <c r="N4" s="51" t="s">
        <v>374</v>
      </c>
      <c r="O4" s="51" t="s">
        <v>246</v>
      </c>
      <c r="P4" s="51"/>
      <c r="Q4" s="51"/>
      <c r="R4" s="51"/>
      <c r="S4" s="51"/>
      <c r="T4" s="51"/>
      <c r="U4" s="51"/>
      <c r="V4" s="51" t="s">
        <v>200</v>
      </c>
      <c r="W4" s="51"/>
    </row>
    <row r="5" spans="1:23" ht="20.100000000000001" hidden="1" customHeight="1" x14ac:dyDescent="0.25">
      <c r="A5" s="78">
        <v>1020</v>
      </c>
      <c r="B5" s="78" t="s">
        <v>63</v>
      </c>
      <c r="C5" s="51" t="s">
        <v>414</v>
      </c>
      <c r="D5" s="51" t="s">
        <v>382</v>
      </c>
      <c r="E5" s="51">
        <v>1</v>
      </c>
      <c r="F5" s="76" t="s">
        <v>263</v>
      </c>
      <c r="G5" s="51" t="s">
        <v>371</v>
      </c>
      <c r="H5" s="76" t="s">
        <v>205</v>
      </c>
      <c r="I5" s="75">
        <v>46410</v>
      </c>
      <c r="J5" s="51" t="s">
        <v>58</v>
      </c>
      <c r="K5" s="51" t="s">
        <v>58</v>
      </c>
      <c r="L5" s="74">
        <v>128</v>
      </c>
      <c r="M5" s="51" t="s">
        <v>369</v>
      </c>
      <c r="N5" s="51" t="s">
        <v>374</v>
      </c>
      <c r="O5" s="51" t="s">
        <v>246</v>
      </c>
      <c r="P5" s="51"/>
      <c r="Q5" s="51"/>
      <c r="R5" s="51"/>
      <c r="S5" s="51"/>
      <c r="T5" s="51"/>
      <c r="U5" s="51"/>
      <c r="V5" s="51" t="s">
        <v>200</v>
      </c>
      <c r="W5" s="51"/>
    </row>
    <row r="6" spans="1:23" ht="20.100000000000001" hidden="1" customHeight="1" x14ac:dyDescent="0.25">
      <c r="A6" s="78">
        <v>1020</v>
      </c>
      <c r="B6" s="78" t="s">
        <v>63</v>
      </c>
      <c r="C6" s="51" t="s">
        <v>414</v>
      </c>
      <c r="D6" s="51" t="s">
        <v>382</v>
      </c>
      <c r="E6" s="51">
        <v>1</v>
      </c>
      <c r="F6" s="76" t="s">
        <v>263</v>
      </c>
      <c r="G6" s="51" t="s">
        <v>372</v>
      </c>
      <c r="H6" s="76" t="s">
        <v>205</v>
      </c>
      <c r="I6" s="75">
        <v>46412</v>
      </c>
      <c r="J6" s="52">
        <v>46388</v>
      </c>
      <c r="K6" s="51" t="s">
        <v>58</v>
      </c>
      <c r="L6" s="74">
        <v>127</v>
      </c>
      <c r="M6" s="51" t="s">
        <v>369</v>
      </c>
      <c r="N6" s="51" t="s">
        <v>374</v>
      </c>
      <c r="O6" s="51" t="s">
        <v>246</v>
      </c>
      <c r="P6" s="51"/>
      <c r="Q6" s="51"/>
      <c r="R6" s="51"/>
      <c r="S6" s="51"/>
      <c r="T6" s="51"/>
      <c r="U6" s="51"/>
      <c r="V6" s="51" t="s">
        <v>200</v>
      </c>
      <c r="W6" s="51"/>
    </row>
    <row r="7" spans="1:23" ht="20.100000000000001" hidden="1" customHeight="1" x14ac:dyDescent="0.25">
      <c r="A7" s="78">
        <v>1020</v>
      </c>
      <c r="B7" s="78" t="s">
        <v>63</v>
      </c>
      <c r="C7" s="51" t="s">
        <v>414</v>
      </c>
      <c r="D7" s="51" t="s">
        <v>382</v>
      </c>
      <c r="E7" s="51">
        <v>1</v>
      </c>
      <c r="F7" s="76" t="s">
        <v>263</v>
      </c>
      <c r="G7" s="51" t="s">
        <v>373</v>
      </c>
      <c r="H7" s="76" t="s">
        <v>205</v>
      </c>
      <c r="I7" s="75">
        <v>46430</v>
      </c>
      <c r="J7" s="52">
        <v>46388</v>
      </c>
      <c r="K7" s="51" t="s">
        <v>58</v>
      </c>
      <c r="L7" s="74" t="s">
        <v>364</v>
      </c>
      <c r="M7" s="51" t="s">
        <v>369</v>
      </c>
      <c r="N7" s="51" t="s">
        <v>374</v>
      </c>
      <c r="O7" s="51" t="s">
        <v>246</v>
      </c>
      <c r="P7" s="51"/>
      <c r="Q7" s="51"/>
      <c r="R7" s="51"/>
      <c r="S7" s="51"/>
      <c r="T7" s="51"/>
      <c r="U7" s="51"/>
      <c r="V7" s="51" t="s">
        <v>200</v>
      </c>
      <c r="W7" s="51"/>
    </row>
    <row r="8" spans="1:23" ht="20.100000000000001" hidden="1" customHeight="1" x14ac:dyDescent="0.25">
      <c r="A8" s="78">
        <v>1020</v>
      </c>
      <c r="B8" s="78" t="s">
        <v>63</v>
      </c>
      <c r="C8" s="51" t="s">
        <v>414</v>
      </c>
      <c r="D8" s="51" t="s">
        <v>382</v>
      </c>
      <c r="E8" s="51">
        <v>1</v>
      </c>
      <c r="F8" s="76" t="s">
        <v>263</v>
      </c>
      <c r="G8" s="51" t="s">
        <v>371</v>
      </c>
      <c r="H8" s="76" t="s">
        <v>206</v>
      </c>
      <c r="I8" s="75">
        <v>46413</v>
      </c>
      <c r="J8" s="52">
        <v>46388</v>
      </c>
      <c r="K8" s="51" t="s">
        <v>58</v>
      </c>
      <c r="L8" s="74">
        <v>125</v>
      </c>
      <c r="M8" s="51" t="s">
        <v>369</v>
      </c>
      <c r="N8" s="51" t="s">
        <v>374</v>
      </c>
      <c r="O8" s="51" t="s">
        <v>246</v>
      </c>
      <c r="P8" s="51"/>
      <c r="Q8" s="51"/>
      <c r="R8" s="51"/>
      <c r="S8" s="51"/>
      <c r="T8" s="51"/>
      <c r="U8" s="51"/>
      <c r="V8" s="51" t="s">
        <v>200</v>
      </c>
      <c r="W8" s="51"/>
    </row>
    <row r="9" spans="1:23" ht="20.100000000000001" hidden="1" customHeight="1" x14ac:dyDescent="0.25">
      <c r="A9" s="78">
        <v>1020</v>
      </c>
      <c r="B9" s="78" t="s">
        <v>63</v>
      </c>
      <c r="C9" s="51" t="s">
        <v>414</v>
      </c>
      <c r="D9" s="51" t="s">
        <v>382</v>
      </c>
      <c r="E9" s="51">
        <v>1</v>
      </c>
      <c r="F9" s="76" t="s">
        <v>263</v>
      </c>
      <c r="G9" s="51" t="s">
        <v>372</v>
      </c>
      <c r="H9" s="76" t="s">
        <v>206</v>
      </c>
      <c r="I9" s="75">
        <v>46416</v>
      </c>
      <c r="J9" s="52">
        <v>46388</v>
      </c>
      <c r="K9" s="51" t="s">
        <v>58</v>
      </c>
      <c r="L9" s="74" t="s">
        <v>365</v>
      </c>
      <c r="M9" s="51" t="s">
        <v>369</v>
      </c>
      <c r="N9" s="51" t="s">
        <v>374</v>
      </c>
      <c r="O9" s="51" t="s">
        <v>246</v>
      </c>
      <c r="P9" s="51"/>
      <c r="Q9" s="51"/>
      <c r="R9" s="51"/>
      <c r="S9" s="51"/>
      <c r="T9" s="51"/>
      <c r="U9" s="51"/>
      <c r="V9" s="51" t="s">
        <v>200</v>
      </c>
      <c r="W9" s="51"/>
    </row>
    <row r="10" spans="1:23" ht="20.100000000000001" hidden="1" customHeight="1" x14ac:dyDescent="0.25">
      <c r="A10" s="78">
        <v>1020</v>
      </c>
      <c r="B10" s="78" t="s">
        <v>63</v>
      </c>
      <c r="C10" s="51" t="s">
        <v>414</v>
      </c>
      <c r="D10" s="51" t="s">
        <v>382</v>
      </c>
      <c r="E10" s="51">
        <v>1</v>
      </c>
      <c r="F10" s="76" t="s">
        <v>263</v>
      </c>
      <c r="G10" s="51" t="s">
        <v>373</v>
      </c>
      <c r="H10" s="76" t="s">
        <v>206</v>
      </c>
      <c r="I10" s="75">
        <v>46428</v>
      </c>
      <c r="J10" s="52">
        <v>46388</v>
      </c>
      <c r="K10" s="51" t="s">
        <v>58</v>
      </c>
      <c r="L10" s="74">
        <v>119</v>
      </c>
      <c r="M10" s="51" t="s">
        <v>369</v>
      </c>
      <c r="N10" s="51" t="s">
        <v>374</v>
      </c>
      <c r="O10" s="51" t="s">
        <v>246</v>
      </c>
      <c r="P10" s="51"/>
      <c r="Q10" s="51"/>
      <c r="R10" s="51"/>
      <c r="S10" s="51"/>
      <c r="T10" s="51"/>
      <c r="U10" s="51"/>
      <c r="V10" s="51" t="s">
        <v>200</v>
      </c>
      <c r="W10" s="51"/>
    </row>
    <row r="11" spans="1:23" ht="20.100000000000001" hidden="1" customHeight="1" x14ac:dyDescent="0.25">
      <c r="A11" s="78">
        <v>1020</v>
      </c>
      <c r="B11" s="78" t="s">
        <v>63</v>
      </c>
      <c r="C11" s="51" t="s">
        <v>414</v>
      </c>
      <c r="D11" s="51" t="s">
        <v>382</v>
      </c>
      <c r="E11" s="51">
        <v>1</v>
      </c>
      <c r="F11" s="76" t="s">
        <v>263</v>
      </c>
      <c r="G11" s="51" t="s">
        <v>371</v>
      </c>
      <c r="H11" s="76" t="s">
        <v>207</v>
      </c>
      <c r="I11" s="75">
        <v>46417</v>
      </c>
      <c r="J11" s="52">
        <v>46388</v>
      </c>
      <c r="K11" s="51" t="s">
        <v>58</v>
      </c>
      <c r="L11" s="74">
        <v>110</v>
      </c>
      <c r="M11" s="51" t="s">
        <v>369</v>
      </c>
      <c r="N11" s="51" t="s">
        <v>374</v>
      </c>
      <c r="O11" s="51" t="s">
        <v>246</v>
      </c>
      <c r="P11" s="51"/>
      <c r="Q11" s="51"/>
      <c r="R11" s="51"/>
      <c r="S11" s="51"/>
      <c r="T11" s="51"/>
      <c r="U11" s="51"/>
      <c r="V11" s="51" t="s">
        <v>200</v>
      </c>
      <c r="W11" s="51"/>
    </row>
    <row r="12" spans="1:23" ht="20.100000000000001" hidden="1" customHeight="1" x14ac:dyDescent="0.25">
      <c r="A12" s="78">
        <v>1020</v>
      </c>
      <c r="B12" s="78" t="s">
        <v>63</v>
      </c>
      <c r="C12" s="51" t="s">
        <v>414</v>
      </c>
      <c r="D12" s="51" t="s">
        <v>382</v>
      </c>
      <c r="E12" s="51">
        <v>1</v>
      </c>
      <c r="F12" s="76" t="s">
        <v>263</v>
      </c>
      <c r="G12" s="51" t="s">
        <v>372</v>
      </c>
      <c r="H12" s="76" t="s">
        <v>207</v>
      </c>
      <c r="I12" s="75">
        <v>46419</v>
      </c>
      <c r="J12" s="52">
        <v>46388</v>
      </c>
      <c r="K12" s="51" t="s">
        <v>58</v>
      </c>
      <c r="L12" s="74">
        <v>111</v>
      </c>
      <c r="M12" s="51" t="s">
        <v>369</v>
      </c>
      <c r="N12" s="51" t="s">
        <v>374</v>
      </c>
      <c r="O12" s="51" t="s">
        <v>246</v>
      </c>
      <c r="P12" s="51"/>
      <c r="Q12" s="51"/>
      <c r="R12" s="51"/>
      <c r="S12" s="51"/>
      <c r="T12" s="51"/>
      <c r="U12" s="51"/>
      <c r="V12" s="51" t="s">
        <v>200</v>
      </c>
      <c r="W12" s="51"/>
    </row>
    <row r="13" spans="1:23" ht="20.100000000000001" hidden="1" customHeight="1" x14ac:dyDescent="0.25">
      <c r="A13" s="78">
        <v>1020</v>
      </c>
      <c r="B13" s="78" t="s">
        <v>63</v>
      </c>
      <c r="C13" s="51" t="s">
        <v>414</v>
      </c>
      <c r="D13" s="51" t="s">
        <v>382</v>
      </c>
      <c r="E13" s="51">
        <v>1</v>
      </c>
      <c r="F13" s="76" t="s">
        <v>263</v>
      </c>
      <c r="G13" s="51" t="s">
        <v>373</v>
      </c>
      <c r="H13" s="76" t="s">
        <v>207</v>
      </c>
      <c r="I13" s="75">
        <v>46426</v>
      </c>
      <c r="J13" s="52">
        <v>46388</v>
      </c>
      <c r="K13" s="51" t="s">
        <v>58</v>
      </c>
      <c r="L13" s="74">
        <v>109</v>
      </c>
      <c r="M13" s="51" t="s">
        <v>369</v>
      </c>
      <c r="N13" s="51" t="s">
        <v>374</v>
      </c>
      <c r="O13" s="51" t="s">
        <v>246</v>
      </c>
      <c r="P13" s="51"/>
      <c r="Q13" s="51"/>
      <c r="R13" s="51"/>
      <c r="S13" s="51"/>
      <c r="T13" s="51"/>
      <c r="U13" s="51"/>
      <c r="V13" s="51" t="s">
        <v>200</v>
      </c>
      <c r="W13" s="51"/>
    </row>
    <row r="14" spans="1:23" ht="20.100000000000001" hidden="1" customHeight="1" x14ac:dyDescent="0.25">
      <c r="A14" s="78">
        <v>1020</v>
      </c>
      <c r="B14" s="78" t="s">
        <v>63</v>
      </c>
      <c r="C14" s="51" t="s">
        <v>414</v>
      </c>
      <c r="D14" s="51" t="s">
        <v>382</v>
      </c>
      <c r="E14" s="51">
        <v>1</v>
      </c>
      <c r="F14" s="76" t="s">
        <v>263</v>
      </c>
      <c r="G14" s="51" t="s">
        <v>371</v>
      </c>
      <c r="H14" s="76" t="s">
        <v>208</v>
      </c>
      <c r="I14" s="75">
        <v>46420</v>
      </c>
      <c r="J14" s="52">
        <v>46388</v>
      </c>
      <c r="K14" s="51" t="s">
        <v>58</v>
      </c>
      <c r="L14" s="74">
        <v>115</v>
      </c>
      <c r="M14" s="51" t="s">
        <v>369</v>
      </c>
      <c r="N14" s="51" t="s">
        <v>374</v>
      </c>
      <c r="O14" s="51" t="s">
        <v>246</v>
      </c>
      <c r="P14" s="51"/>
      <c r="Q14" s="51"/>
      <c r="R14" s="51"/>
      <c r="S14" s="51"/>
      <c r="T14" s="51"/>
      <c r="U14" s="51"/>
      <c r="V14" s="51" t="s">
        <v>200</v>
      </c>
      <c r="W14" s="51"/>
    </row>
    <row r="15" spans="1:23" ht="20.100000000000001" hidden="1" customHeight="1" x14ac:dyDescent="0.25">
      <c r="A15" s="78">
        <v>1020</v>
      </c>
      <c r="B15" s="78" t="s">
        <v>63</v>
      </c>
      <c r="C15" s="51" t="s">
        <v>414</v>
      </c>
      <c r="D15" s="51" t="s">
        <v>382</v>
      </c>
      <c r="E15" s="51">
        <v>1</v>
      </c>
      <c r="F15" s="76" t="s">
        <v>263</v>
      </c>
      <c r="G15" s="51" t="s">
        <v>372</v>
      </c>
      <c r="H15" s="76" t="s">
        <v>208</v>
      </c>
      <c r="I15" s="75">
        <v>46422</v>
      </c>
      <c r="J15" s="52">
        <v>46388</v>
      </c>
      <c r="K15" s="51" t="s">
        <v>58</v>
      </c>
      <c r="L15" s="74" t="s">
        <v>366</v>
      </c>
      <c r="M15" s="51" t="s">
        <v>369</v>
      </c>
      <c r="N15" s="51" t="s">
        <v>374</v>
      </c>
      <c r="O15" s="51" t="s">
        <v>246</v>
      </c>
      <c r="P15" s="51"/>
      <c r="Q15" s="51"/>
      <c r="R15" s="51"/>
      <c r="S15" s="51"/>
      <c r="T15" s="51"/>
      <c r="U15" s="51"/>
      <c r="V15" s="51" t="s">
        <v>200</v>
      </c>
      <c r="W15" s="51"/>
    </row>
    <row r="16" spans="1:23" ht="20.100000000000001" hidden="1" customHeight="1" x14ac:dyDescent="0.25">
      <c r="A16" s="78">
        <v>1020</v>
      </c>
      <c r="B16" s="78" t="s">
        <v>63</v>
      </c>
      <c r="C16" s="51" t="s">
        <v>414</v>
      </c>
      <c r="D16" s="51" t="s">
        <v>382</v>
      </c>
      <c r="E16" s="51">
        <v>1</v>
      </c>
      <c r="F16" s="76" t="s">
        <v>263</v>
      </c>
      <c r="G16" s="51" t="s">
        <v>373</v>
      </c>
      <c r="H16" s="76" t="s">
        <v>208</v>
      </c>
      <c r="I16" s="75">
        <v>46427</v>
      </c>
      <c r="J16" s="52">
        <v>46388</v>
      </c>
      <c r="K16" s="51" t="s">
        <v>58</v>
      </c>
      <c r="L16" s="74">
        <v>114</v>
      </c>
      <c r="M16" s="51" t="s">
        <v>369</v>
      </c>
      <c r="N16" s="51" t="s">
        <v>374</v>
      </c>
      <c r="O16" s="51" t="s">
        <v>246</v>
      </c>
      <c r="P16" s="51"/>
      <c r="Q16" s="51"/>
      <c r="R16" s="51"/>
      <c r="S16" s="51"/>
      <c r="T16" s="51"/>
      <c r="U16" s="51"/>
      <c r="V16" s="51" t="s">
        <v>200</v>
      </c>
      <c r="W16" s="51"/>
    </row>
    <row r="17" spans="1:23" ht="20.100000000000001" hidden="1" customHeight="1" x14ac:dyDescent="0.25">
      <c r="A17" s="78">
        <v>1020</v>
      </c>
      <c r="B17" s="78" t="s">
        <v>63</v>
      </c>
      <c r="C17" s="51" t="s">
        <v>414</v>
      </c>
      <c r="D17" s="51" t="s">
        <v>382</v>
      </c>
      <c r="E17" s="51">
        <v>1</v>
      </c>
      <c r="F17" s="76" t="s">
        <v>368</v>
      </c>
      <c r="G17" s="51" t="s">
        <v>371</v>
      </c>
      <c r="H17" s="76" t="s">
        <v>248</v>
      </c>
      <c r="I17" s="75">
        <v>46426</v>
      </c>
      <c r="J17" s="52">
        <v>46388</v>
      </c>
      <c r="K17" s="51" t="s">
        <v>58</v>
      </c>
      <c r="L17" s="74">
        <v>129</v>
      </c>
      <c r="M17" s="51" t="s">
        <v>369</v>
      </c>
      <c r="N17" s="51" t="s">
        <v>374</v>
      </c>
      <c r="O17" s="51" t="s">
        <v>246</v>
      </c>
      <c r="P17" s="51"/>
      <c r="Q17" s="51"/>
      <c r="R17" s="51"/>
      <c r="S17" s="51"/>
      <c r="T17" s="51"/>
      <c r="U17" s="51"/>
      <c r="V17" s="51" t="s">
        <v>200</v>
      </c>
      <c r="W17" s="51"/>
    </row>
    <row r="18" spans="1:23" ht="20.100000000000001" hidden="1" customHeight="1" x14ac:dyDescent="0.25">
      <c r="A18" s="78">
        <v>1020</v>
      </c>
      <c r="B18" s="78" t="s">
        <v>63</v>
      </c>
      <c r="C18" s="51" t="s">
        <v>414</v>
      </c>
      <c r="D18" s="51" t="s">
        <v>382</v>
      </c>
      <c r="E18" s="51">
        <v>1</v>
      </c>
      <c r="F18" s="76" t="s">
        <v>368</v>
      </c>
      <c r="G18" s="51" t="s">
        <v>372</v>
      </c>
      <c r="H18" s="76" t="s">
        <v>248</v>
      </c>
      <c r="I18" s="75">
        <v>46423</v>
      </c>
      <c r="J18" s="52">
        <v>46388</v>
      </c>
      <c r="K18" s="51" t="s">
        <v>58</v>
      </c>
      <c r="L18" s="74">
        <v>123</v>
      </c>
      <c r="M18" s="51" t="s">
        <v>369</v>
      </c>
      <c r="N18" s="51" t="s">
        <v>374</v>
      </c>
      <c r="O18" s="51" t="s">
        <v>246</v>
      </c>
      <c r="P18" s="51"/>
      <c r="Q18" s="51"/>
      <c r="R18" s="51"/>
      <c r="S18" s="51"/>
      <c r="T18" s="51"/>
      <c r="U18" s="51"/>
      <c r="V18" s="51" t="s">
        <v>200</v>
      </c>
      <c r="W18" s="51"/>
    </row>
    <row r="19" spans="1:23" ht="20.100000000000001" hidden="1" customHeight="1" x14ac:dyDescent="0.25">
      <c r="A19" s="78">
        <v>1010</v>
      </c>
      <c r="B19" s="78" t="s">
        <v>63</v>
      </c>
      <c r="C19" s="51" t="s">
        <v>414</v>
      </c>
      <c r="D19" s="51" t="s">
        <v>382</v>
      </c>
      <c r="E19" s="51">
        <v>1</v>
      </c>
      <c r="F19" s="51" t="s">
        <v>368</v>
      </c>
      <c r="G19" s="54" t="s">
        <v>63</v>
      </c>
      <c r="H19" s="51" t="s">
        <v>63</v>
      </c>
      <c r="I19" s="52">
        <v>46203</v>
      </c>
      <c r="J19" s="52" t="s">
        <v>56</v>
      </c>
      <c r="K19" s="51" t="s">
        <v>56</v>
      </c>
      <c r="L19" s="51">
        <v>124</v>
      </c>
      <c r="M19" s="53" t="s">
        <v>451</v>
      </c>
      <c r="N19" s="53" t="s">
        <v>462</v>
      </c>
      <c r="O19" s="53" t="s">
        <v>476</v>
      </c>
      <c r="P19" s="53" t="s">
        <v>224</v>
      </c>
      <c r="Q19" s="51" t="s">
        <v>477</v>
      </c>
      <c r="R19" s="51" t="s">
        <v>374</v>
      </c>
      <c r="S19" s="51"/>
      <c r="T19" s="51"/>
      <c r="U19" s="51"/>
      <c r="V19" s="51" t="s">
        <v>202</v>
      </c>
      <c r="W19" s="51" t="s">
        <v>475</v>
      </c>
    </row>
    <row r="20" spans="1:23" ht="20.100000000000001" hidden="1" customHeight="1" x14ac:dyDescent="0.25">
      <c r="A20" s="78">
        <v>1020</v>
      </c>
      <c r="B20" s="78" t="s">
        <v>63</v>
      </c>
      <c r="C20" s="51" t="s">
        <v>414</v>
      </c>
      <c r="D20" s="51" t="s">
        <v>382</v>
      </c>
      <c r="E20" s="51">
        <v>1</v>
      </c>
      <c r="F20" s="76" t="s">
        <v>263</v>
      </c>
      <c r="G20" s="51" t="s">
        <v>373</v>
      </c>
      <c r="H20" s="76" t="s">
        <v>248</v>
      </c>
      <c r="I20" s="75">
        <v>46430</v>
      </c>
      <c r="J20" s="52">
        <v>46388</v>
      </c>
      <c r="K20" s="51" t="s">
        <v>58</v>
      </c>
      <c r="L20" s="74" t="s">
        <v>367</v>
      </c>
      <c r="M20" s="51" t="s">
        <v>369</v>
      </c>
      <c r="N20" s="51" t="s">
        <v>374</v>
      </c>
      <c r="O20" s="51" t="s">
        <v>246</v>
      </c>
      <c r="P20" s="51"/>
      <c r="Q20" s="51"/>
      <c r="R20" s="51"/>
      <c r="S20" s="51"/>
      <c r="T20" s="51"/>
      <c r="U20" s="51"/>
      <c r="V20" s="51" t="s">
        <v>200</v>
      </c>
      <c r="W20" s="51"/>
    </row>
    <row r="21" spans="1:23" ht="20.100000000000001" hidden="1" customHeight="1" x14ac:dyDescent="0.25">
      <c r="A21" s="78">
        <v>1027</v>
      </c>
      <c r="B21" s="78" t="s">
        <v>63</v>
      </c>
      <c r="C21" s="51" t="s">
        <v>89</v>
      </c>
      <c r="D21" s="51" t="s">
        <v>382</v>
      </c>
      <c r="E21" s="51">
        <v>1</v>
      </c>
      <c r="F21" s="51" t="s">
        <v>201</v>
      </c>
      <c r="G21" s="51" t="s">
        <v>371</v>
      </c>
      <c r="H21" s="51" t="s">
        <v>204</v>
      </c>
      <c r="I21" s="52">
        <v>46410</v>
      </c>
      <c r="J21" s="52">
        <v>46388</v>
      </c>
      <c r="K21" s="51" t="s">
        <v>58</v>
      </c>
      <c r="L21" s="74" t="s">
        <v>383</v>
      </c>
      <c r="M21" s="51" t="s">
        <v>369</v>
      </c>
      <c r="N21" s="51" t="s">
        <v>374</v>
      </c>
      <c r="O21" s="51" t="s">
        <v>246</v>
      </c>
      <c r="P21" s="51"/>
      <c r="Q21" s="51"/>
      <c r="R21" s="51"/>
      <c r="S21" s="51"/>
      <c r="T21" s="51"/>
      <c r="U21" s="51"/>
      <c r="V21" s="51" t="s">
        <v>200</v>
      </c>
      <c r="W21" s="51"/>
    </row>
    <row r="22" spans="1:23" ht="20.100000000000001" hidden="1" customHeight="1" x14ac:dyDescent="0.25">
      <c r="A22" s="78">
        <v>1027</v>
      </c>
      <c r="B22" s="78" t="s">
        <v>63</v>
      </c>
      <c r="C22" s="51" t="s">
        <v>89</v>
      </c>
      <c r="D22" s="51" t="s">
        <v>382</v>
      </c>
      <c r="E22" s="51">
        <v>1</v>
      </c>
      <c r="F22" s="51" t="s">
        <v>201</v>
      </c>
      <c r="G22" s="51" t="s">
        <v>372</v>
      </c>
      <c r="H22" s="51" t="s">
        <v>204</v>
      </c>
      <c r="I22" s="52">
        <v>46414</v>
      </c>
      <c r="J22" s="52">
        <v>46388</v>
      </c>
      <c r="K22" s="51" t="s">
        <v>58</v>
      </c>
      <c r="L22" s="74" t="s">
        <v>384</v>
      </c>
      <c r="M22" s="51" t="s">
        <v>369</v>
      </c>
      <c r="N22" s="51" t="s">
        <v>374</v>
      </c>
      <c r="O22" s="51" t="s">
        <v>246</v>
      </c>
      <c r="P22" s="51"/>
      <c r="Q22" s="51"/>
      <c r="R22" s="51"/>
      <c r="S22" s="51"/>
      <c r="T22" s="51"/>
      <c r="U22" s="51"/>
      <c r="V22" s="51" t="s">
        <v>200</v>
      </c>
      <c r="W22" s="51"/>
    </row>
    <row r="23" spans="1:23" ht="20.100000000000001" hidden="1" customHeight="1" x14ac:dyDescent="0.25">
      <c r="A23" s="78">
        <v>1027</v>
      </c>
      <c r="B23" s="78" t="s">
        <v>63</v>
      </c>
      <c r="C23" s="51" t="s">
        <v>89</v>
      </c>
      <c r="D23" s="51" t="s">
        <v>382</v>
      </c>
      <c r="E23" s="51">
        <v>1</v>
      </c>
      <c r="F23" s="51" t="s">
        <v>201</v>
      </c>
      <c r="G23" s="51" t="s">
        <v>371</v>
      </c>
      <c r="H23" s="51" t="s">
        <v>205</v>
      </c>
      <c r="I23" s="52">
        <v>46416</v>
      </c>
      <c r="J23" s="52">
        <v>46388</v>
      </c>
      <c r="K23" s="51" t="s">
        <v>58</v>
      </c>
      <c r="L23" s="74">
        <v>9</v>
      </c>
      <c r="M23" s="51" t="s">
        <v>369</v>
      </c>
      <c r="N23" s="51" t="s">
        <v>374</v>
      </c>
      <c r="O23" s="51" t="s">
        <v>246</v>
      </c>
      <c r="P23" s="51"/>
      <c r="Q23" s="51"/>
      <c r="R23" s="51"/>
      <c r="S23" s="51"/>
      <c r="T23" s="51"/>
      <c r="U23" s="51"/>
      <c r="V23" s="51" t="s">
        <v>200</v>
      </c>
      <c r="W23" s="51"/>
    </row>
    <row r="24" spans="1:23" ht="20.100000000000001" hidden="1" customHeight="1" x14ac:dyDescent="0.25">
      <c r="A24" s="78">
        <v>1027</v>
      </c>
      <c r="B24" s="78" t="s">
        <v>63</v>
      </c>
      <c r="C24" s="51" t="s">
        <v>89</v>
      </c>
      <c r="D24" s="51" t="s">
        <v>382</v>
      </c>
      <c r="E24" s="51">
        <v>1</v>
      </c>
      <c r="F24" s="51">
        <v>1700</v>
      </c>
      <c r="G24" s="51" t="s">
        <v>372</v>
      </c>
      <c r="H24" s="51" t="s">
        <v>205</v>
      </c>
      <c r="I24" s="52">
        <v>46417</v>
      </c>
      <c r="J24" s="52">
        <v>46388</v>
      </c>
      <c r="K24" s="51" t="s">
        <v>58</v>
      </c>
      <c r="L24" s="74">
        <v>17</v>
      </c>
      <c r="M24" s="51" t="s">
        <v>369</v>
      </c>
      <c r="N24" s="51" t="s">
        <v>374</v>
      </c>
      <c r="O24" s="51" t="s">
        <v>246</v>
      </c>
      <c r="P24" s="51"/>
      <c r="Q24" s="51"/>
      <c r="R24" s="51"/>
      <c r="S24" s="51"/>
      <c r="T24" s="51"/>
      <c r="U24" s="51"/>
      <c r="V24" s="51" t="s">
        <v>200</v>
      </c>
      <c r="W24" s="51"/>
    </row>
    <row r="25" spans="1:23" ht="20.100000000000001" hidden="1" customHeight="1" x14ac:dyDescent="0.25">
      <c r="A25" s="78">
        <v>1027</v>
      </c>
      <c r="B25" s="78" t="s">
        <v>63</v>
      </c>
      <c r="C25" s="51" t="s">
        <v>89</v>
      </c>
      <c r="D25" s="51" t="s">
        <v>382</v>
      </c>
      <c r="E25" s="51">
        <v>1</v>
      </c>
      <c r="F25" s="51">
        <v>1700</v>
      </c>
      <c r="G25" s="51" t="s">
        <v>371</v>
      </c>
      <c r="H25" s="51" t="s">
        <v>206</v>
      </c>
      <c r="I25" s="52">
        <v>46420</v>
      </c>
      <c r="J25" s="52">
        <v>46388</v>
      </c>
      <c r="K25" s="51" t="s">
        <v>58</v>
      </c>
      <c r="L25" s="74">
        <v>7</v>
      </c>
      <c r="M25" s="51" t="s">
        <v>369</v>
      </c>
      <c r="N25" s="51" t="s">
        <v>374</v>
      </c>
      <c r="O25" s="51" t="s">
        <v>246</v>
      </c>
      <c r="P25" s="51"/>
      <c r="Q25" s="51"/>
      <c r="R25" s="51"/>
      <c r="S25" s="51"/>
      <c r="T25" s="51"/>
      <c r="U25" s="51"/>
      <c r="V25" s="51" t="s">
        <v>200</v>
      </c>
      <c r="W25" s="51"/>
    </row>
    <row r="26" spans="1:23" ht="20.100000000000001" hidden="1" customHeight="1" x14ac:dyDescent="0.25">
      <c r="A26" s="78">
        <v>1027</v>
      </c>
      <c r="B26" s="78" t="s">
        <v>63</v>
      </c>
      <c r="C26" s="51" t="s">
        <v>89</v>
      </c>
      <c r="D26" s="51" t="s">
        <v>382</v>
      </c>
      <c r="E26" s="51">
        <v>1</v>
      </c>
      <c r="F26" s="51">
        <v>1700</v>
      </c>
      <c r="G26" s="51" t="s">
        <v>372</v>
      </c>
      <c r="H26" s="51" t="s">
        <v>206</v>
      </c>
      <c r="I26" s="52">
        <v>46408</v>
      </c>
      <c r="J26" s="52">
        <v>46388</v>
      </c>
      <c r="K26" s="51" t="s">
        <v>58</v>
      </c>
      <c r="L26" s="74">
        <v>2</v>
      </c>
      <c r="M26" s="53" t="s">
        <v>369</v>
      </c>
      <c r="N26" s="53" t="s">
        <v>374</v>
      </c>
      <c r="O26" s="53" t="s">
        <v>246</v>
      </c>
      <c r="P26" s="51"/>
      <c r="Q26" s="51"/>
      <c r="R26" s="51"/>
      <c r="S26" s="51"/>
      <c r="T26" s="51"/>
      <c r="U26" s="51"/>
      <c r="V26" s="51" t="s">
        <v>449</v>
      </c>
      <c r="W26" s="51"/>
    </row>
    <row r="27" spans="1:23" ht="20.100000000000001" hidden="1" customHeight="1" x14ac:dyDescent="0.25">
      <c r="A27" s="78">
        <v>1027</v>
      </c>
      <c r="B27" s="78" t="s">
        <v>63</v>
      </c>
      <c r="C27" s="51" t="s">
        <v>89</v>
      </c>
      <c r="D27" s="51" t="s">
        <v>382</v>
      </c>
      <c r="E27" s="51">
        <v>1</v>
      </c>
      <c r="F27" s="51">
        <v>1700</v>
      </c>
      <c r="G27" s="51" t="s">
        <v>371</v>
      </c>
      <c r="H27" s="51" t="s">
        <v>207</v>
      </c>
      <c r="I27" s="52">
        <v>46421</v>
      </c>
      <c r="J27" s="52">
        <v>46388</v>
      </c>
      <c r="K27" s="51" t="s">
        <v>58</v>
      </c>
      <c r="L27" s="74">
        <v>3</v>
      </c>
      <c r="M27" s="51" t="s">
        <v>369</v>
      </c>
      <c r="N27" s="51" t="s">
        <v>374</v>
      </c>
      <c r="O27" s="51" t="s">
        <v>246</v>
      </c>
      <c r="P27" s="51"/>
      <c r="Q27" s="51"/>
      <c r="R27" s="51"/>
      <c r="S27" s="51"/>
      <c r="T27" s="51"/>
      <c r="U27" s="51"/>
      <c r="V27" s="51" t="s">
        <v>200</v>
      </c>
      <c r="W27" s="51"/>
    </row>
    <row r="28" spans="1:23" ht="20.100000000000001" hidden="1" customHeight="1" x14ac:dyDescent="0.25">
      <c r="A28" s="78">
        <v>1027</v>
      </c>
      <c r="B28" s="78" t="s">
        <v>63</v>
      </c>
      <c r="C28" s="51" t="s">
        <v>89</v>
      </c>
      <c r="D28" s="51" t="s">
        <v>382</v>
      </c>
      <c r="E28" s="51">
        <v>1</v>
      </c>
      <c r="F28" s="51">
        <v>1700</v>
      </c>
      <c r="G28" s="51" t="s">
        <v>372</v>
      </c>
      <c r="H28" s="51" t="s">
        <v>207</v>
      </c>
      <c r="I28" s="52">
        <v>46403</v>
      </c>
      <c r="J28" s="52">
        <v>46388</v>
      </c>
      <c r="K28" s="51" t="s">
        <v>58</v>
      </c>
      <c r="L28" s="74">
        <v>10</v>
      </c>
      <c r="M28" s="53" t="s">
        <v>369</v>
      </c>
      <c r="N28" s="53" t="s">
        <v>374</v>
      </c>
      <c r="O28" s="53" t="s">
        <v>246</v>
      </c>
      <c r="P28" s="51"/>
      <c r="Q28" s="51"/>
      <c r="R28" s="51"/>
      <c r="S28" s="51"/>
      <c r="T28" s="51"/>
      <c r="U28" s="51"/>
      <c r="V28" s="51" t="s">
        <v>449</v>
      </c>
      <c r="W28" s="51"/>
    </row>
    <row r="29" spans="1:23" ht="20.100000000000001" hidden="1" customHeight="1" x14ac:dyDescent="0.25">
      <c r="A29" s="78">
        <v>1027</v>
      </c>
      <c r="B29" s="78" t="s">
        <v>63</v>
      </c>
      <c r="C29" s="51" t="s">
        <v>89</v>
      </c>
      <c r="D29" s="51" t="s">
        <v>382</v>
      </c>
      <c r="E29" s="51">
        <v>1</v>
      </c>
      <c r="F29" s="51">
        <v>1700</v>
      </c>
      <c r="G29" s="51" t="s">
        <v>371</v>
      </c>
      <c r="H29" s="51" t="s">
        <v>208</v>
      </c>
      <c r="I29" s="52">
        <v>46423</v>
      </c>
      <c r="J29" s="52">
        <v>46388</v>
      </c>
      <c r="K29" s="51" t="s">
        <v>58</v>
      </c>
      <c r="L29" s="74">
        <v>20</v>
      </c>
      <c r="M29" s="51" t="s">
        <v>369</v>
      </c>
      <c r="N29" s="51" t="s">
        <v>374</v>
      </c>
      <c r="O29" s="51" t="s">
        <v>246</v>
      </c>
      <c r="P29" s="51"/>
      <c r="Q29" s="51"/>
      <c r="R29" s="51"/>
      <c r="S29" s="51"/>
      <c r="T29" s="51"/>
      <c r="U29" s="51"/>
      <c r="V29" s="51" t="s">
        <v>200</v>
      </c>
      <c r="W29" s="51"/>
    </row>
    <row r="30" spans="1:23" ht="20.100000000000001" hidden="1" customHeight="1" x14ac:dyDescent="0.25">
      <c r="A30" s="78">
        <v>1027</v>
      </c>
      <c r="B30" s="78" t="s">
        <v>63</v>
      </c>
      <c r="C30" s="51" t="s">
        <v>89</v>
      </c>
      <c r="D30" s="51" t="s">
        <v>382</v>
      </c>
      <c r="E30" s="51">
        <v>1</v>
      </c>
      <c r="F30" s="51">
        <v>1700</v>
      </c>
      <c r="G30" s="51" t="s">
        <v>372</v>
      </c>
      <c r="H30" s="51" t="s">
        <v>208</v>
      </c>
      <c r="I30" s="52">
        <v>46406</v>
      </c>
      <c r="J30" s="52">
        <v>46388</v>
      </c>
      <c r="K30" s="51" t="s">
        <v>58</v>
      </c>
      <c r="L30" s="74">
        <v>18</v>
      </c>
      <c r="M30" s="53" t="s">
        <v>369</v>
      </c>
      <c r="N30" s="53" t="s">
        <v>374</v>
      </c>
      <c r="O30" s="53" t="s">
        <v>246</v>
      </c>
      <c r="P30" s="51"/>
      <c r="Q30" s="51"/>
      <c r="R30" s="51"/>
      <c r="S30" s="51"/>
      <c r="T30" s="51"/>
      <c r="U30" s="51"/>
      <c r="V30" s="51" t="s">
        <v>449</v>
      </c>
      <c r="W30" s="51"/>
    </row>
    <row r="31" spans="1:23" ht="20.100000000000001" hidden="1" customHeight="1" x14ac:dyDescent="0.25">
      <c r="A31" s="78">
        <v>1027</v>
      </c>
      <c r="B31" s="78" t="s">
        <v>63</v>
      </c>
      <c r="C31" s="51" t="s">
        <v>89</v>
      </c>
      <c r="D31" s="51" t="s">
        <v>382</v>
      </c>
      <c r="E31" s="51">
        <v>1</v>
      </c>
      <c r="F31" s="51">
        <v>1700</v>
      </c>
      <c r="G31" s="51" t="s">
        <v>254</v>
      </c>
      <c r="H31" s="51" t="s">
        <v>207</v>
      </c>
      <c r="I31" s="52">
        <v>46424</v>
      </c>
      <c r="J31" s="52">
        <v>46388</v>
      </c>
      <c r="K31" s="51" t="s">
        <v>58</v>
      </c>
      <c r="L31" s="74" t="s">
        <v>385</v>
      </c>
      <c r="M31" s="51" t="s">
        <v>369</v>
      </c>
      <c r="N31" s="51" t="s">
        <v>374</v>
      </c>
      <c r="O31" s="51" t="s">
        <v>246</v>
      </c>
      <c r="P31" s="51"/>
      <c r="Q31" s="51"/>
      <c r="R31" s="51"/>
      <c r="S31" s="51"/>
      <c r="T31" s="51"/>
      <c r="U31" s="51"/>
      <c r="V31" s="51" t="s">
        <v>200</v>
      </c>
      <c r="W31" s="51" t="s">
        <v>388</v>
      </c>
    </row>
    <row r="32" spans="1:23" ht="20.100000000000001" hidden="1" customHeight="1" x14ac:dyDescent="0.25">
      <c r="A32" s="78">
        <v>1027</v>
      </c>
      <c r="B32" s="78" t="s">
        <v>63</v>
      </c>
      <c r="C32" s="51" t="s">
        <v>89</v>
      </c>
      <c r="D32" s="51" t="s">
        <v>382</v>
      </c>
      <c r="E32" s="51">
        <v>1</v>
      </c>
      <c r="F32" s="51" t="s">
        <v>201</v>
      </c>
      <c r="G32" s="51" t="s">
        <v>373</v>
      </c>
      <c r="H32" s="51" t="s">
        <v>204</v>
      </c>
      <c r="I32" s="52">
        <v>46426</v>
      </c>
      <c r="J32" s="52">
        <v>46388</v>
      </c>
      <c r="K32" s="51" t="s">
        <v>58</v>
      </c>
      <c r="L32" s="74" t="s">
        <v>386</v>
      </c>
      <c r="M32" s="53" t="s">
        <v>369</v>
      </c>
      <c r="N32" s="53" t="s">
        <v>374</v>
      </c>
      <c r="O32" s="53" t="s">
        <v>246</v>
      </c>
      <c r="P32" s="51"/>
      <c r="Q32" s="51"/>
      <c r="R32" s="51"/>
      <c r="S32" s="51"/>
      <c r="T32" s="51"/>
      <c r="U32" s="51"/>
      <c r="V32" s="51" t="s">
        <v>449</v>
      </c>
      <c r="W32" s="51"/>
    </row>
    <row r="33" spans="1:23" ht="20.100000000000001" hidden="1" customHeight="1" x14ac:dyDescent="0.25">
      <c r="A33" s="78">
        <v>1027</v>
      </c>
      <c r="B33" s="78" t="s">
        <v>63</v>
      </c>
      <c r="C33" s="51" t="s">
        <v>89</v>
      </c>
      <c r="D33" s="51" t="s">
        <v>382</v>
      </c>
      <c r="E33" s="51">
        <v>1</v>
      </c>
      <c r="F33" s="51">
        <v>1700</v>
      </c>
      <c r="G33" s="51" t="s">
        <v>373</v>
      </c>
      <c r="H33" s="51" t="s">
        <v>205</v>
      </c>
      <c r="I33" s="52">
        <v>46427</v>
      </c>
      <c r="J33" s="52">
        <v>46388</v>
      </c>
      <c r="K33" s="51" t="s">
        <v>58</v>
      </c>
      <c r="L33" s="74">
        <v>24</v>
      </c>
      <c r="M33" s="51" t="s">
        <v>369</v>
      </c>
      <c r="N33" s="51" t="s">
        <v>374</v>
      </c>
      <c r="O33" s="51" t="s">
        <v>246</v>
      </c>
      <c r="P33" s="51"/>
      <c r="Q33" s="51"/>
      <c r="R33" s="51"/>
      <c r="S33" s="51"/>
      <c r="T33" s="51"/>
      <c r="U33" s="51"/>
      <c r="V33" s="51" t="s">
        <v>200</v>
      </c>
      <c r="W33" s="51"/>
    </row>
    <row r="34" spans="1:23" ht="20.100000000000001" hidden="1" customHeight="1" x14ac:dyDescent="0.25">
      <c r="A34" s="78">
        <v>1027</v>
      </c>
      <c r="B34" s="78" t="s">
        <v>63</v>
      </c>
      <c r="C34" s="51" t="s">
        <v>89</v>
      </c>
      <c r="D34" s="51" t="s">
        <v>382</v>
      </c>
      <c r="E34" s="51">
        <v>1</v>
      </c>
      <c r="F34" s="51">
        <v>1700</v>
      </c>
      <c r="G34" s="51" t="s">
        <v>373</v>
      </c>
      <c r="H34" s="51" t="s">
        <v>206</v>
      </c>
      <c r="I34" s="52">
        <v>46428</v>
      </c>
      <c r="J34" s="52">
        <v>46388</v>
      </c>
      <c r="K34" s="51" t="s">
        <v>58</v>
      </c>
      <c r="L34" s="74">
        <v>19</v>
      </c>
      <c r="M34" s="53" t="s">
        <v>369</v>
      </c>
      <c r="N34" s="53" t="s">
        <v>374</v>
      </c>
      <c r="O34" s="53" t="s">
        <v>246</v>
      </c>
      <c r="P34" s="51"/>
      <c r="Q34" s="51"/>
      <c r="R34" s="51"/>
      <c r="S34" s="51"/>
      <c r="T34" s="51"/>
      <c r="U34" s="51"/>
      <c r="V34" s="51" t="s">
        <v>449</v>
      </c>
      <c r="W34" s="51"/>
    </row>
    <row r="35" spans="1:23" ht="20.100000000000001" hidden="1" customHeight="1" x14ac:dyDescent="0.25">
      <c r="A35" s="78">
        <v>1027</v>
      </c>
      <c r="B35" s="78" t="s">
        <v>63</v>
      </c>
      <c r="C35" s="51" t="s">
        <v>89</v>
      </c>
      <c r="D35" s="51" t="s">
        <v>382</v>
      </c>
      <c r="E35" s="51">
        <v>1</v>
      </c>
      <c r="F35" s="51">
        <v>1700</v>
      </c>
      <c r="G35" s="51" t="s">
        <v>373</v>
      </c>
      <c r="H35" s="51" t="s">
        <v>207</v>
      </c>
      <c r="I35" s="52">
        <v>46430</v>
      </c>
      <c r="J35" s="52">
        <v>46388</v>
      </c>
      <c r="K35" s="51" t="s">
        <v>58</v>
      </c>
      <c r="L35" s="74">
        <v>15</v>
      </c>
      <c r="M35" s="51" t="s">
        <v>369</v>
      </c>
      <c r="N35" s="51" t="s">
        <v>374</v>
      </c>
      <c r="O35" s="51" t="s">
        <v>246</v>
      </c>
      <c r="P35" s="51"/>
      <c r="Q35" s="51"/>
      <c r="R35" s="51"/>
      <c r="S35" s="51"/>
      <c r="T35" s="51"/>
      <c r="U35" s="51"/>
      <c r="V35" s="51" t="s">
        <v>200</v>
      </c>
      <c r="W35" s="51"/>
    </row>
    <row r="36" spans="1:23" ht="20.100000000000001" hidden="1" customHeight="1" x14ac:dyDescent="0.25">
      <c r="A36" s="78">
        <v>1027</v>
      </c>
      <c r="B36" s="78" t="s">
        <v>63</v>
      </c>
      <c r="C36" s="51" t="s">
        <v>89</v>
      </c>
      <c r="D36" s="51" t="s">
        <v>382</v>
      </c>
      <c r="E36" s="51">
        <v>1</v>
      </c>
      <c r="F36" s="51">
        <v>1700</v>
      </c>
      <c r="G36" s="51" t="s">
        <v>373</v>
      </c>
      <c r="H36" s="51" t="s">
        <v>208</v>
      </c>
      <c r="I36" s="52">
        <v>46431</v>
      </c>
      <c r="J36" s="52">
        <v>46388</v>
      </c>
      <c r="K36" s="51" t="s">
        <v>58</v>
      </c>
      <c r="L36" s="74">
        <v>16</v>
      </c>
      <c r="M36" s="51" t="s">
        <v>369</v>
      </c>
      <c r="N36" s="51" t="s">
        <v>374</v>
      </c>
      <c r="O36" s="51" t="s">
        <v>246</v>
      </c>
      <c r="P36" s="51"/>
      <c r="Q36" s="51"/>
      <c r="R36" s="51"/>
      <c r="S36" s="51"/>
      <c r="T36" s="51"/>
      <c r="U36" s="51"/>
      <c r="V36" s="51" t="s">
        <v>200</v>
      </c>
      <c r="W36" s="51"/>
    </row>
    <row r="37" spans="1:23" ht="20.100000000000001" customHeight="1" x14ac:dyDescent="0.25">
      <c r="A37" s="78">
        <v>1046</v>
      </c>
      <c r="B37" s="78" t="s">
        <v>63</v>
      </c>
      <c r="C37" s="51" t="s">
        <v>152</v>
      </c>
      <c r="D37" s="51" t="s">
        <v>382</v>
      </c>
      <c r="E37" s="51">
        <v>1</v>
      </c>
      <c r="F37" s="51" t="s">
        <v>247</v>
      </c>
      <c r="G37" s="51" t="s">
        <v>371</v>
      </c>
      <c r="H37" s="51" t="s">
        <v>204</v>
      </c>
      <c r="I37" s="52">
        <v>46254</v>
      </c>
      <c r="J37" s="52">
        <v>46224</v>
      </c>
      <c r="K37" s="51" t="s">
        <v>56</v>
      </c>
      <c r="L37" s="51">
        <v>31</v>
      </c>
      <c r="M37" s="53" t="s">
        <v>451</v>
      </c>
      <c r="N37" s="53" t="s">
        <v>374</v>
      </c>
      <c r="O37" s="51"/>
      <c r="P37" s="51"/>
      <c r="Q37" s="51"/>
      <c r="R37" s="51"/>
      <c r="S37" s="51"/>
      <c r="T37" s="51"/>
      <c r="U37" s="51"/>
      <c r="V37" s="51" t="s">
        <v>76</v>
      </c>
      <c r="W37" s="51"/>
    </row>
    <row r="38" spans="1:23" ht="20.100000000000001" customHeight="1" x14ac:dyDescent="0.25">
      <c r="A38" s="78">
        <v>1046</v>
      </c>
      <c r="B38" s="78" t="s">
        <v>63</v>
      </c>
      <c r="C38" s="51" t="s">
        <v>152</v>
      </c>
      <c r="D38" s="51" t="s">
        <v>382</v>
      </c>
      <c r="E38" s="51">
        <v>1</v>
      </c>
      <c r="F38" s="51" t="s">
        <v>247</v>
      </c>
      <c r="G38" s="51" t="s">
        <v>371</v>
      </c>
      <c r="H38" s="51" t="s">
        <v>205</v>
      </c>
      <c r="I38" s="52">
        <v>46254</v>
      </c>
      <c r="J38" s="52">
        <v>46224</v>
      </c>
      <c r="K38" s="51" t="s">
        <v>56</v>
      </c>
      <c r="L38" s="51">
        <v>32</v>
      </c>
      <c r="M38" s="51" t="s">
        <v>451</v>
      </c>
      <c r="N38" s="51" t="s">
        <v>374</v>
      </c>
      <c r="O38" s="51"/>
      <c r="P38" s="51"/>
      <c r="Q38" s="51"/>
      <c r="R38" s="51"/>
      <c r="S38" s="51"/>
      <c r="T38" s="51"/>
      <c r="U38" s="51"/>
      <c r="V38" s="51" t="s">
        <v>202</v>
      </c>
      <c r="W38" s="51"/>
    </row>
    <row r="39" spans="1:23" ht="20.100000000000001" customHeight="1" x14ac:dyDescent="0.25">
      <c r="A39" s="78">
        <v>1046</v>
      </c>
      <c r="B39" s="78" t="s">
        <v>63</v>
      </c>
      <c r="C39" s="51" t="s">
        <v>152</v>
      </c>
      <c r="D39" s="51" t="s">
        <v>382</v>
      </c>
      <c r="E39" s="51">
        <v>1</v>
      </c>
      <c r="F39" s="51" t="s">
        <v>247</v>
      </c>
      <c r="G39" s="51" t="s">
        <v>373</v>
      </c>
      <c r="H39" s="51" t="s">
        <v>205</v>
      </c>
      <c r="I39" s="52">
        <v>46254</v>
      </c>
      <c r="J39" s="52">
        <v>46224</v>
      </c>
      <c r="K39" s="51" t="s">
        <v>56</v>
      </c>
      <c r="L39" s="51">
        <v>17</v>
      </c>
      <c r="M39" s="51" t="s">
        <v>474</v>
      </c>
      <c r="N39" s="51" t="s">
        <v>505</v>
      </c>
      <c r="O39" s="51" t="s">
        <v>476</v>
      </c>
      <c r="P39" s="51" t="s">
        <v>224</v>
      </c>
      <c r="Q39" s="51" t="s">
        <v>374</v>
      </c>
      <c r="R39" s="51"/>
      <c r="S39" s="51"/>
      <c r="T39" s="51"/>
      <c r="U39" s="51"/>
      <c r="V39" s="51" t="s">
        <v>202</v>
      </c>
      <c r="W39" s="51"/>
    </row>
    <row r="40" spans="1:23" ht="20.100000000000001" customHeight="1" x14ac:dyDescent="0.25">
      <c r="A40" s="78">
        <v>1046</v>
      </c>
      <c r="B40" s="78" t="s">
        <v>63</v>
      </c>
      <c r="C40" s="51" t="s">
        <v>152</v>
      </c>
      <c r="D40" s="51" t="s">
        <v>382</v>
      </c>
      <c r="E40" s="51">
        <v>1</v>
      </c>
      <c r="F40" s="51" t="s">
        <v>247</v>
      </c>
      <c r="G40" s="51" t="s">
        <v>450</v>
      </c>
      <c r="H40" s="51" t="s">
        <v>205</v>
      </c>
      <c r="I40" s="52">
        <v>46254</v>
      </c>
      <c r="J40" s="52">
        <v>46224</v>
      </c>
      <c r="K40" s="51" t="s">
        <v>56</v>
      </c>
      <c r="L40" s="51">
        <v>7</v>
      </c>
      <c r="M40" s="53" t="s">
        <v>451</v>
      </c>
      <c r="N40" s="53" t="s">
        <v>374</v>
      </c>
      <c r="O40" s="51"/>
      <c r="P40" s="51"/>
      <c r="Q40" s="51"/>
      <c r="R40" s="51"/>
      <c r="S40" s="51"/>
      <c r="T40" s="51"/>
      <c r="U40" s="51"/>
      <c r="V40" s="51" t="s">
        <v>76</v>
      </c>
      <c r="W40" s="51"/>
    </row>
    <row r="41" spans="1:23" ht="20.100000000000001" customHeight="1" x14ac:dyDescent="0.25">
      <c r="A41" s="78">
        <v>1046</v>
      </c>
      <c r="B41" s="78" t="s">
        <v>63</v>
      </c>
      <c r="C41" s="51" t="s">
        <v>152</v>
      </c>
      <c r="D41" s="51" t="s">
        <v>382</v>
      </c>
      <c r="E41" s="51">
        <v>1</v>
      </c>
      <c r="F41" s="51" t="s">
        <v>247</v>
      </c>
      <c r="G41" s="51" t="s">
        <v>371</v>
      </c>
      <c r="H41" s="51" t="s">
        <v>206</v>
      </c>
      <c r="I41" s="52">
        <v>46254</v>
      </c>
      <c r="J41" s="52">
        <v>46224</v>
      </c>
      <c r="K41" s="51" t="s">
        <v>56</v>
      </c>
      <c r="L41" s="51">
        <v>21</v>
      </c>
      <c r="M41" s="53" t="s">
        <v>451</v>
      </c>
      <c r="N41" s="53" t="s">
        <v>374</v>
      </c>
      <c r="O41" s="51"/>
      <c r="P41" s="51"/>
      <c r="Q41" s="51"/>
      <c r="R41" s="51"/>
      <c r="S41" s="51"/>
      <c r="T41" s="51"/>
      <c r="U41" s="51"/>
      <c r="V41" s="51" t="s">
        <v>76</v>
      </c>
      <c r="W41" s="51"/>
    </row>
    <row r="42" spans="1:23" ht="20.100000000000001" customHeight="1" x14ac:dyDescent="0.25">
      <c r="A42" s="78">
        <v>1046</v>
      </c>
      <c r="B42" s="78" t="s">
        <v>63</v>
      </c>
      <c r="C42" s="51" t="s">
        <v>152</v>
      </c>
      <c r="D42" s="51" t="s">
        <v>382</v>
      </c>
      <c r="E42" s="51">
        <v>1</v>
      </c>
      <c r="F42" s="51" t="s">
        <v>247</v>
      </c>
      <c r="G42" s="51" t="s">
        <v>450</v>
      </c>
      <c r="H42" s="51" t="s">
        <v>206</v>
      </c>
      <c r="I42" s="52">
        <v>46254</v>
      </c>
      <c r="J42" s="52">
        <v>46224</v>
      </c>
      <c r="K42" s="51" t="s">
        <v>56</v>
      </c>
      <c r="L42" s="51">
        <v>4</v>
      </c>
      <c r="M42" s="53" t="s">
        <v>451</v>
      </c>
      <c r="N42" s="53" t="s">
        <v>374</v>
      </c>
      <c r="O42" s="51"/>
      <c r="P42" s="51"/>
      <c r="Q42" s="51"/>
      <c r="R42" s="51"/>
      <c r="S42" s="51"/>
      <c r="T42" s="51"/>
      <c r="U42" s="51"/>
      <c r="V42" s="51" t="s">
        <v>76</v>
      </c>
      <c r="W42" s="51"/>
    </row>
    <row r="43" spans="1:23" ht="20.100000000000001" customHeight="1" x14ac:dyDescent="0.25">
      <c r="A43" s="78">
        <v>1046</v>
      </c>
      <c r="B43" s="78" t="s">
        <v>63</v>
      </c>
      <c r="C43" s="51" t="s">
        <v>152</v>
      </c>
      <c r="D43" s="51" t="s">
        <v>382</v>
      </c>
      <c r="E43" s="51">
        <v>1</v>
      </c>
      <c r="F43" s="51" t="s">
        <v>247</v>
      </c>
      <c r="G43" s="51" t="s">
        <v>371</v>
      </c>
      <c r="H43" s="51" t="s">
        <v>207</v>
      </c>
      <c r="I43" s="52">
        <v>46254</v>
      </c>
      <c r="J43" s="52">
        <v>46224</v>
      </c>
      <c r="K43" s="51" t="s">
        <v>56</v>
      </c>
      <c r="L43" s="51">
        <v>5</v>
      </c>
      <c r="M43" s="53" t="s">
        <v>451</v>
      </c>
      <c r="N43" s="53" t="s">
        <v>374</v>
      </c>
      <c r="O43" s="51"/>
      <c r="P43" s="51"/>
      <c r="Q43" s="51"/>
      <c r="R43" s="51"/>
      <c r="S43" s="51"/>
      <c r="T43" s="51"/>
      <c r="U43" s="51"/>
      <c r="V43" s="51" t="s">
        <v>76</v>
      </c>
      <c r="W43" s="51"/>
    </row>
    <row r="44" spans="1:23" ht="20.100000000000001" customHeight="1" x14ac:dyDescent="0.25">
      <c r="A44" s="78">
        <v>1046</v>
      </c>
      <c r="B44" s="78" t="s">
        <v>63</v>
      </c>
      <c r="C44" s="51" t="s">
        <v>152</v>
      </c>
      <c r="D44" s="51" t="s">
        <v>382</v>
      </c>
      <c r="E44" s="51">
        <v>1</v>
      </c>
      <c r="F44" s="51" t="s">
        <v>247</v>
      </c>
      <c r="G44" s="51" t="s">
        <v>373</v>
      </c>
      <c r="H44" s="51" t="s">
        <v>207</v>
      </c>
      <c r="I44" s="52">
        <v>46254</v>
      </c>
      <c r="J44" s="52">
        <v>46224</v>
      </c>
      <c r="K44" s="51" t="s">
        <v>56</v>
      </c>
      <c r="L44" s="51">
        <v>33</v>
      </c>
      <c r="M44" s="51" t="s">
        <v>474</v>
      </c>
      <c r="N44" s="51" t="s">
        <v>224</v>
      </c>
      <c r="O44" s="51" t="s">
        <v>374</v>
      </c>
      <c r="P44" s="51"/>
      <c r="Q44" s="51"/>
      <c r="R44" s="51"/>
      <c r="S44" s="51"/>
      <c r="T44" s="51"/>
      <c r="U44" s="51"/>
      <c r="V44" s="51" t="s">
        <v>202</v>
      </c>
      <c r="W44" s="51"/>
    </row>
    <row r="45" spans="1:23" ht="20.100000000000001" customHeight="1" x14ac:dyDescent="0.25">
      <c r="A45" s="78">
        <v>1046</v>
      </c>
      <c r="B45" s="78" t="s">
        <v>63</v>
      </c>
      <c r="C45" s="51" t="s">
        <v>152</v>
      </c>
      <c r="D45" s="51" t="s">
        <v>382</v>
      </c>
      <c r="E45" s="51">
        <v>1</v>
      </c>
      <c r="F45" s="51" t="s">
        <v>247</v>
      </c>
      <c r="G45" s="51" t="s">
        <v>371</v>
      </c>
      <c r="H45" s="51" t="s">
        <v>208</v>
      </c>
      <c r="I45" s="52">
        <v>46254</v>
      </c>
      <c r="J45" s="52">
        <v>46224</v>
      </c>
      <c r="K45" s="51" t="s">
        <v>56</v>
      </c>
      <c r="L45" s="51">
        <v>13</v>
      </c>
      <c r="M45" s="53" t="s">
        <v>451</v>
      </c>
      <c r="N45" s="53" t="s">
        <v>374</v>
      </c>
      <c r="O45" s="51"/>
      <c r="P45" s="51"/>
      <c r="Q45" s="51"/>
      <c r="R45" s="51"/>
      <c r="S45" s="51"/>
      <c r="T45" s="51"/>
      <c r="U45" s="51"/>
      <c r="V45" s="51" t="s">
        <v>76</v>
      </c>
      <c r="W45" s="51"/>
    </row>
    <row r="46" spans="1:23" ht="20.100000000000001" customHeight="1" x14ac:dyDescent="0.25">
      <c r="A46" s="78">
        <v>1046</v>
      </c>
      <c r="B46" s="78" t="s">
        <v>63</v>
      </c>
      <c r="C46" s="51" t="s">
        <v>152</v>
      </c>
      <c r="D46" s="51" t="s">
        <v>382</v>
      </c>
      <c r="E46" s="51">
        <v>1</v>
      </c>
      <c r="F46" s="51" t="s">
        <v>247</v>
      </c>
      <c r="G46" s="51" t="s">
        <v>373</v>
      </c>
      <c r="H46" s="51" t="s">
        <v>208</v>
      </c>
      <c r="I46" s="52">
        <v>46254</v>
      </c>
      <c r="J46" s="52">
        <v>46224</v>
      </c>
      <c r="K46" s="51" t="s">
        <v>56</v>
      </c>
      <c r="L46" s="51">
        <v>30</v>
      </c>
      <c r="M46" s="53" t="s">
        <v>451</v>
      </c>
      <c r="N46" s="53" t="s">
        <v>374</v>
      </c>
      <c r="O46" s="51"/>
      <c r="P46" s="51"/>
      <c r="Q46" s="51"/>
      <c r="R46" s="51"/>
      <c r="S46" s="51"/>
      <c r="T46" s="51"/>
      <c r="U46" s="51"/>
      <c r="V46" s="51" t="s">
        <v>76</v>
      </c>
      <c r="W46" s="51"/>
    </row>
    <row r="47" spans="1:23" ht="20.100000000000001" customHeight="1" x14ac:dyDescent="0.25">
      <c r="A47" s="78">
        <v>1046</v>
      </c>
      <c r="B47" s="78" t="s">
        <v>63</v>
      </c>
      <c r="C47" s="51" t="s">
        <v>152</v>
      </c>
      <c r="D47" s="51" t="s">
        <v>382</v>
      </c>
      <c r="E47" s="51">
        <v>1</v>
      </c>
      <c r="F47" s="51" t="s">
        <v>247</v>
      </c>
      <c r="G47" s="51" t="s">
        <v>450</v>
      </c>
      <c r="H47" s="51" t="s">
        <v>208</v>
      </c>
      <c r="I47" s="52">
        <v>46254</v>
      </c>
      <c r="J47" s="52">
        <v>46224</v>
      </c>
      <c r="K47" s="51" t="s">
        <v>56</v>
      </c>
      <c r="L47" s="51">
        <v>23</v>
      </c>
      <c r="M47" s="53" t="s">
        <v>451</v>
      </c>
      <c r="N47" s="53" t="s">
        <v>374</v>
      </c>
      <c r="O47" s="51"/>
      <c r="P47" s="51"/>
      <c r="Q47" s="51"/>
      <c r="R47" s="51"/>
      <c r="S47" s="51"/>
      <c r="T47" s="51"/>
      <c r="U47" s="51"/>
      <c r="V47" s="51" t="s">
        <v>326</v>
      </c>
      <c r="W47" s="51"/>
    </row>
    <row r="48" spans="1:23" ht="20.100000000000001" customHeight="1" x14ac:dyDescent="0.25">
      <c r="A48" s="78">
        <v>1046</v>
      </c>
      <c r="B48" s="78" t="s">
        <v>63</v>
      </c>
      <c r="C48" s="51" t="s">
        <v>152</v>
      </c>
      <c r="D48" s="51" t="s">
        <v>382</v>
      </c>
      <c r="E48" s="51">
        <v>1</v>
      </c>
      <c r="F48" s="51" t="s">
        <v>247</v>
      </c>
      <c r="G48" s="54" t="s">
        <v>373</v>
      </c>
      <c r="H48" s="51" t="s">
        <v>206</v>
      </c>
      <c r="I48" s="52">
        <v>46254</v>
      </c>
      <c r="J48" s="52">
        <v>46224</v>
      </c>
      <c r="K48" s="51" t="s">
        <v>56</v>
      </c>
      <c r="L48" s="51">
        <v>27</v>
      </c>
      <c r="M48" s="51" t="s">
        <v>451</v>
      </c>
      <c r="N48" s="51" t="s">
        <v>505</v>
      </c>
      <c r="O48" s="51" t="s">
        <v>476</v>
      </c>
      <c r="P48" s="51" t="s">
        <v>506</v>
      </c>
      <c r="Q48" s="51" t="s">
        <v>477</v>
      </c>
      <c r="R48" s="51" t="s">
        <v>374</v>
      </c>
      <c r="S48" s="51"/>
      <c r="T48" s="51"/>
      <c r="U48" s="51"/>
      <c r="V48" s="51" t="s">
        <v>202</v>
      </c>
      <c r="W48" s="51"/>
    </row>
    <row r="49" spans="1:23" ht="20.100000000000001" customHeight="1" x14ac:dyDescent="0.25">
      <c r="A49" s="78">
        <v>1046</v>
      </c>
      <c r="B49" s="78" t="s">
        <v>63</v>
      </c>
      <c r="C49" s="51" t="s">
        <v>152</v>
      </c>
      <c r="D49" s="51" t="s">
        <v>382</v>
      </c>
      <c r="E49" s="51">
        <v>1</v>
      </c>
      <c r="F49" s="51" t="s">
        <v>247</v>
      </c>
      <c r="G49" s="54" t="s">
        <v>479</v>
      </c>
      <c r="H49" s="51" t="s">
        <v>208</v>
      </c>
      <c r="I49" s="52">
        <v>46254</v>
      </c>
      <c r="J49" s="52">
        <v>46224</v>
      </c>
      <c r="K49" s="51" t="s">
        <v>56</v>
      </c>
      <c r="L49" s="51">
        <v>8</v>
      </c>
      <c r="M49" s="51" t="s">
        <v>451</v>
      </c>
      <c r="N49" s="51" t="s">
        <v>374</v>
      </c>
      <c r="O49" s="51"/>
      <c r="P49" s="51"/>
      <c r="Q49" s="51"/>
      <c r="R49" s="51"/>
      <c r="S49" s="51"/>
      <c r="T49" s="51"/>
      <c r="U49" s="51"/>
      <c r="V49" s="51" t="s">
        <v>202</v>
      </c>
      <c r="W49" s="51"/>
    </row>
    <row r="50" spans="1:23" ht="20.100000000000001" customHeight="1" x14ac:dyDescent="0.25">
      <c r="A50" s="78">
        <v>1046</v>
      </c>
      <c r="B50" s="78" t="s">
        <v>63</v>
      </c>
      <c r="C50" s="51" t="s">
        <v>152</v>
      </c>
      <c r="D50" s="51" t="s">
        <v>382</v>
      </c>
      <c r="E50" s="51">
        <v>1</v>
      </c>
      <c r="F50" s="51" t="s">
        <v>247</v>
      </c>
      <c r="G50" s="54" t="s">
        <v>479</v>
      </c>
      <c r="H50" s="51" t="s">
        <v>204</v>
      </c>
      <c r="I50" s="52">
        <v>46254</v>
      </c>
      <c r="J50" s="52">
        <v>46224</v>
      </c>
      <c r="K50" s="51" t="s">
        <v>56</v>
      </c>
      <c r="L50" s="51">
        <v>26</v>
      </c>
      <c r="M50" s="51" t="s">
        <v>451</v>
      </c>
      <c r="N50" s="51" t="s">
        <v>374</v>
      </c>
      <c r="O50" s="51"/>
      <c r="P50" s="51"/>
      <c r="Q50" s="51"/>
      <c r="R50" s="51"/>
      <c r="S50" s="51"/>
      <c r="T50" s="51"/>
      <c r="U50" s="51"/>
      <c r="V50" s="51" t="s">
        <v>202</v>
      </c>
      <c r="W50" s="51"/>
    </row>
    <row r="51" spans="1:23" ht="20.100000000000001" hidden="1" customHeight="1" x14ac:dyDescent="0.25">
      <c r="A51" s="78">
        <v>2080</v>
      </c>
      <c r="B51" s="78" t="s">
        <v>63</v>
      </c>
      <c r="C51" s="51" t="s">
        <v>270</v>
      </c>
      <c r="D51" s="51" t="s">
        <v>382</v>
      </c>
      <c r="E51" s="51">
        <v>1</v>
      </c>
      <c r="F51" s="51" t="s">
        <v>268</v>
      </c>
      <c r="G51" s="54" t="s">
        <v>63</v>
      </c>
      <c r="H51" s="51" t="s">
        <v>63</v>
      </c>
      <c r="I51" s="52">
        <v>46188</v>
      </c>
      <c r="J51" s="52" t="s">
        <v>56</v>
      </c>
      <c r="K51" s="51" t="s">
        <v>56</v>
      </c>
      <c r="L51" s="51">
        <v>33</v>
      </c>
      <c r="M51" s="53" t="s">
        <v>451</v>
      </c>
      <c r="N51" s="53" t="s">
        <v>374</v>
      </c>
      <c r="O51" s="51"/>
      <c r="P51" s="51"/>
      <c r="Q51" s="51"/>
      <c r="R51" s="51"/>
      <c r="S51" s="51"/>
      <c r="T51" s="51"/>
      <c r="U51" s="51"/>
      <c r="V51" s="51" t="s">
        <v>76</v>
      </c>
      <c r="W51" s="51"/>
    </row>
    <row r="52" spans="1:23" ht="20.100000000000001" hidden="1" customHeight="1" x14ac:dyDescent="0.25">
      <c r="A52" s="78">
        <v>2080</v>
      </c>
      <c r="B52" s="78" t="s">
        <v>63</v>
      </c>
      <c r="C52" s="51" t="s">
        <v>270</v>
      </c>
      <c r="D52" s="51" t="s">
        <v>382</v>
      </c>
      <c r="E52" s="51">
        <v>1</v>
      </c>
      <c r="F52" s="51" t="s">
        <v>268</v>
      </c>
      <c r="G52" s="54" t="s">
        <v>63</v>
      </c>
      <c r="H52" s="51" t="s">
        <v>63</v>
      </c>
      <c r="I52" s="52">
        <v>46188</v>
      </c>
      <c r="J52" s="52" t="s">
        <v>56</v>
      </c>
      <c r="K52" s="51" t="s">
        <v>56</v>
      </c>
      <c r="L52" s="51">
        <v>44</v>
      </c>
      <c r="M52" s="53" t="s">
        <v>451</v>
      </c>
      <c r="N52" s="53" t="s">
        <v>374</v>
      </c>
      <c r="O52" s="51"/>
      <c r="P52" s="51"/>
      <c r="Q52" s="51"/>
      <c r="R52" s="51"/>
      <c r="S52" s="51"/>
      <c r="T52" s="51"/>
      <c r="U52" s="51"/>
      <c r="V52" s="51" t="s">
        <v>76</v>
      </c>
      <c r="W52" s="51"/>
    </row>
    <row r="53" spans="1:23" ht="20.100000000000001" hidden="1" customHeight="1" x14ac:dyDescent="0.25">
      <c r="A53" s="78">
        <v>2078</v>
      </c>
      <c r="B53" s="78" t="s">
        <v>63</v>
      </c>
      <c r="C53" s="51" t="s">
        <v>258</v>
      </c>
      <c r="D53" s="51" t="s">
        <v>382</v>
      </c>
      <c r="E53" s="51">
        <v>1</v>
      </c>
      <c r="F53" s="51" t="s">
        <v>260</v>
      </c>
      <c r="G53" s="54" t="s">
        <v>63</v>
      </c>
      <c r="H53" s="51" t="s">
        <v>63</v>
      </c>
      <c r="I53" s="52">
        <v>46193</v>
      </c>
      <c r="J53" s="52" t="s">
        <v>56</v>
      </c>
      <c r="K53" s="51" t="s">
        <v>56</v>
      </c>
      <c r="L53" s="54">
        <v>123</v>
      </c>
      <c r="M53" s="53" t="s">
        <v>451</v>
      </c>
      <c r="N53" s="53" t="s">
        <v>374</v>
      </c>
      <c r="O53" s="51"/>
      <c r="P53" s="51"/>
      <c r="Q53" s="51"/>
      <c r="R53" s="51"/>
      <c r="S53" s="51"/>
      <c r="T53" s="51"/>
      <c r="U53" s="51"/>
      <c r="V53" s="51" t="s">
        <v>326</v>
      </c>
      <c r="W53" s="51"/>
    </row>
    <row r="54" spans="1:23" ht="20.100000000000001" hidden="1" customHeight="1" x14ac:dyDescent="0.25">
      <c r="A54" s="78">
        <v>2078</v>
      </c>
      <c r="B54" s="78" t="s">
        <v>63</v>
      </c>
      <c r="C54" s="51" t="s">
        <v>258</v>
      </c>
      <c r="D54" s="51" t="s">
        <v>382</v>
      </c>
      <c r="E54" s="51">
        <v>1</v>
      </c>
      <c r="F54" s="51" t="s">
        <v>260</v>
      </c>
      <c r="G54" s="54" t="s">
        <v>63</v>
      </c>
      <c r="H54" s="51" t="s">
        <v>63</v>
      </c>
      <c r="I54" s="52">
        <v>46193</v>
      </c>
      <c r="J54" s="52" t="s">
        <v>56</v>
      </c>
      <c r="K54" s="51" t="s">
        <v>56</v>
      </c>
      <c r="L54" s="54">
        <v>6734</v>
      </c>
      <c r="M54" s="53" t="s">
        <v>451</v>
      </c>
      <c r="N54" s="53" t="s">
        <v>374</v>
      </c>
      <c r="O54" s="51"/>
      <c r="P54" s="51"/>
      <c r="Q54" s="51"/>
      <c r="R54" s="51"/>
      <c r="S54" s="51"/>
      <c r="T54" s="51"/>
      <c r="U54" s="51"/>
      <c r="V54" s="51" t="s">
        <v>326</v>
      </c>
      <c r="W54" s="51"/>
    </row>
    <row r="55" spans="1:23" ht="20.100000000000001" hidden="1" customHeight="1" x14ac:dyDescent="0.25">
      <c r="A55" s="78">
        <v>2078</v>
      </c>
      <c r="B55" s="78" t="s">
        <v>63</v>
      </c>
      <c r="C55" s="51" t="s">
        <v>258</v>
      </c>
      <c r="D55" s="51" t="s">
        <v>382</v>
      </c>
      <c r="E55" s="51">
        <v>1</v>
      </c>
      <c r="F55" s="51" t="s">
        <v>260</v>
      </c>
      <c r="G55" s="54" t="s">
        <v>63</v>
      </c>
      <c r="H55" s="51" t="s">
        <v>63</v>
      </c>
      <c r="I55" s="52">
        <v>46193</v>
      </c>
      <c r="J55" s="52" t="s">
        <v>56</v>
      </c>
      <c r="K55" s="51" t="s">
        <v>56</v>
      </c>
      <c r="L55" s="54">
        <v>173</v>
      </c>
      <c r="M55" s="53" t="s">
        <v>451</v>
      </c>
      <c r="N55" s="53" t="s">
        <v>374</v>
      </c>
      <c r="O55" s="51"/>
      <c r="P55" s="51"/>
      <c r="Q55" s="51"/>
      <c r="R55" s="51"/>
      <c r="S55" s="51"/>
      <c r="T55" s="51"/>
      <c r="U55" s="51"/>
      <c r="V55" s="51" t="s">
        <v>326</v>
      </c>
      <c r="W55" s="51"/>
    </row>
    <row r="56" spans="1:23" ht="20.100000000000001" hidden="1" customHeight="1" x14ac:dyDescent="0.25">
      <c r="A56" s="78">
        <v>2078</v>
      </c>
      <c r="B56" s="78" t="s">
        <v>63</v>
      </c>
      <c r="C56" s="51" t="s">
        <v>258</v>
      </c>
      <c r="D56" s="51" t="s">
        <v>382</v>
      </c>
      <c r="E56" s="51">
        <v>1</v>
      </c>
      <c r="F56" s="51" t="s">
        <v>260</v>
      </c>
      <c r="G56" s="54" t="s">
        <v>63</v>
      </c>
      <c r="H56" s="51" t="s">
        <v>63</v>
      </c>
      <c r="I56" s="52">
        <v>46193</v>
      </c>
      <c r="J56" s="52" t="s">
        <v>56</v>
      </c>
      <c r="K56" s="51" t="s">
        <v>56</v>
      </c>
      <c r="L56" s="54">
        <v>181</v>
      </c>
      <c r="M56" s="53" t="s">
        <v>451</v>
      </c>
      <c r="N56" s="53" t="s">
        <v>374</v>
      </c>
      <c r="O56" s="51"/>
      <c r="P56" s="51"/>
      <c r="Q56" s="51"/>
      <c r="R56" s="51"/>
      <c r="S56" s="51"/>
      <c r="T56" s="51"/>
      <c r="U56" s="51"/>
      <c r="V56" s="51" t="s">
        <v>326</v>
      </c>
      <c r="W56" s="51"/>
    </row>
    <row r="57" spans="1:23" ht="20.100000000000001" hidden="1" customHeight="1" x14ac:dyDescent="0.25">
      <c r="A57" s="78">
        <v>2078</v>
      </c>
      <c r="B57" s="78" t="s">
        <v>63</v>
      </c>
      <c r="C57" s="51" t="s">
        <v>258</v>
      </c>
      <c r="D57" s="51" t="s">
        <v>382</v>
      </c>
      <c r="E57" s="51">
        <v>1</v>
      </c>
      <c r="F57" s="51" t="s">
        <v>260</v>
      </c>
      <c r="G57" s="54" t="s">
        <v>63</v>
      </c>
      <c r="H57" s="51" t="s">
        <v>63</v>
      </c>
      <c r="I57" s="52">
        <v>46193</v>
      </c>
      <c r="J57" s="52" t="s">
        <v>56</v>
      </c>
      <c r="K57" s="51" t="s">
        <v>56</v>
      </c>
      <c r="L57" s="54">
        <v>187</v>
      </c>
      <c r="M57" s="53" t="s">
        <v>451</v>
      </c>
      <c r="N57" s="53" t="s">
        <v>374</v>
      </c>
      <c r="O57" s="51"/>
      <c r="P57" s="51"/>
      <c r="Q57" s="51"/>
      <c r="R57" s="51"/>
      <c r="S57" s="51"/>
      <c r="T57" s="51"/>
      <c r="U57" s="51"/>
      <c r="V57" s="51" t="s">
        <v>76</v>
      </c>
      <c r="W57" s="51"/>
    </row>
    <row r="58" spans="1:23" ht="20.100000000000001" hidden="1" customHeight="1" x14ac:dyDescent="0.25">
      <c r="A58" s="78">
        <v>2078</v>
      </c>
      <c r="B58" s="78" t="s">
        <v>63</v>
      </c>
      <c r="C58" s="51" t="s">
        <v>258</v>
      </c>
      <c r="D58" s="51" t="s">
        <v>382</v>
      </c>
      <c r="E58" s="51">
        <v>1</v>
      </c>
      <c r="F58" s="51" t="s">
        <v>260</v>
      </c>
      <c r="G58" s="54" t="s">
        <v>63</v>
      </c>
      <c r="H58" s="51" t="s">
        <v>63</v>
      </c>
      <c r="I58" s="52">
        <v>46193</v>
      </c>
      <c r="J58" s="52" t="s">
        <v>56</v>
      </c>
      <c r="K58" s="51" t="s">
        <v>56</v>
      </c>
      <c r="L58" s="54">
        <v>199</v>
      </c>
      <c r="M58" s="53" t="s">
        <v>451</v>
      </c>
      <c r="N58" s="53" t="s">
        <v>374</v>
      </c>
      <c r="O58" s="51"/>
      <c r="P58" s="51"/>
      <c r="Q58" s="51"/>
      <c r="R58" s="51"/>
      <c r="S58" s="51"/>
      <c r="T58" s="51"/>
      <c r="U58" s="51"/>
      <c r="V58" s="51" t="s">
        <v>76</v>
      </c>
      <c r="W58" s="51"/>
    </row>
    <row r="59" spans="1:23" ht="20.100000000000001" hidden="1" customHeight="1" x14ac:dyDescent="0.25">
      <c r="A59" s="78">
        <v>2078</v>
      </c>
      <c r="B59" s="78" t="s">
        <v>63</v>
      </c>
      <c r="C59" s="51" t="s">
        <v>258</v>
      </c>
      <c r="D59" s="51" t="s">
        <v>382</v>
      </c>
      <c r="E59" s="51">
        <v>1</v>
      </c>
      <c r="F59" s="51" t="s">
        <v>260</v>
      </c>
      <c r="G59" s="54" t="s">
        <v>63</v>
      </c>
      <c r="H59" s="51" t="s">
        <v>63</v>
      </c>
      <c r="I59" s="52">
        <v>46193</v>
      </c>
      <c r="J59" s="52" t="s">
        <v>56</v>
      </c>
      <c r="K59" s="51" t="s">
        <v>56</v>
      </c>
      <c r="L59" s="54">
        <v>200</v>
      </c>
      <c r="M59" s="53" t="s">
        <v>451</v>
      </c>
      <c r="N59" s="53" t="s">
        <v>374</v>
      </c>
      <c r="O59" s="51"/>
      <c r="P59" s="51"/>
      <c r="Q59" s="51"/>
      <c r="R59" s="51"/>
      <c r="S59" s="51"/>
      <c r="T59" s="51"/>
      <c r="U59" s="51"/>
      <c r="V59" s="51" t="s">
        <v>326</v>
      </c>
      <c r="W59" s="51"/>
    </row>
    <row r="60" spans="1:23" ht="20.100000000000001" hidden="1" customHeight="1" x14ac:dyDescent="0.25">
      <c r="A60" s="78">
        <v>2078</v>
      </c>
      <c r="B60" s="78" t="s">
        <v>63</v>
      </c>
      <c r="C60" s="51" t="s">
        <v>258</v>
      </c>
      <c r="D60" s="51" t="s">
        <v>382</v>
      </c>
      <c r="E60" s="51">
        <v>1</v>
      </c>
      <c r="F60" s="51" t="s">
        <v>260</v>
      </c>
      <c r="G60" s="54" t="s">
        <v>63</v>
      </c>
      <c r="H60" s="51" t="s">
        <v>63</v>
      </c>
      <c r="I60" s="52">
        <v>46193</v>
      </c>
      <c r="J60" s="52" t="s">
        <v>56</v>
      </c>
      <c r="K60" s="51" t="s">
        <v>56</v>
      </c>
      <c r="L60" s="54">
        <v>201</v>
      </c>
      <c r="M60" s="53" t="s">
        <v>451</v>
      </c>
      <c r="N60" s="53" t="s">
        <v>374</v>
      </c>
      <c r="O60" s="51"/>
      <c r="P60" s="51"/>
      <c r="Q60" s="51"/>
      <c r="R60" s="51"/>
      <c r="S60" s="51"/>
      <c r="T60" s="51"/>
      <c r="U60" s="51"/>
      <c r="V60" s="51" t="s">
        <v>326</v>
      </c>
      <c r="W60" s="51"/>
    </row>
    <row r="61" spans="1:23" ht="20.100000000000001" hidden="1" customHeight="1" x14ac:dyDescent="0.25">
      <c r="A61" s="78">
        <v>2078</v>
      </c>
      <c r="B61" s="78" t="s">
        <v>63</v>
      </c>
      <c r="C61" s="51" t="s">
        <v>258</v>
      </c>
      <c r="D61" s="51" t="s">
        <v>382</v>
      </c>
      <c r="E61" s="51">
        <v>1</v>
      </c>
      <c r="F61" s="51" t="s">
        <v>260</v>
      </c>
      <c r="G61" s="54" t="s">
        <v>63</v>
      </c>
      <c r="H61" s="51" t="s">
        <v>63</v>
      </c>
      <c r="I61" s="52">
        <v>46193</v>
      </c>
      <c r="J61" s="52" t="s">
        <v>56</v>
      </c>
      <c r="K61" s="51" t="s">
        <v>56</v>
      </c>
      <c r="L61" s="54" t="s">
        <v>452</v>
      </c>
      <c r="M61" s="53" t="s">
        <v>451</v>
      </c>
      <c r="N61" s="53" t="s">
        <v>374</v>
      </c>
      <c r="O61" s="51"/>
      <c r="P61" s="51"/>
      <c r="Q61" s="51"/>
      <c r="R61" s="51"/>
      <c r="S61" s="51"/>
      <c r="T61" s="51"/>
      <c r="U61" s="51"/>
      <c r="V61" s="51" t="s">
        <v>326</v>
      </c>
      <c r="W61" s="51"/>
    </row>
    <row r="62" spans="1:23" ht="20.100000000000001" hidden="1" customHeight="1" x14ac:dyDescent="0.25">
      <c r="A62" s="78">
        <v>2078</v>
      </c>
      <c r="B62" s="78" t="s">
        <v>63</v>
      </c>
      <c r="C62" s="51" t="s">
        <v>258</v>
      </c>
      <c r="D62" s="51" t="s">
        <v>382</v>
      </c>
      <c r="E62" s="51">
        <v>1</v>
      </c>
      <c r="F62" s="51" t="s">
        <v>260</v>
      </c>
      <c r="G62" s="54" t="s">
        <v>63</v>
      </c>
      <c r="H62" s="51" t="s">
        <v>63</v>
      </c>
      <c r="I62" s="52">
        <v>46193</v>
      </c>
      <c r="J62" s="52" t="s">
        <v>56</v>
      </c>
      <c r="K62" s="51" t="s">
        <v>56</v>
      </c>
      <c r="L62" s="54" t="s">
        <v>453</v>
      </c>
      <c r="M62" s="53" t="s">
        <v>451</v>
      </c>
      <c r="N62" s="53" t="s">
        <v>374</v>
      </c>
      <c r="O62" s="51"/>
      <c r="P62" s="51"/>
      <c r="Q62" s="51"/>
      <c r="R62" s="51"/>
      <c r="S62" s="51"/>
      <c r="T62" s="51"/>
      <c r="U62" s="51"/>
      <c r="V62" s="51" t="s">
        <v>326</v>
      </c>
      <c r="W62" s="51"/>
    </row>
    <row r="63" spans="1:23" ht="20.100000000000001" hidden="1" customHeight="1" x14ac:dyDescent="0.25">
      <c r="A63" s="78">
        <v>2078</v>
      </c>
      <c r="B63" s="78" t="s">
        <v>63</v>
      </c>
      <c r="C63" s="51" t="s">
        <v>258</v>
      </c>
      <c r="D63" s="51" t="s">
        <v>382</v>
      </c>
      <c r="E63" s="51">
        <v>1</v>
      </c>
      <c r="F63" s="51" t="s">
        <v>260</v>
      </c>
      <c r="G63" s="54" t="s">
        <v>63</v>
      </c>
      <c r="H63" s="51" t="s">
        <v>63</v>
      </c>
      <c r="I63" s="52">
        <v>46193</v>
      </c>
      <c r="J63" s="52" t="s">
        <v>56</v>
      </c>
      <c r="K63" s="51" t="s">
        <v>56</v>
      </c>
      <c r="L63" s="54" t="s">
        <v>454</v>
      </c>
      <c r="M63" s="53" t="s">
        <v>451</v>
      </c>
      <c r="N63" s="53" t="s">
        <v>374</v>
      </c>
      <c r="O63" s="51"/>
      <c r="P63" s="51"/>
      <c r="Q63" s="51"/>
      <c r="R63" s="51"/>
      <c r="S63" s="51"/>
      <c r="T63" s="51"/>
      <c r="U63" s="51"/>
      <c r="V63" s="51" t="s">
        <v>256</v>
      </c>
      <c r="W63" s="51"/>
    </row>
    <row r="64" spans="1:23" ht="20.100000000000001" hidden="1" customHeight="1" x14ac:dyDescent="0.25">
      <c r="A64" s="78">
        <v>2077</v>
      </c>
      <c r="B64" s="78" t="s">
        <v>63</v>
      </c>
      <c r="C64" s="51" t="s">
        <v>255</v>
      </c>
      <c r="D64" s="51" t="s">
        <v>382</v>
      </c>
      <c r="E64" s="51">
        <v>1</v>
      </c>
      <c r="F64" s="54" t="s">
        <v>201</v>
      </c>
      <c r="G64" s="54" t="s">
        <v>63</v>
      </c>
      <c r="H64" s="51" t="s">
        <v>63</v>
      </c>
      <c r="I64" s="52">
        <v>46193</v>
      </c>
      <c r="J64" s="52" t="s">
        <v>56</v>
      </c>
      <c r="K64" s="51" t="s">
        <v>56</v>
      </c>
      <c r="L64" s="54">
        <v>6032</v>
      </c>
      <c r="M64" s="53" t="s">
        <v>451</v>
      </c>
      <c r="N64" s="53" t="s">
        <v>374</v>
      </c>
      <c r="O64" s="51"/>
      <c r="P64" s="51"/>
      <c r="Q64" s="51"/>
      <c r="R64" s="51"/>
      <c r="S64" s="51"/>
      <c r="T64" s="51"/>
      <c r="U64" s="51"/>
      <c r="V64" s="51" t="s">
        <v>326</v>
      </c>
      <c r="W64" s="51"/>
    </row>
    <row r="65" spans="1:23" ht="20.100000000000001" hidden="1" customHeight="1" x14ac:dyDescent="0.25">
      <c r="A65" s="78">
        <v>2077</v>
      </c>
      <c r="B65" s="78" t="s">
        <v>63</v>
      </c>
      <c r="C65" s="51" t="s">
        <v>255</v>
      </c>
      <c r="D65" s="51" t="s">
        <v>382</v>
      </c>
      <c r="E65" s="51">
        <v>1</v>
      </c>
      <c r="F65" s="54" t="s">
        <v>201</v>
      </c>
      <c r="G65" s="54" t="s">
        <v>63</v>
      </c>
      <c r="H65" s="51" t="s">
        <v>63</v>
      </c>
      <c r="I65" s="52">
        <v>46193</v>
      </c>
      <c r="J65" s="52" t="s">
        <v>56</v>
      </c>
      <c r="K65" s="51" t="s">
        <v>56</v>
      </c>
      <c r="L65" s="54">
        <v>6040</v>
      </c>
      <c r="M65" s="53" t="s">
        <v>451</v>
      </c>
      <c r="N65" s="53" t="s">
        <v>374</v>
      </c>
      <c r="O65" s="51"/>
      <c r="P65" s="51"/>
      <c r="Q65" s="51"/>
      <c r="R65" s="51"/>
      <c r="S65" s="51"/>
      <c r="T65" s="51"/>
      <c r="U65" s="51"/>
      <c r="V65" s="51" t="s">
        <v>76</v>
      </c>
      <c r="W65" s="51"/>
    </row>
    <row r="66" spans="1:23" ht="20.100000000000001" hidden="1" customHeight="1" x14ac:dyDescent="0.25">
      <c r="A66" s="78">
        <v>1386</v>
      </c>
      <c r="B66" s="78" t="s">
        <v>63</v>
      </c>
      <c r="C66" s="51" t="s">
        <v>255</v>
      </c>
      <c r="D66" s="51" t="s">
        <v>382</v>
      </c>
      <c r="E66" s="51">
        <v>1</v>
      </c>
      <c r="F66" s="54" t="s">
        <v>201</v>
      </c>
      <c r="G66" s="54" t="s">
        <v>63</v>
      </c>
      <c r="H66" s="51" t="s">
        <v>63</v>
      </c>
      <c r="I66" s="52">
        <v>46388</v>
      </c>
      <c r="J66" s="52" t="s">
        <v>56</v>
      </c>
      <c r="K66" s="51" t="s">
        <v>56</v>
      </c>
      <c r="L66" s="54">
        <v>6075</v>
      </c>
      <c r="M66" s="51" t="s">
        <v>369</v>
      </c>
      <c r="N66" s="51" t="s">
        <v>374</v>
      </c>
      <c r="O66" s="51" t="s">
        <v>246</v>
      </c>
      <c r="P66" s="51"/>
      <c r="Q66" s="51"/>
      <c r="R66" s="51"/>
      <c r="S66" s="51"/>
      <c r="T66" s="51"/>
      <c r="U66" s="51"/>
      <c r="V66" s="51" t="s">
        <v>200</v>
      </c>
      <c r="W66" s="51" t="s">
        <v>370</v>
      </c>
    </row>
    <row r="67" spans="1:23" ht="20.100000000000001" hidden="1" customHeight="1" x14ac:dyDescent="0.25">
      <c r="A67" s="78">
        <v>1006</v>
      </c>
      <c r="B67" s="78" t="s">
        <v>63</v>
      </c>
      <c r="C67" s="51" t="s">
        <v>266</v>
      </c>
      <c r="D67" s="51" t="s">
        <v>382</v>
      </c>
      <c r="E67" s="51">
        <v>1</v>
      </c>
      <c r="F67" s="51" t="s">
        <v>267</v>
      </c>
      <c r="G67" s="54" t="s">
        <v>63</v>
      </c>
      <c r="H67" s="51" t="s">
        <v>63</v>
      </c>
      <c r="I67" s="52">
        <v>46193</v>
      </c>
      <c r="J67" s="52" t="s">
        <v>56</v>
      </c>
      <c r="K67" s="51" t="s">
        <v>56</v>
      </c>
      <c r="L67" s="51">
        <v>18</v>
      </c>
      <c r="M67" s="53" t="s">
        <v>451</v>
      </c>
      <c r="N67" s="53" t="s">
        <v>374</v>
      </c>
      <c r="O67" s="51"/>
      <c r="P67" s="51"/>
      <c r="Q67" s="51"/>
      <c r="R67" s="51"/>
      <c r="S67" s="51"/>
      <c r="T67" s="51"/>
      <c r="U67" s="51"/>
      <c r="V67" s="51" t="s">
        <v>76</v>
      </c>
      <c r="W67" s="51"/>
    </row>
    <row r="68" spans="1:23" ht="20.100000000000001" hidden="1" customHeight="1" x14ac:dyDescent="0.25">
      <c r="A68" s="78">
        <v>1006</v>
      </c>
      <c r="B68" s="78" t="s">
        <v>63</v>
      </c>
      <c r="C68" s="51" t="s">
        <v>266</v>
      </c>
      <c r="D68" s="51" t="s">
        <v>382</v>
      </c>
      <c r="E68" s="51">
        <v>1</v>
      </c>
      <c r="F68" s="51" t="s">
        <v>268</v>
      </c>
      <c r="G68" s="54" t="s">
        <v>63</v>
      </c>
      <c r="H68" s="51" t="s">
        <v>63</v>
      </c>
      <c r="I68" s="52">
        <v>46193</v>
      </c>
      <c r="J68" s="52" t="s">
        <v>56</v>
      </c>
      <c r="K68" s="51" t="s">
        <v>56</v>
      </c>
      <c r="L68" s="51" t="s">
        <v>455</v>
      </c>
      <c r="M68" s="53" t="s">
        <v>451</v>
      </c>
      <c r="N68" s="53" t="s">
        <v>374</v>
      </c>
      <c r="O68" s="51"/>
      <c r="P68" s="51"/>
      <c r="Q68" s="51"/>
      <c r="R68" s="51"/>
      <c r="S68" s="51"/>
      <c r="T68" s="51"/>
      <c r="U68" s="51"/>
      <c r="V68" s="51" t="s">
        <v>76</v>
      </c>
      <c r="W68" s="51"/>
    </row>
    <row r="69" spans="1:23" ht="20.100000000000001" hidden="1" customHeight="1" x14ac:dyDescent="0.25">
      <c r="A69" s="78">
        <v>2097</v>
      </c>
      <c r="B69" s="78" t="s">
        <v>63</v>
      </c>
      <c r="C69" s="51" t="s">
        <v>262</v>
      </c>
      <c r="D69" s="51" t="s">
        <v>382</v>
      </c>
      <c r="E69" s="51">
        <v>1</v>
      </c>
      <c r="F69" s="51" t="s">
        <v>263</v>
      </c>
      <c r="G69" s="54" t="s">
        <v>63</v>
      </c>
      <c r="H69" s="51" t="s">
        <v>63</v>
      </c>
      <c r="I69" s="52">
        <v>46193</v>
      </c>
      <c r="J69" s="52" t="s">
        <v>56</v>
      </c>
      <c r="K69" s="51" t="s">
        <v>56</v>
      </c>
      <c r="L69" s="51" t="s">
        <v>456</v>
      </c>
      <c r="M69" s="53" t="s">
        <v>451</v>
      </c>
      <c r="N69" s="53" t="s">
        <v>374</v>
      </c>
      <c r="O69" s="51"/>
      <c r="P69" s="51"/>
      <c r="Q69" s="51"/>
      <c r="R69" s="51"/>
      <c r="S69" s="51"/>
      <c r="T69" s="51"/>
      <c r="U69" s="51"/>
      <c r="V69" s="51" t="s">
        <v>76</v>
      </c>
      <c r="W69" s="51"/>
    </row>
    <row r="70" spans="1:23" ht="20.100000000000001" hidden="1" customHeight="1" x14ac:dyDescent="0.25">
      <c r="A70" s="78">
        <v>1032</v>
      </c>
      <c r="B70" s="78" t="s">
        <v>63</v>
      </c>
      <c r="C70" s="51" t="s">
        <v>457</v>
      </c>
      <c r="D70" s="51" t="s">
        <v>382</v>
      </c>
      <c r="E70" s="51">
        <v>1</v>
      </c>
      <c r="F70" s="51" t="s">
        <v>267</v>
      </c>
      <c r="G70" s="54" t="s">
        <v>63</v>
      </c>
      <c r="H70" s="51" t="s">
        <v>63</v>
      </c>
      <c r="I70" s="52">
        <v>46193</v>
      </c>
      <c r="J70" s="52" t="s">
        <v>56</v>
      </c>
      <c r="K70" s="51" t="s">
        <v>56</v>
      </c>
      <c r="L70" s="51">
        <v>62</v>
      </c>
      <c r="M70" s="53" t="s">
        <v>451</v>
      </c>
      <c r="N70" s="53" t="s">
        <v>374</v>
      </c>
      <c r="O70" s="51"/>
      <c r="P70" s="51"/>
      <c r="Q70" s="51"/>
      <c r="R70" s="51"/>
      <c r="S70" s="51"/>
      <c r="T70" s="51"/>
      <c r="U70" s="51"/>
      <c r="V70" s="51" t="s">
        <v>76</v>
      </c>
      <c r="W70" s="51"/>
    </row>
    <row r="71" spans="1:23" ht="20.100000000000001" hidden="1" customHeight="1" x14ac:dyDescent="0.25">
      <c r="A71" s="78">
        <v>1032</v>
      </c>
      <c r="B71" s="78" t="s">
        <v>63</v>
      </c>
      <c r="C71" s="51" t="s">
        <v>457</v>
      </c>
      <c r="D71" s="51" t="s">
        <v>382</v>
      </c>
      <c r="E71" s="51">
        <v>1</v>
      </c>
      <c r="F71" s="51" t="s">
        <v>267</v>
      </c>
      <c r="G71" s="54" t="s">
        <v>63</v>
      </c>
      <c r="H71" s="51" t="s">
        <v>63</v>
      </c>
      <c r="I71" s="52">
        <v>46193</v>
      </c>
      <c r="J71" s="52" t="s">
        <v>56</v>
      </c>
      <c r="K71" s="51" t="s">
        <v>56</v>
      </c>
      <c r="L71" s="51">
        <v>58</v>
      </c>
      <c r="M71" s="53" t="s">
        <v>451</v>
      </c>
      <c r="N71" s="53" t="s">
        <v>374</v>
      </c>
      <c r="O71" s="51"/>
      <c r="P71" s="51"/>
      <c r="Q71" s="51"/>
      <c r="R71" s="51"/>
      <c r="S71" s="51"/>
      <c r="T71" s="51"/>
      <c r="U71" s="51"/>
      <c r="V71" s="51" t="s">
        <v>76</v>
      </c>
      <c r="W71" s="51"/>
    </row>
    <row r="72" spans="1:23" ht="20.100000000000001" hidden="1" customHeight="1" x14ac:dyDescent="0.25">
      <c r="A72" s="78">
        <v>1032</v>
      </c>
      <c r="B72" s="78" t="s">
        <v>63</v>
      </c>
      <c r="C72" s="51" t="s">
        <v>457</v>
      </c>
      <c r="D72" s="51" t="s">
        <v>382</v>
      </c>
      <c r="E72" s="51">
        <v>1</v>
      </c>
      <c r="F72" s="51" t="s">
        <v>267</v>
      </c>
      <c r="G72" s="54" t="s">
        <v>63</v>
      </c>
      <c r="H72" s="51" t="s">
        <v>63</v>
      </c>
      <c r="I72" s="52">
        <v>46193</v>
      </c>
      <c r="J72" s="52" t="s">
        <v>56</v>
      </c>
      <c r="K72" s="51" t="s">
        <v>56</v>
      </c>
      <c r="L72" s="51">
        <v>34</v>
      </c>
      <c r="M72" s="53" t="s">
        <v>451</v>
      </c>
      <c r="N72" s="53" t="s">
        <v>374</v>
      </c>
      <c r="O72" s="51"/>
      <c r="P72" s="51"/>
      <c r="Q72" s="51"/>
      <c r="R72" s="51"/>
      <c r="S72" s="51"/>
      <c r="T72" s="51"/>
      <c r="U72" s="51"/>
      <c r="V72" s="51" t="s">
        <v>76</v>
      </c>
      <c r="W72" s="51"/>
    </row>
    <row r="73" spans="1:23" ht="20.100000000000001" hidden="1" customHeight="1" x14ac:dyDescent="0.25">
      <c r="A73" s="78">
        <v>1032</v>
      </c>
      <c r="B73" s="78" t="s">
        <v>63</v>
      </c>
      <c r="C73" s="51" t="s">
        <v>457</v>
      </c>
      <c r="D73" s="51" t="s">
        <v>382</v>
      </c>
      <c r="E73" s="51">
        <v>1</v>
      </c>
      <c r="F73" s="51" t="s">
        <v>267</v>
      </c>
      <c r="G73" s="54" t="s">
        <v>63</v>
      </c>
      <c r="H73" s="51" t="s">
        <v>63</v>
      </c>
      <c r="I73" s="52">
        <v>46193</v>
      </c>
      <c r="J73" s="52" t="s">
        <v>56</v>
      </c>
      <c r="K73" s="51" t="s">
        <v>56</v>
      </c>
      <c r="L73" s="51" t="s">
        <v>458</v>
      </c>
      <c r="M73" s="53" t="s">
        <v>451</v>
      </c>
      <c r="N73" s="53" t="s">
        <v>374</v>
      </c>
      <c r="O73" s="51"/>
      <c r="P73" s="51"/>
      <c r="Q73" s="51"/>
      <c r="R73" s="51"/>
      <c r="S73" s="51"/>
      <c r="T73" s="51"/>
      <c r="U73" s="51"/>
      <c r="V73" s="51" t="s">
        <v>76</v>
      </c>
      <c r="W73" s="51"/>
    </row>
    <row r="74" spans="1:23" ht="20.100000000000001" hidden="1" customHeight="1" x14ac:dyDescent="0.25">
      <c r="A74" s="78">
        <v>2088</v>
      </c>
      <c r="B74" s="78" t="s">
        <v>63</v>
      </c>
      <c r="C74" s="51" t="s">
        <v>264</v>
      </c>
      <c r="D74" s="51" t="s">
        <v>382</v>
      </c>
      <c r="E74" s="51">
        <v>1</v>
      </c>
      <c r="F74" s="51" t="s">
        <v>201</v>
      </c>
      <c r="G74" s="54" t="s">
        <v>63</v>
      </c>
      <c r="H74" s="51" t="s">
        <v>63</v>
      </c>
      <c r="I74" s="52">
        <v>46233</v>
      </c>
      <c r="J74" s="52" t="s">
        <v>56</v>
      </c>
      <c r="K74" s="51" t="s">
        <v>56</v>
      </c>
      <c r="L74" s="51">
        <v>62</v>
      </c>
      <c r="M74" s="53" t="s">
        <v>451</v>
      </c>
      <c r="N74" s="53" t="s">
        <v>374</v>
      </c>
      <c r="O74" s="51"/>
      <c r="P74" s="51"/>
      <c r="Q74" s="51"/>
      <c r="R74" s="51"/>
      <c r="S74" s="51"/>
      <c r="T74" s="51"/>
      <c r="U74" s="51"/>
      <c r="V74" s="51" t="s">
        <v>256</v>
      </c>
      <c r="W74" s="51"/>
    </row>
    <row r="75" spans="1:23" ht="20.100000000000001" hidden="1" customHeight="1" x14ac:dyDescent="0.25">
      <c r="A75" s="78">
        <v>2088</v>
      </c>
      <c r="B75" s="78" t="s">
        <v>63</v>
      </c>
      <c r="C75" s="51" t="s">
        <v>264</v>
      </c>
      <c r="D75" s="51" t="s">
        <v>382</v>
      </c>
      <c r="E75" s="51">
        <v>1</v>
      </c>
      <c r="F75" s="51" t="s">
        <v>201</v>
      </c>
      <c r="G75" s="54" t="s">
        <v>63</v>
      </c>
      <c r="H75" s="51" t="s">
        <v>63</v>
      </c>
      <c r="I75" s="52">
        <v>46233</v>
      </c>
      <c r="J75" s="52" t="s">
        <v>56</v>
      </c>
      <c r="K75" s="51" t="s">
        <v>56</v>
      </c>
      <c r="L75" s="51" t="s">
        <v>459</v>
      </c>
      <c r="M75" s="53" t="s">
        <v>451</v>
      </c>
      <c r="N75" s="53" t="s">
        <v>374</v>
      </c>
      <c r="O75" s="51"/>
      <c r="P75" s="51"/>
      <c r="Q75" s="51"/>
      <c r="R75" s="51"/>
      <c r="S75" s="51"/>
      <c r="T75" s="51"/>
      <c r="U75" s="51"/>
      <c r="V75" s="51" t="s">
        <v>256</v>
      </c>
      <c r="W75" s="51"/>
    </row>
    <row r="76" spans="1:23" ht="20.100000000000001" hidden="1" customHeight="1" x14ac:dyDescent="0.25">
      <c r="A76" s="78">
        <v>2088</v>
      </c>
      <c r="B76" s="78" t="s">
        <v>63</v>
      </c>
      <c r="C76" s="51" t="s">
        <v>264</v>
      </c>
      <c r="D76" s="51" t="s">
        <v>382</v>
      </c>
      <c r="E76" s="51">
        <v>1</v>
      </c>
      <c r="F76" s="51">
        <v>2200</v>
      </c>
      <c r="G76" s="54" t="s">
        <v>63</v>
      </c>
      <c r="H76" s="51" t="s">
        <v>63</v>
      </c>
      <c r="I76" s="52">
        <v>46233</v>
      </c>
      <c r="J76" s="52" t="s">
        <v>56</v>
      </c>
      <c r="K76" s="51" t="s">
        <v>56</v>
      </c>
      <c r="L76" s="51" t="s">
        <v>460</v>
      </c>
      <c r="M76" s="53" t="s">
        <v>462</v>
      </c>
      <c r="N76" s="53" t="s">
        <v>463</v>
      </c>
      <c r="O76" s="51" t="s">
        <v>224</v>
      </c>
      <c r="P76" s="51" t="s">
        <v>374</v>
      </c>
      <c r="Q76" s="51"/>
      <c r="R76" s="51"/>
      <c r="S76" s="51"/>
      <c r="T76" s="51"/>
      <c r="U76" s="51"/>
      <c r="V76" s="51" t="s">
        <v>202</v>
      </c>
      <c r="W76" s="51"/>
    </row>
    <row r="77" spans="1:23" ht="20.100000000000001" hidden="1" customHeight="1" x14ac:dyDescent="0.25">
      <c r="A77" s="78">
        <v>974</v>
      </c>
      <c r="B77" s="78" t="s">
        <v>63</v>
      </c>
      <c r="C77" s="51" t="s">
        <v>264</v>
      </c>
      <c r="D77" s="51" t="s">
        <v>382</v>
      </c>
      <c r="E77" s="51">
        <v>1</v>
      </c>
      <c r="F77" s="51" t="s">
        <v>201</v>
      </c>
      <c r="G77" s="54" t="s">
        <v>63</v>
      </c>
      <c r="H77" s="51" t="s">
        <v>63</v>
      </c>
      <c r="I77" s="52">
        <v>46233</v>
      </c>
      <c r="J77" s="52" t="s">
        <v>56</v>
      </c>
      <c r="K77" s="51" t="s">
        <v>56</v>
      </c>
      <c r="L77" s="51">
        <v>81</v>
      </c>
      <c r="M77" s="51" t="s">
        <v>451</v>
      </c>
      <c r="N77" s="51" t="s">
        <v>374</v>
      </c>
      <c r="O77" s="51"/>
      <c r="P77" s="51"/>
      <c r="Q77" s="51"/>
      <c r="R77" s="51"/>
      <c r="S77" s="51"/>
      <c r="T77" s="51"/>
      <c r="U77" s="51"/>
      <c r="V77" s="51" t="s">
        <v>202</v>
      </c>
      <c r="W77" s="51" t="s">
        <v>461</v>
      </c>
    </row>
    <row r="78" spans="1:23" ht="20.100000000000001" hidden="1" customHeight="1" x14ac:dyDescent="0.25">
      <c r="A78" s="78" t="s">
        <v>283</v>
      </c>
      <c r="B78" s="78" t="s">
        <v>63</v>
      </c>
      <c r="C78" s="51" t="s">
        <v>274</v>
      </c>
      <c r="D78" s="51" t="s">
        <v>382</v>
      </c>
      <c r="E78" s="51">
        <v>1</v>
      </c>
      <c r="F78" s="51" t="s">
        <v>268</v>
      </c>
      <c r="G78" s="54" t="s">
        <v>63</v>
      </c>
      <c r="H78" s="51" t="s">
        <v>63</v>
      </c>
      <c r="I78" s="52">
        <v>46193</v>
      </c>
      <c r="J78" s="51" t="s">
        <v>56</v>
      </c>
      <c r="K78" s="51" t="s">
        <v>56</v>
      </c>
      <c r="L78" s="51" t="s">
        <v>464</v>
      </c>
      <c r="M78" s="53" t="s">
        <v>451</v>
      </c>
      <c r="N78" s="53" t="s">
        <v>374</v>
      </c>
      <c r="O78" s="51"/>
      <c r="P78" s="51"/>
      <c r="Q78" s="51"/>
      <c r="R78" s="51"/>
      <c r="S78" s="51"/>
      <c r="T78" s="51"/>
      <c r="U78" s="51"/>
      <c r="V78" s="51" t="s">
        <v>326</v>
      </c>
      <c r="W78" s="51"/>
    </row>
    <row r="79" spans="1:23" ht="20.100000000000001" hidden="1" customHeight="1" x14ac:dyDescent="0.25">
      <c r="A79" s="78" t="s">
        <v>284</v>
      </c>
      <c r="B79" s="78" t="s">
        <v>63</v>
      </c>
      <c r="C79" s="51" t="s">
        <v>274</v>
      </c>
      <c r="D79" s="51" t="s">
        <v>382</v>
      </c>
      <c r="E79" s="51">
        <v>1</v>
      </c>
      <c r="F79" s="51" t="s">
        <v>268</v>
      </c>
      <c r="G79" s="54" t="s">
        <v>63</v>
      </c>
      <c r="H79" s="51" t="s">
        <v>63</v>
      </c>
      <c r="I79" s="52">
        <v>46233</v>
      </c>
      <c r="J79" s="51" t="s">
        <v>56</v>
      </c>
      <c r="K79" s="51" t="s">
        <v>56</v>
      </c>
      <c r="L79" s="51" t="s">
        <v>466</v>
      </c>
      <c r="M79" s="51" t="s">
        <v>467</v>
      </c>
      <c r="N79" s="51" t="s">
        <v>374</v>
      </c>
      <c r="O79" s="51"/>
      <c r="P79" s="51"/>
      <c r="Q79" s="51"/>
      <c r="R79" s="51"/>
      <c r="S79" s="51"/>
      <c r="T79" s="51"/>
      <c r="U79" s="51"/>
      <c r="V79" s="51" t="s">
        <v>202</v>
      </c>
      <c r="W79" s="51"/>
    </row>
    <row r="80" spans="1:23" ht="20.100000000000001" hidden="1" customHeight="1" x14ac:dyDescent="0.25">
      <c r="A80" s="78" t="s">
        <v>287</v>
      </c>
      <c r="B80" s="78" t="s">
        <v>63</v>
      </c>
      <c r="C80" s="51" t="s">
        <v>276</v>
      </c>
      <c r="D80" s="51" t="s">
        <v>382</v>
      </c>
      <c r="E80" s="51">
        <v>1</v>
      </c>
      <c r="F80" s="54" t="s">
        <v>268</v>
      </c>
      <c r="G80" s="54" t="s">
        <v>63</v>
      </c>
      <c r="H80" s="51" t="s">
        <v>63</v>
      </c>
      <c r="I80" s="51" t="s">
        <v>472</v>
      </c>
      <c r="J80" s="51" t="s">
        <v>56</v>
      </c>
      <c r="K80" s="51" t="s">
        <v>56</v>
      </c>
      <c r="L80" s="51">
        <v>22</v>
      </c>
      <c r="M80" s="53" t="s">
        <v>451</v>
      </c>
      <c r="N80" s="53" t="s">
        <v>473</v>
      </c>
      <c r="O80" s="53" t="s">
        <v>374</v>
      </c>
      <c r="P80" s="51"/>
      <c r="Q80" s="51"/>
      <c r="R80" s="51"/>
      <c r="S80" s="51"/>
      <c r="T80" s="51"/>
      <c r="U80" s="51"/>
      <c r="V80" s="51" t="s">
        <v>256</v>
      </c>
      <c r="W80" s="51" t="s">
        <v>528</v>
      </c>
    </row>
    <row r="81" spans="1:23" ht="20.100000000000001" hidden="1" customHeight="1" x14ac:dyDescent="0.25">
      <c r="A81" s="78" t="s">
        <v>288</v>
      </c>
      <c r="B81" s="78" t="s">
        <v>63</v>
      </c>
      <c r="C81" s="51" t="s">
        <v>276</v>
      </c>
      <c r="D81" s="51" t="s">
        <v>382</v>
      </c>
      <c r="E81" s="51">
        <v>1</v>
      </c>
      <c r="F81" s="54" t="s">
        <v>268</v>
      </c>
      <c r="G81" s="54" t="s">
        <v>63</v>
      </c>
      <c r="H81" s="51" t="s">
        <v>63</v>
      </c>
      <c r="I81" s="51" t="s">
        <v>472</v>
      </c>
      <c r="J81" s="51" t="s">
        <v>56</v>
      </c>
      <c r="K81" s="51" t="s">
        <v>56</v>
      </c>
      <c r="L81" s="51">
        <v>24</v>
      </c>
      <c r="M81" s="53" t="s">
        <v>474</v>
      </c>
      <c r="N81" s="53" t="s">
        <v>463</v>
      </c>
      <c r="O81" s="99" t="s">
        <v>224</v>
      </c>
      <c r="P81" s="51" t="s">
        <v>473</v>
      </c>
      <c r="Q81" s="51" t="s">
        <v>374</v>
      </c>
      <c r="R81" s="51"/>
      <c r="S81" s="51"/>
      <c r="T81" s="51"/>
      <c r="U81" s="51"/>
      <c r="V81" s="51" t="s">
        <v>202</v>
      </c>
      <c r="W81" s="51" t="s">
        <v>559</v>
      </c>
    </row>
    <row r="82" spans="1:23" ht="20.100000000000001" hidden="1" customHeight="1" x14ac:dyDescent="0.25">
      <c r="A82" s="78" t="s">
        <v>289</v>
      </c>
      <c r="B82" s="78" t="s">
        <v>63</v>
      </c>
      <c r="C82" s="51" t="s">
        <v>276</v>
      </c>
      <c r="D82" s="51" t="s">
        <v>382</v>
      </c>
      <c r="E82" s="51">
        <v>1</v>
      </c>
      <c r="F82" s="54" t="s">
        <v>268</v>
      </c>
      <c r="G82" s="54" t="s">
        <v>63</v>
      </c>
      <c r="H82" s="51" t="s">
        <v>63</v>
      </c>
      <c r="I82" s="51" t="s">
        <v>472</v>
      </c>
      <c r="J82" s="51" t="s">
        <v>56</v>
      </c>
      <c r="K82" s="51" t="s">
        <v>56</v>
      </c>
      <c r="L82" s="51">
        <v>25</v>
      </c>
      <c r="M82" s="53" t="s">
        <v>451</v>
      </c>
      <c r="N82" s="53" t="s">
        <v>467</v>
      </c>
      <c r="O82" s="53" t="s">
        <v>473</v>
      </c>
      <c r="P82" s="53" t="s">
        <v>374</v>
      </c>
      <c r="Q82" s="51"/>
      <c r="R82" s="51"/>
      <c r="S82" s="51"/>
      <c r="T82" s="51"/>
      <c r="U82" s="51"/>
      <c r="V82" s="51" t="s">
        <v>202</v>
      </c>
      <c r="W82" s="51" t="s">
        <v>528</v>
      </c>
    </row>
    <row r="83" spans="1:23" ht="20.100000000000001" hidden="1" customHeight="1" x14ac:dyDescent="0.25">
      <c r="A83" s="78" t="s">
        <v>290</v>
      </c>
      <c r="B83" s="78" t="s">
        <v>63</v>
      </c>
      <c r="C83" s="51" t="s">
        <v>276</v>
      </c>
      <c r="D83" s="51" t="s">
        <v>382</v>
      </c>
      <c r="E83" s="51">
        <v>1</v>
      </c>
      <c r="F83" s="54" t="s">
        <v>268</v>
      </c>
      <c r="G83" s="54" t="s">
        <v>63</v>
      </c>
      <c r="H83" s="51" t="s">
        <v>63</v>
      </c>
      <c r="I83" s="51" t="s">
        <v>472</v>
      </c>
      <c r="J83" s="51" t="s">
        <v>56</v>
      </c>
      <c r="K83" s="51" t="s">
        <v>56</v>
      </c>
      <c r="L83" s="51">
        <v>30</v>
      </c>
      <c r="M83" s="51" t="s">
        <v>451</v>
      </c>
      <c r="N83" s="51" t="s">
        <v>473</v>
      </c>
      <c r="O83" s="51" t="s">
        <v>374</v>
      </c>
      <c r="P83" s="51"/>
      <c r="Q83" s="51"/>
      <c r="R83" s="51"/>
      <c r="S83" s="51"/>
      <c r="T83" s="51"/>
      <c r="U83" s="51"/>
      <c r="V83" s="51" t="s">
        <v>202</v>
      </c>
      <c r="W83" s="51"/>
    </row>
    <row r="84" spans="1:23" ht="20.100000000000001" hidden="1" customHeight="1" x14ac:dyDescent="0.25">
      <c r="A84" s="78" t="s">
        <v>291</v>
      </c>
      <c r="B84" s="78" t="s">
        <v>63</v>
      </c>
      <c r="C84" s="51" t="s">
        <v>276</v>
      </c>
      <c r="D84" s="51" t="s">
        <v>382</v>
      </c>
      <c r="E84" s="51">
        <v>1</v>
      </c>
      <c r="F84" s="54" t="s">
        <v>268</v>
      </c>
      <c r="G84" s="54" t="s">
        <v>63</v>
      </c>
      <c r="H84" s="51" t="s">
        <v>63</v>
      </c>
      <c r="I84" s="51" t="s">
        <v>472</v>
      </c>
      <c r="J84" s="51" t="s">
        <v>56</v>
      </c>
      <c r="K84" s="51" t="s">
        <v>56</v>
      </c>
      <c r="L84" s="51">
        <v>32</v>
      </c>
      <c r="M84" s="53" t="s">
        <v>451</v>
      </c>
      <c r="N84" s="53" t="s">
        <v>473</v>
      </c>
      <c r="O84" s="53" t="s">
        <v>374</v>
      </c>
      <c r="P84" s="51"/>
      <c r="Q84" s="51"/>
      <c r="R84" s="51"/>
      <c r="S84" s="51"/>
      <c r="T84" s="51"/>
      <c r="U84" s="51"/>
      <c r="V84" s="51" t="s">
        <v>256</v>
      </c>
      <c r="W84" s="51" t="s">
        <v>528</v>
      </c>
    </row>
    <row r="85" spans="1:23" ht="20.100000000000001" hidden="1" customHeight="1" x14ac:dyDescent="0.25">
      <c r="A85" s="78" t="s">
        <v>292</v>
      </c>
      <c r="B85" s="78" t="s">
        <v>63</v>
      </c>
      <c r="C85" s="51" t="s">
        <v>276</v>
      </c>
      <c r="D85" s="51" t="s">
        <v>382</v>
      </c>
      <c r="E85" s="51">
        <v>1</v>
      </c>
      <c r="F85" s="54" t="s">
        <v>268</v>
      </c>
      <c r="G85" s="54" t="s">
        <v>63</v>
      </c>
      <c r="H85" s="51" t="s">
        <v>63</v>
      </c>
      <c r="I85" s="51" t="s">
        <v>472</v>
      </c>
      <c r="J85" s="51" t="s">
        <v>56</v>
      </c>
      <c r="K85" s="51" t="s">
        <v>56</v>
      </c>
      <c r="L85" s="51">
        <v>46</v>
      </c>
      <c r="M85" s="51" t="s">
        <v>369</v>
      </c>
      <c r="N85" s="51" t="s">
        <v>374</v>
      </c>
      <c r="O85" s="51" t="s">
        <v>246</v>
      </c>
      <c r="P85" s="51"/>
      <c r="Q85" s="51"/>
      <c r="R85" s="51"/>
      <c r="S85" s="51"/>
      <c r="T85" s="51"/>
      <c r="U85" s="51"/>
      <c r="V85" s="51" t="s">
        <v>200</v>
      </c>
      <c r="W85" s="51"/>
    </row>
    <row r="86" spans="1:23" ht="20.100000000000001" hidden="1" customHeight="1" x14ac:dyDescent="0.25">
      <c r="A86" s="78" t="s">
        <v>293</v>
      </c>
      <c r="B86" s="78" t="s">
        <v>63</v>
      </c>
      <c r="C86" s="51" t="s">
        <v>276</v>
      </c>
      <c r="D86" s="51" t="s">
        <v>382</v>
      </c>
      <c r="E86" s="51">
        <v>1</v>
      </c>
      <c r="F86" s="54" t="s">
        <v>260</v>
      </c>
      <c r="G86" s="54" t="s">
        <v>63</v>
      </c>
      <c r="H86" s="51" t="s">
        <v>63</v>
      </c>
      <c r="I86" s="51" t="s">
        <v>472</v>
      </c>
      <c r="J86" s="51" t="s">
        <v>56</v>
      </c>
      <c r="K86" s="51" t="s">
        <v>56</v>
      </c>
      <c r="L86" s="51" t="s">
        <v>468</v>
      </c>
      <c r="M86" s="53" t="s">
        <v>451</v>
      </c>
      <c r="N86" s="53" t="s">
        <v>467</v>
      </c>
      <c r="O86" s="53" t="s">
        <v>473</v>
      </c>
      <c r="P86" s="53" t="s">
        <v>374</v>
      </c>
      <c r="Q86" s="51"/>
      <c r="R86" s="51"/>
      <c r="S86" s="51"/>
      <c r="T86" s="51"/>
      <c r="U86" s="51"/>
      <c r="V86" s="51" t="s">
        <v>202</v>
      </c>
      <c r="W86" s="83" t="s">
        <v>529</v>
      </c>
    </row>
    <row r="87" spans="1:23" ht="20.100000000000001" hidden="1" customHeight="1" x14ac:dyDescent="0.25">
      <c r="A87" s="78" t="s">
        <v>294</v>
      </c>
      <c r="B87" s="78" t="s">
        <v>63</v>
      </c>
      <c r="C87" s="51" t="s">
        <v>276</v>
      </c>
      <c r="D87" s="51" t="s">
        <v>382</v>
      </c>
      <c r="E87" s="51">
        <v>1</v>
      </c>
      <c r="F87" s="54" t="s">
        <v>260</v>
      </c>
      <c r="G87" s="54" t="s">
        <v>63</v>
      </c>
      <c r="H87" s="51" t="s">
        <v>63</v>
      </c>
      <c r="I87" s="51" t="s">
        <v>472</v>
      </c>
      <c r="J87" s="51" t="s">
        <v>56</v>
      </c>
      <c r="K87" s="51" t="s">
        <v>56</v>
      </c>
      <c r="L87" s="51" t="s">
        <v>469</v>
      </c>
      <c r="M87" s="53" t="s">
        <v>451</v>
      </c>
      <c r="N87" s="53" t="s">
        <v>473</v>
      </c>
      <c r="O87" s="51"/>
      <c r="P87" s="51"/>
      <c r="Q87" s="51"/>
      <c r="R87" s="51"/>
      <c r="S87" s="51"/>
      <c r="T87" s="51"/>
      <c r="U87" s="51"/>
      <c r="V87" s="51" t="s">
        <v>256</v>
      </c>
      <c r="W87" s="51" t="s">
        <v>528</v>
      </c>
    </row>
    <row r="88" spans="1:23" ht="20.100000000000001" hidden="1" customHeight="1" x14ac:dyDescent="0.25">
      <c r="A88" s="78" t="s">
        <v>295</v>
      </c>
      <c r="B88" s="78" t="s">
        <v>63</v>
      </c>
      <c r="C88" s="51" t="s">
        <v>276</v>
      </c>
      <c r="D88" s="51" t="s">
        <v>382</v>
      </c>
      <c r="E88" s="51">
        <v>1</v>
      </c>
      <c r="F88" s="54" t="s">
        <v>260</v>
      </c>
      <c r="G88" s="54" t="s">
        <v>63</v>
      </c>
      <c r="H88" s="51" t="s">
        <v>63</v>
      </c>
      <c r="I88" s="51" t="s">
        <v>472</v>
      </c>
      <c r="J88" s="51" t="s">
        <v>56</v>
      </c>
      <c r="K88" s="51" t="s">
        <v>56</v>
      </c>
      <c r="L88" s="51" t="s">
        <v>470</v>
      </c>
      <c r="M88" s="51" t="s">
        <v>369</v>
      </c>
      <c r="N88" s="51" t="s">
        <v>374</v>
      </c>
      <c r="O88" s="51" t="s">
        <v>246</v>
      </c>
      <c r="P88" s="51"/>
      <c r="Q88" s="51"/>
      <c r="R88" s="51"/>
      <c r="S88" s="51"/>
      <c r="T88" s="51"/>
      <c r="U88" s="51"/>
      <c r="V88" s="51" t="s">
        <v>200</v>
      </c>
      <c r="W88" s="51"/>
    </row>
    <row r="89" spans="1:23" ht="20.100000000000001" hidden="1" customHeight="1" x14ac:dyDescent="0.25">
      <c r="A89" s="78" t="s">
        <v>296</v>
      </c>
      <c r="B89" s="78" t="s">
        <v>63</v>
      </c>
      <c r="C89" s="51" t="s">
        <v>276</v>
      </c>
      <c r="D89" s="51" t="s">
        <v>382</v>
      </c>
      <c r="E89" s="51">
        <v>1</v>
      </c>
      <c r="F89" s="54" t="s">
        <v>268</v>
      </c>
      <c r="G89" s="54" t="s">
        <v>63</v>
      </c>
      <c r="H89" s="51" t="s">
        <v>63</v>
      </c>
      <c r="I89" s="51" t="s">
        <v>472</v>
      </c>
      <c r="J89" s="51" t="s">
        <v>56</v>
      </c>
      <c r="K89" s="51" t="s">
        <v>56</v>
      </c>
      <c r="L89" s="51" t="s">
        <v>471</v>
      </c>
      <c r="M89" s="51" t="s">
        <v>451</v>
      </c>
      <c r="N89" s="51" t="s">
        <v>467</v>
      </c>
      <c r="O89" s="51" t="s">
        <v>473</v>
      </c>
      <c r="P89" s="51"/>
      <c r="Q89" s="51"/>
      <c r="R89" s="51"/>
      <c r="S89" s="51"/>
      <c r="T89" s="51"/>
      <c r="U89" s="51"/>
      <c r="V89" s="51" t="s">
        <v>202</v>
      </c>
      <c r="W89" s="51"/>
    </row>
    <row r="90" spans="1:23" ht="20.100000000000001" hidden="1" customHeight="1" x14ac:dyDescent="0.25">
      <c r="A90" s="78">
        <v>1048</v>
      </c>
      <c r="B90" s="78" t="s">
        <v>63</v>
      </c>
      <c r="C90" s="51" t="s">
        <v>556</v>
      </c>
      <c r="D90" s="51" t="s">
        <v>569</v>
      </c>
      <c r="E90" s="51">
        <v>1</v>
      </c>
      <c r="F90" s="51" t="s">
        <v>267</v>
      </c>
      <c r="G90" s="54" t="s">
        <v>63</v>
      </c>
      <c r="H90" s="51" t="s">
        <v>63</v>
      </c>
      <c r="I90" s="52">
        <v>46273</v>
      </c>
      <c r="J90" s="51" t="s">
        <v>58</v>
      </c>
      <c r="K90" s="51" t="s">
        <v>58</v>
      </c>
      <c r="L90" s="51" t="s">
        <v>63</v>
      </c>
      <c r="M90" s="51" t="s">
        <v>369</v>
      </c>
      <c r="N90" s="51" t="s">
        <v>374</v>
      </c>
      <c r="O90" s="51" t="s">
        <v>246</v>
      </c>
      <c r="P90" s="51"/>
      <c r="Q90" s="51"/>
      <c r="R90" s="51"/>
      <c r="S90" s="51"/>
      <c r="T90" s="51"/>
      <c r="U90" s="51"/>
      <c r="V90" s="51" t="s">
        <v>200</v>
      </c>
      <c r="W90" s="51" t="s">
        <v>558</v>
      </c>
    </row>
    <row r="91" spans="1:23" ht="20.100000000000001" hidden="1" customHeight="1" x14ac:dyDescent="0.25">
      <c r="A91" s="78">
        <v>1048</v>
      </c>
      <c r="B91" s="78" t="s">
        <v>63</v>
      </c>
      <c r="C91" s="51" t="s">
        <v>556</v>
      </c>
      <c r="D91" s="51" t="s">
        <v>569</v>
      </c>
      <c r="E91" s="51">
        <v>1</v>
      </c>
      <c r="F91" s="51" t="s">
        <v>267</v>
      </c>
      <c r="G91" s="54" t="s">
        <v>63</v>
      </c>
      <c r="H91" s="51" t="s">
        <v>63</v>
      </c>
      <c r="I91" s="52">
        <v>46273</v>
      </c>
      <c r="J91" s="51" t="s">
        <v>58</v>
      </c>
      <c r="K91" s="51" t="s">
        <v>58</v>
      </c>
      <c r="L91" s="51" t="s">
        <v>63</v>
      </c>
      <c r="M91" s="51" t="s">
        <v>369</v>
      </c>
      <c r="N91" s="51" t="s">
        <v>374</v>
      </c>
      <c r="O91" s="51" t="s">
        <v>246</v>
      </c>
      <c r="P91" s="51"/>
      <c r="Q91" s="51"/>
      <c r="R91" s="51"/>
      <c r="S91" s="51"/>
      <c r="T91" s="51"/>
      <c r="U91" s="51"/>
      <c r="V91" s="51" t="s">
        <v>200</v>
      </c>
      <c r="W91" s="51" t="s">
        <v>558</v>
      </c>
    </row>
    <row r="92" spans="1:23" ht="20.100000000000001" hidden="1" customHeight="1" x14ac:dyDescent="0.25">
      <c r="A92" s="78">
        <v>1051</v>
      </c>
      <c r="B92" s="78" t="s">
        <v>63</v>
      </c>
      <c r="C92" s="51" t="s">
        <v>274</v>
      </c>
      <c r="D92" s="51" t="s">
        <v>382</v>
      </c>
      <c r="E92" s="51">
        <v>1</v>
      </c>
      <c r="F92" s="51" t="s">
        <v>297</v>
      </c>
      <c r="G92" s="54" t="s">
        <v>63</v>
      </c>
      <c r="H92" s="51" t="s">
        <v>63</v>
      </c>
      <c r="I92" s="52">
        <v>46255</v>
      </c>
      <c r="J92" s="51" t="s">
        <v>58</v>
      </c>
      <c r="K92" s="51" t="s">
        <v>58</v>
      </c>
      <c r="L92" s="51">
        <v>64</v>
      </c>
      <c r="M92" s="53" t="s">
        <v>369</v>
      </c>
      <c r="N92" s="53" t="s">
        <v>374</v>
      </c>
      <c r="O92" s="53" t="s">
        <v>246</v>
      </c>
      <c r="P92" s="51"/>
      <c r="Q92" s="51"/>
      <c r="R92" s="51"/>
      <c r="S92" s="51"/>
      <c r="T92" s="51"/>
      <c r="U92" s="51"/>
      <c r="V92" s="51" t="s">
        <v>449</v>
      </c>
      <c r="W92" s="51" t="s">
        <v>602</v>
      </c>
    </row>
    <row r="93" spans="1:23" ht="20.100000000000001" hidden="1" customHeight="1" x14ac:dyDescent="0.25">
      <c r="A93" s="78">
        <v>2347</v>
      </c>
      <c r="B93" s="78" t="s">
        <v>63</v>
      </c>
      <c r="C93" s="51" t="s">
        <v>578</v>
      </c>
      <c r="D93" s="51" t="s">
        <v>570</v>
      </c>
      <c r="E93" s="51">
        <v>1</v>
      </c>
      <c r="F93" s="51" t="s">
        <v>267</v>
      </c>
      <c r="G93" s="54" t="s">
        <v>373</v>
      </c>
      <c r="H93" s="51" t="s">
        <v>204</v>
      </c>
      <c r="I93" s="52">
        <v>46278</v>
      </c>
      <c r="J93" s="52">
        <v>46244</v>
      </c>
      <c r="K93" s="51" t="s">
        <v>58</v>
      </c>
      <c r="L93" s="51" t="s">
        <v>564</v>
      </c>
      <c r="M93" s="51" t="s">
        <v>567</v>
      </c>
      <c r="N93" s="51" t="s">
        <v>224</v>
      </c>
      <c r="O93" s="51" t="s">
        <v>467</v>
      </c>
      <c r="P93" s="51" t="s">
        <v>374</v>
      </c>
      <c r="Q93" s="51"/>
      <c r="R93" s="51"/>
      <c r="S93" s="51"/>
      <c r="T93" s="51"/>
      <c r="U93" s="51"/>
      <c r="V93" s="51" t="s">
        <v>200</v>
      </c>
      <c r="W93" s="51" t="s">
        <v>575</v>
      </c>
    </row>
    <row r="94" spans="1:23" ht="20.100000000000001" hidden="1" customHeight="1" x14ac:dyDescent="0.25">
      <c r="A94" s="78">
        <v>2347</v>
      </c>
      <c r="B94" s="78" t="s">
        <v>63</v>
      </c>
      <c r="C94" s="51" t="s">
        <v>578</v>
      </c>
      <c r="D94" s="51" t="s">
        <v>570</v>
      </c>
      <c r="E94" s="51">
        <v>1</v>
      </c>
      <c r="F94" s="51" t="s">
        <v>267</v>
      </c>
      <c r="G94" s="54" t="s">
        <v>373</v>
      </c>
      <c r="H94" s="51" t="s">
        <v>205</v>
      </c>
      <c r="I94" s="52">
        <v>46285</v>
      </c>
      <c r="J94" s="52">
        <v>46244</v>
      </c>
      <c r="K94" s="51" t="s">
        <v>58</v>
      </c>
      <c r="L94" s="51" t="s">
        <v>565</v>
      </c>
      <c r="M94" s="51" t="s">
        <v>567</v>
      </c>
      <c r="N94" s="51" t="s">
        <v>224</v>
      </c>
      <c r="O94" s="51" t="s">
        <v>467</v>
      </c>
      <c r="P94" s="51" t="s">
        <v>374</v>
      </c>
      <c r="Q94" s="51"/>
      <c r="R94" s="51"/>
      <c r="S94" s="51"/>
      <c r="T94" s="51"/>
      <c r="U94" s="51"/>
      <c r="V94" s="51" t="s">
        <v>200</v>
      </c>
      <c r="W94" s="51" t="s">
        <v>575</v>
      </c>
    </row>
    <row r="95" spans="1:23" ht="20.100000000000001" hidden="1" customHeight="1" x14ac:dyDescent="0.25">
      <c r="A95" s="78">
        <v>2347</v>
      </c>
      <c r="B95" s="78" t="s">
        <v>63</v>
      </c>
      <c r="C95" s="51" t="s">
        <v>578</v>
      </c>
      <c r="D95" s="51" t="s">
        <v>570</v>
      </c>
      <c r="E95" s="51">
        <v>1</v>
      </c>
      <c r="F95" s="51" t="s">
        <v>267</v>
      </c>
      <c r="G95" s="54" t="s">
        <v>373</v>
      </c>
      <c r="H95" s="51" t="s">
        <v>248</v>
      </c>
      <c r="I95" s="52">
        <v>46290</v>
      </c>
      <c r="J95" s="52">
        <v>46244</v>
      </c>
      <c r="K95" s="51" t="s">
        <v>58</v>
      </c>
      <c r="L95" s="51" t="s">
        <v>566</v>
      </c>
      <c r="M95" s="51" t="s">
        <v>567</v>
      </c>
      <c r="N95" s="51" t="s">
        <v>224</v>
      </c>
      <c r="O95" s="51" t="s">
        <v>467</v>
      </c>
      <c r="P95" s="51" t="s">
        <v>374</v>
      </c>
      <c r="Q95" s="51"/>
      <c r="R95" s="51"/>
      <c r="S95" s="51"/>
      <c r="T95" s="51"/>
      <c r="U95" s="51"/>
      <c r="V95" s="51" t="s">
        <v>200</v>
      </c>
      <c r="W95" s="51" t="s">
        <v>575</v>
      </c>
    </row>
    <row r="96" spans="1:23" ht="20.100000000000001" hidden="1" customHeight="1" x14ac:dyDescent="0.25">
      <c r="A96" s="78">
        <v>1040</v>
      </c>
      <c r="B96" s="78" t="s">
        <v>63</v>
      </c>
      <c r="C96" s="51" t="s">
        <v>578</v>
      </c>
      <c r="D96" s="51" t="s">
        <v>571</v>
      </c>
      <c r="E96" s="51">
        <v>1</v>
      </c>
      <c r="F96" s="51" t="s">
        <v>267</v>
      </c>
      <c r="G96" s="54" t="s">
        <v>254</v>
      </c>
      <c r="H96" s="51" t="s">
        <v>204</v>
      </c>
      <c r="I96" s="52">
        <v>46264</v>
      </c>
      <c r="J96" s="51" t="s">
        <v>56</v>
      </c>
      <c r="K96" s="51" t="s">
        <v>56</v>
      </c>
      <c r="L96" s="51" t="s">
        <v>563</v>
      </c>
      <c r="M96" s="51" t="s">
        <v>451</v>
      </c>
      <c r="N96" s="51" t="s">
        <v>467</v>
      </c>
      <c r="O96" s="51" t="s">
        <v>374</v>
      </c>
      <c r="P96" s="51"/>
      <c r="Q96" s="51"/>
      <c r="R96" s="51"/>
      <c r="S96" s="51"/>
      <c r="T96" s="51"/>
      <c r="U96" s="51"/>
      <c r="V96" s="51" t="s">
        <v>202</v>
      </c>
      <c r="W96" s="51"/>
    </row>
    <row r="97" spans="1:23" ht="20.100000000000001" hidden="1" customHeight="1" x14ac:dyDescent="0.25">
      <c r="A97" s="78">
        <v>1040</v>
      </c>
      <c r="B97" s="78" t="s">
        <v>63</v>
      </c>
      <c r="C97" s="51" t="s">
        <v>578</v>
      </c>
      <c r="D97" s="51" t="s">
        <v>382</v>
      </c>
      <c r="E97" s="51">
        <v>1</v>
      </c>
      <c r="F97" s="51" t="s">
        <v>267</v>
      </c>
      <c r="G97" s="54" t="s">
        <v>450</v>
      </c>
      <c r="H97" s="51" t="s">
        <v>204</v>
      </c>
      <c r="I97" s="52">
        <v>46426</v>
      </c>
      <c r="J97" s="52">
        <v>46388</v>
      </c>
      <c r="K97" s="51" t="s">
        <v>58</v>
      </c>
      <c r="L97" s="51" t="s">
        <v>58</v>
      </c>
      <c r="M97" s="51" t="s">
        <v>369</v>
      </c>
      <c r="N97" s="51" t="s">
        <v>374</v>
      </c>
      <c r="O97" s="51" t="s">
        <v>246</v>
      </c>
      <c r="P97" s="51"/>
      <c r="Q97" s="51"/>
      <c r="R97" s="51"/>
      <c r="S97" s="51"/>
      <c r="T97" s="51"/>
      <c r="U97" s="51"/>
      <c r="V97" s="51" t="s">
        <v>200</v>
      </c>
      <c r="W97" s="51"/>
    </row>
    <row r="98" spans="1:23" ht="20.100000000000001" hidden="1" customHeight="1" x14ac:dyDescent="0.25">
      <c r="A98" s="78">
        <v>1040</v>
      </c>
      <c r="B98" s="78" t="s">
        <v>63</v>
      </c>
      <c r="C98" s="51" t="s">
        <v>578</v>
      </c>
      <c r="D98" s="51" t="s">
        <v>382</v>
      </c>
      <c r="E98" s="51">
        <v>1</v>
      </c>
      <c r="F98" s="51" t="s">
        <v>267</v>
      </c>
      <c r="G98" s="54" t="s">
        <v>450</v>
      </c>
      <c r="H98" s="51" t="s">
        <v>205</v>
      </c>
      <c r="I98" s="52">
        <v>46290</v>
      </c>
      <c r="J98" s="52">
        <v>46266</v>
      </c>
      <c r="K98" s="51" t="s">
        <v>58</v>
      </c>
      <c r="L98" s="51" t="s">
        <v>58</v>
      </c>
      <c r="M98" s="53" t="s">
        <v>369</v>
      </c>
      <c r="N98" s="51" t="s">
        <v>374</v>
      </c>
      <c r="O98" s="51" t="s">
        <v>246</v>
      </c>
      <c r="P98" s="51"/>
      <c r="Q98" s="51"/>
      <c r="R98" s="51"/>
      <c r="S98" s="51"/>
      <c r="T98" s="51"/>
      <c r="U98" s="51"/>
      <c r="V98" s="51" t="s">
        <v>379</v>
      </c>
      <c r="W98" s="51"/>
    </row>
    <row r="99" spans="1:23" ht="20.100000000000001" hidden="1" customHeight="1" x14ac:dyDescent="0.25">
      <c r="A99" s="78">
        <v>1040</v>
      </c>
      <c r="B99" s="78" t="s">
        <v>63</v>
      </c>
      <c r="C99" s="51" t="s">
        <v>578</v>
      </c>
      <c r="D99" s="51" t="s">
        <v>382</v>
      </c>
      <c r="E99" s="51">
        <v>1</v>
      </c>
      <c r="F99" s="51" t="s">
        <v>267</v>
      </c>
      <c r="G99" s="54" t="s">
        <v>450</v>
      </c>
      <c r="H99" s="51" t="s">
        <v>208</v>
      </c>
      <c r="I99" s="52">
        <v>46290</v>
      </c>
      <c r="J99" s="52">
        <v>46266</v>
      </c>
      <c r="K99" s="51" t="s">
        <v>58</v>
      </c>
      <c r="L99" s="51" t="s">
        <v>58</v>
      </c>
      <c r="M99" s="53" t="s">
        <v>369</v>
      </c>
      <c r="N99" s="51" t="s">
        <v>374</v>
      </c>
      <c r="O99" s="51" t="s">
        <v>246</v>
      </c>
      <c r="P99" s="51"/>
      <c r="Q99" s="51"/>
      <c r="R99" s="51"/>
      <c r="S99" s="51"/>
      <c r="T99" s="51"/>
      <c r="U99" s="51"/>
      <c r="V99" s="51" t="s">
        <v>379</v>
      </c>
      <c r="W99" s="51"/>
    </row>
    <row r="100" spans="1:23" ht="20.100000000000001" hidden="1" customHeight="1" x14ac:dyDescent="0.25">
      <c r="A100" s="78">
        <v>1040</v>
      </c>
      <c r="B100" s="78" t="s">
        <v>63</v>
      </c>
      <c r="C100" s="51" t="s">
        <v>578</v>
      </c>
      <c r="D100" s="51" t="s">
        <v>382</v>
      </c>
      <c r="E100" s="51">
        <v>1</v>
      </c>
      <c r="F100" s="51" t="s">
        <v>267</v>
      </c>
      <c r="G100" s="54" t="s">
        <v>450</v>
      </c>
      <c r="H100" s="51" t="s">
        <v>248</v>
      </c>
      <c r="I100" s="52">
        <v>46426</v>
      </c>
      <c r="J100" s="52">
        <v>46388</v>
      </c>
      <c r="K100" s="51" t="s">
        <v>58</v>
      </c>
      <c r="L100" s="51" t="s">
        <v>58</v>
      </c>
      <c r="M100" s="51" t="s">
        <v>369</v>
      </c>
      <c r="N100" s="51" t="s">
        <v>374</v>
      </c>
      <c r="O100" s="51" t="s">
        <v>246</v>
      </c>
      <c r="P100" s="51"/>
      <c r="Q100" s="51"/>
      <c r="R100" s="51"/>
      <c r="S100" s="51"/>
      <c r="T100" s="51"/>
      <c r="U100" s="51"/>
      <c r="V100" s="51" t="s">
        <v>200</v>
      </c>
      <c r="W100" s="51"/>
    </row>
    <row r="101" spans="1:23" ht="20.100000000000001" hidden="1" customHeight="1" x14ac:dyDescent="0.25">
      <c r="A101" s="78">
        <v>1041</v>
      </c>
      <c r="B101" s="78" t="s">
        <v>63</v>
      </c>
      <c r="C101" s="51" t="s">
        <v>579</v>
      </c>
      <c r="D101" s="51" t="s">
        <v>382</v>
      </c>
      <c r="E101" s="51">
        <v>1</v>
      </c>
      <c r="F101" s="51" t="s">
        <v>260</v>
      </c>
      <c r="G101" s="51" t="s">
        <v>371</v>
      </c>
      <c r="H101" s="51" t="s">
        <v>204</v>
      </c>
      <c r="I101" s="52">
        <v>46416</v>
      </c>
      <c r="J101" s="52">
        <v>46388</v>
      </c>
      <c r="K101" s="51" t="s">
        <v>58</v>
      </c>
      <c r="L101" s="51" t="s">
        <v>580</v>
      </c>
      <c r="M101" s="51" t="s">
        <v>369</v>
      </c>
      <c r="N101" s="51" t="s">
        <v>374</v>
      </c>
      <c r="O101" s="51" t="s">
        <v>246</v>
      </c>
      <c r="P101" s="51"/>
      <c r="Q101" s="51"/>
      <c r="R101" s="51"/>
      <c r="S101" s="51"/>
      <c r="T101" s="51"/>
      <c r="U101" s="51"/>
      <c r="V101" s="51" t="s">
        <v>200</v>
      </c>
      <c r="W101" s="51"/>
    </row>
    <row r="102" spans="1:23" ht="20.100000000000001" hidden="1" customHeight="1" x14ac:dyDescent="0.25">
      <c r="A102" s="78">
        <v>1041</v>
      </c>
      <c r="B102" s="78" t="s">
        <v>63</v>
      </c>
      <c r="C102" s="51" t="s">
        <v>579</v>
      </c>
      <c r="D102" s="51" t="s">
        <v>382</v>
      </c>
      <c r="E102" s="51">
        <v>1</v>
      </c>
      <c r="F102" s="51" t="s">
        <v>260</v>
      </c>
      <c r="G102" s="51" t="s">
        <v>450</v>
      </c>
      <c r="H102" s="51" t="s">
        <v>204</v>
      </c>
      <c r="I102" s="52">
        <v>46660</v>
      </c>
      <c r="J102" s="52">
        <v>46388</v>
      </c>
      <c r="K102" s="51" t="s">
        <v>58</v>
      </c>
      <c r="L102" s="51" t="s">
        <v>581</v>
      </c>
      <c r="M102" s="53" t="s">
        <v>369</v>
      </c>
      <c r="N102" s="53" t="s">
        <v>374</v>
      </c>
      <c r="O102" s="53" t="s">
        <v>246</v>
      </c>
      <c r="P102" s="51"/>
      <c r="Q102" s="51"/>
      <c r="R102" s="51"/>
      <c r="S102" s="51"/>
      <c r="T102" s="51"/>
      <c r="U102" s="51"/>
      <c r="V102" s="51" t="s">
        <v>449</v>
      </c>
      <c r="W102" s="51"/>
    </row>
    <row r="103" spans="1:23" ht="20.100000000000001" hidden="1" customHeight="1" x14ac:dyDescent="0.25">
      <c r="A103" s="78">
        <v>1041</v>
      </c>
      <c r="B103" s="78" t="s">
        <v>63</v>
      </c>
      <c r="C103" s="51" t="s">
        <v>579</v>
      </c>
      <c r="D103" s="51" t="s">
        <v>382</v>
      </c>
      <c r="E103" s="51">
        <v>1</v>
      </c>
      <c r="F103" s="51" t="s">
        <v>260</v>
      </c>
      <c r="G103" s="51" t="s">
        <v>373</v>
      </c>
      <c r="H103" s="51" t="s">
        <v>204</v>
      </c>
      <c r="I103" s="52">
        <v>46429</v>
      </c>
      <c r="J103" s="52">
        <v>46388</v>
      </c>
      <c r="K103" s="51" t="s">
        <v>58</v>
      </c>
      <c r="L103" s="51" t="s">
        <v>582</v>
      </c>
      <c r="M103" s="51" t="s">
        <v>369</v>
      </c>
      <c r="N103" s="51" t="s">
        <v>374</v>
      </c>
      <c r="O103" s="51" t="s">
        <v>246</v>
      </c>
      <c r="P103" s="51"/>
      <c r="Q103" s="51"/>
      <c r="R103" s="51"/>
      <c r="S103" s="51"/>
      <c r="T103" s="51"/>
      <c r="U103" s="51"/>
      <c r="V103" s="51" t="s">
        <v>200</v>
      </c>
      <c r="W103" s="51"/>
    </row>
    <row r="104" spans="1:23" ht="20.100000000000001" hidden="1" customHeight="1" x14ac:dyDescent="0.25">
      <c r="A104" s="78">
        <v>1041</v>
      </c>
      <c r="B104" s="78" t="s">
        <v>63</v>
      </c>
      <c r="C104" s="51" t="s">
        <v>579</v>
      </c>
      <c r="D104" s="51" t="s">
        <v>382</v>
      </c>
      <c r="E104" s="51">
        <v>1</v>
      </c>
      <c r="F104" s="51" t="s">
        <v>267</v>
      </c>
      <c r="G104" s="51" t="s">
        <v>371</v>
      </c>
      <c r="H104" s="51" t="s">
        <v>205</v>
      </c>
      <c r="I104" s="52">
        <v>46416</v>
      </c>
      <c r="J104" s="52">
        <v>46388</v>
      </c>
      <c r="K104" s="51" t="s">
        <v>58</v>
      </c>
      <c r="L104" s="51">
        <v>26</v>
      </c>
      <c r="M104" s="51" t="s">
        <v>369</v>
      </c>
      <c r="N104" s="51" t="s">
        <v>374</v>
      </c>
      <c r="O104" s="51" t="s">
        <v>246</v>
      </c>
      <c r="P104" s="51"/>
      <c r="Q104" s="51"/>
      <c r="R104" s="51"/>
      <c r="S104" s="51"/>
      <c r="T104" s="51"/>
      <c r="U104" s="51"/>
      <c r="V104" s="51" t="s">
        <v>200</v>
      </c>
      <c r="W104" s="51"/>
    </row>
    <row r="105" spans="1:23" ht="20.100000000000001" hidden="1" customHeight="1" x14ac:dyDescent="0.25">
      <c r="A105" s="78">
        <v>1041</v>
      </c>
      <c r="B105" s="78" t="s">
        <v>63</v>
      </c>
      <c r="C105" s="51" t="s">
        <v>579</v>
      </c>
      <c r="D105" s="51" t="s">
        <v>382</v>
      </c>
      <c r="E105" s="51">
        <v>1</v>
      </c>
      <c r="F105" s="51" t="s">
        <v>267</v>
      </c>
      <c r="G105" s="51" t="s">
        <v>450</v>
      </c>
      <c r="H105" s="51" t="s">
        <v>205</v>
      </c>
      <c r="I105" s="52">
        <v>46295</v>
      </c>
      <c r="J105" s="52">
        <v>46388</v>
      </c>
      <c r="K105" s="51" t="s">
        <v>58</v>
      </c>
      <c r="L105" s="51">
        <v>12</v>
      </c>
      <c r="M105" s="51" t="s">
        <v>369</v>
      </c>
      <c r="N105" s="51" t="s">
        <v>374</v>
      </c>
      <c r="O105" s="51" t="s">
        <v>246</v>
      </c>
      <c r="P105" s="51"/>
      <c r="Q105" s="51"/>
      <c r="R105" s="51"/>
      <c r="S105" s="51"/>
      <c r="T105" s="51"/>
      <c r="U105" s="51"/>
      <c r="V105" s="51" t="s">
        <v>200</v>
      </c>
      <c r="W105" s="51"/>
    </row>
    <row r="106" spans="1:23" ht="20.100000000000001" hidden="1" customHeight="1" x14ac:dyDescent="0.25">
      <c r="A106" s="78">
        <v>1041</v>
      </c>
      <c r="B106" s="78" t="s">
        <v>63</v>
      </c>
      <c r="C106" s="51" t="s">
        <v>579</v>
      </c>
      <c r="D106" s="51" t="s">
        <v>382</v>
      </c>
      <c r="E106" s="51">
        <v>1</v>
      </c>
      <c r="F106" s="51" t="s">
        <v>267</v>
      </c>
      <c r="G106" s="51" t="s">
        <v>373</v>
      </c>
      <c r="H106" s="51" t="s">
        <v>205</v>
      </c>
      <c r="I106" s="52">
        <v>46304</v>
      </c>
      <c r="J106" s="52">
        <v>46388</v>
      </c>
      <c r="K106" s="51" t="s">
        <v>58</v>
      </c>
      <c r="L106" s="51">
        <v>34</v>
      </c>
      <c r="M106" s="51" t="s">
        <v>369</v>
      </c>
      <c r="N106" s="51" t="s">
        <v>374</v>
      </c>
      <c r="O106" s="51" t="s">
        <v>246</v>
      </c>
      <c r="P106" s="51"/>
      <c r="Q106" s="51"/>
      <c r="R106" s="51"/>
      <c r="S106" s="51"/>
      <c r="T106" s="51"/>
      <c r="U106" s="51"/>
      <c r="V106" s="51" t="s">
        <v>200</v>
      </c>
      <c r="W106" s="51"/>
    </row>
    <row r="107" spans="1:23" ht="20.100000000000001" hidden="1" customHeight="1" x14ac:dyDescent="0.25">
      <c r="A107" s="78">
        <v>1041</v>
      </c>
      <c r="B107" s="78" t="s">
        <v>63</v>
      </c>
      <c r="C107" s="51" t="s">
        <v>579</v>
      </c>
      <c r="D107" s="51" t="s">
        <v>382</v>
      </c>
      <c r="E107" s="51">
        <v>1</v>
      </c>
      <c r="F107" s="51" t="s">
        <v>267</v>
      </c>
      <c r="G107" s="51" t="s">
        <v>371</v>
      </c>
      <c r="H107" s="51" t="s">
        <v>206</v>
      </c>
      <c r="I107" s="52">
        <v>46416</v>
      </c>
      <c r="J107" s="52">
        <v>46388</v>
      </c>
      <c r="K107" s="51" t="s">
        <v>58</v>
      </c>
      <c r="L107" s="51">
        <v>9</v>
      </c>
      <c r="M107" s="51" t="s">
        <v>369</v>
      </c>
      <c r="N107" s="51" t="s">
        <v>374</v>
      </c>
      <c r="O107" s="51" t="s">
        <v>246</v>
      </c>
      <c r="P107" s="51"/>
      <c r="Q107" s="51"/>
      <c r="R107" s="51"/>
      <c r="S107" s="51"/>
      <c r="T107" s="51"/>
      <c r="U107" s="51"/>
      <c r="V107" s="51" t="s">
        <v>200</v>
      </c>
      <c r="W107" s="51"/>
    </row>
    <row r="108" spans="1:23" ht="20.100000000000001" hidden="1" customHeight="1" x14ac:dyDescent="0.25">
      <c r="A108" s="78">
        <v>1041</v>
      </c>
      <c r="B108" s="78" t="s">
        <v>63</v>
      </c>
      <c r="C108" s="51" t="s">
        <v>579</v>
      </c>
      <c r="D108" s="51" t="s">
        <v>382</v>
      </c>
      <c r="E108" s="51">
        <v>1</v>
      </c>
      <c r="F108" s="51" t="s">
        <v>267</v>
      </c>
      <c r="G108" s="51" t="s">
        <v>450</v>
      </c>
      <c r="H108" s="51" t="s">
        <v>206</v>
      </c>
      <c r="I108" s="51" t="s">
        <v>587</v>
      </c>
      <c r="J108" s="52">
        <v>46388</v>
      </c>
      <c r="K108" s="51" t="s">
        <v>58</v>
      </c>
      <c r="L108" s="51">
        <v>21</v>
      </c>
      <c r="M108" s="51" t="s">
        <v>369</v>
      </c>
      <c r="N108" s="51" t="s">
        <v>374</v>
      </c>
      <c r="O108" s="51" t="s">
        <v>246</v>
      </c>
      <c r="P108" s="51"/>
      <c r="Q108" s="51"/>
      <c r="R108" s="51"/>
      <c r="S108" s="51"/>
      <c r="T108" s="51"/>
      <c r="U108" s="51"/>
      <c r="V108" s="51" t="s">
        <v>200</v>
      </c>
      <c r="W108" s="51"/>
    </row>
    <row r="109" spans="1:23" ht="20.100000000000001" hidden="1" customHeight="1" x14ac:dyDescent="0.25">
      <c r="A109" s="78">
        <v>1041</v>
      </c>
      <c r="B109" s="78" t="s">
        <v>63</v>
      </c>
      <c r="C109" s="51" t="s">
        <v>579</v>
      </c>
      <c r="D109" s="51" t="s">
        <v>382</v>
      </c>
      <c r="E109" s="51">
        <v>1</v>
      </c>
      <c r="F109" s="51" t="s">
        <v>267</v>
      </c>
      <c r="G109" s="51" t="s">
        <v>373</v>
      </c>
      <c r="H109" s="51" t="s">
        <v>206</v>
      </c>
      <c r="I109" s="52">
        <v>46304</v>
      </c>
      <c r="J109" s="52">
        <v>46388</v>
      </c>
      <c r="K109" s="51" t="s">
        <v>58</v>
      </c>
      <c r="L109" s="51">
        <v>16</v>
      </c>
      <c r="M109" s="51" t="s">
        <v>369</v>
      </c>
      <c r="N109" s="51" t="s">
        <v>374</v>
      </c>
      <c r="O109" s="51" t="s">
        <v>246</v>
      </c>
      <c r="P109" s="51"/>
      <c r="Q109" s="51"/>
      <c r="R109" s="51"/>
      <c r="S109" s="51"/>
      <c r="T109" s="51"/>
      <c r="U109" s="51"/>
      <c r="V109" s="51" t="s">
        <v>200</v>
      </c>
      <c r="W109" s="51"/>
    </row>
    <row r="110" spans="1:23" ht="20.100000000000001" hidden="1" customHeight="1" x14ac:dyDescent="0.25">
      <c r="A110" s="78">
        <v>1041</v>
      </c>
      <c r="B110" s="78" t="s">
        <v>63</v>
      </c>
      <c r="C110" s="51" t="s">
        <v>579</v>
      </c>
      <c r="D110" s="51" t="s">
        <v>382</v>
      </c>
      <c r="E110" s="51">
        <v>1</v>
      </c>
      <c r="F110" s="51" t="s">
        <v>267</v>
      </c>
      <c r="G110" s="51" t="s">
        <v>371</v>
      </c>
      <c r="H110" s="51" t="s">
        <v>207</v>
      </c>
      <c r="I110" s="52">
        <v>46286</v>
      </c>
      <c r="J110" s="52">
        <v>46388</v>
      </c>
      <c r="K110" s="51" t="s">
        <v>58</v>
      </c>
      <c r="L110" s="51">
        <v>20</v>
      </c>
      <c r="M110" s="51" t="s">
        <v>369</v>
      </c>
      <c r="N110" s="51" t="s">
        <v>374</v>
      </c>
      <c r="O110" s="51" t="s">
        <v>246</v>
      </c>
      <c r="P110" s="51"/>
      <c r="Q110" s="51"/>
      <c r="R110" s="51"/>
      <c r="S110" s="51"/>
      <c r="T110" s="51"/>
      <c r="U110" s="51"/>
      <c r="V110" s="51" t="s">
        <v>200</v>
      </c>
      <c r="W110" s="51"/>
    </row>
    <row r="111" spans="1:23" ht="20.100000000000001" hidden="1" customHeight="1" x14ac:dyDescent="0.25">
      <c r="A111" s="78">
        <v>1041</v>
      </c>
      <c r="B111" s="78" t="s">
        <v>63</v>
      </c>
      <c r="C111" s="51" t="s">
        <v>579</v>
      </c>
      <c r="D111" s="51" t="s">
        <v>382</v>
      </c>
      <c r="E111" s="51">
        <v>1</v>
      </c>
      <c r="F111" s="51" t="s">
        <v>267</v>
      </c>
      <c r="G111" s="51" t="s">
        <v>450</v>
      </c>
      <c r="H111" s="51" t="s">
        <v>207</v>
      </c>
      <c r="I111" s="52">
        <v>46295</v>
      </c>
      <c r="J111" s="52">
        <v>46388</v>
      </c>
      <c r="K111" s="51" t="s">
        <v>58</v>
      </c>
      <c r="L111" s="51">
        <v>28</v>
      </c>
      <c r="M111" s="51" t="s">
        <v>369</v>
      </c>
      <c r="N111" s="51" t="s">
        <v>374</v>
      </c>
      <c r="O111" s="51" t="s">
        <v>246</v>
      </c>
      <c r="P111" s="51"/>
      <c r="Q111" s="51"/>
      <c r="R111" s="51"/>
      <c r="S111" s="51"/>
      <c r="T111" s="51"/>
      <c r="U111" s="51"/>
      <c r="V111" s="51" t="s">
        <v>200</v>
      </c>
      <c r="W111" s="51"/>
    </row>
    <row r="112" spans="1:23" ht="20.100000000000001" hidden="1" customHeight="1" x14ac:dyDescent="0.25">
      <c r="A112" s="78">
        <v>1041</v>
      </c>
      <c r="B112" s="78" t="s">
        <v>63</v>
      </c>
      <c r="C112" s="51" t="s">
        <v>579</v>
      </c>
      <c r="D112" s="51" t="s">
        <v>382</v>
      </c>
      <c r="E112" s="51">
        <v>1</v>
      </c>
      <c r="F112" s="51" t="s">
        <v>267</v>
      </c>
      <c r="G112" s="51" t="s">
        <v>373</v>
      </c>
      <c r="H112" s="51" t="s">
        <v>207</v>
      </c>
      <c r="I112" s="52">
        <v>46437</v>
      </c>
      <c r="J112" s="52">
        <v>46388</v>
      </c>
      <c r="K112" s="51" t="s">
        <v>58</v>
      </c>
      <c r="L112" s="51">
        <v>37</v>
      </c>
      <c r="M112" s="51" t="s">
        <v>369</v>
      </c>
      <c r="N112" s="51" t="s">
        <v>374</v>
      </c>
      <c r="O112" s="51" t="s">
        <v>246</v>
      </c>
      <c r="P112" s="51"/>
      <c r="Q112" s="51"/>
      <c r="R112" s="51"/>
      <c r="S112" s="51"/>
      <c r="T112" s="51"/>
      <c r="U112" s="51"/>
      <c r="V112" s="51" t="s">
        <v>200</v>
      </c>
      <c r="W112" s="51"/>
    </row>
    <row r="113" spans="1:23" ht="20.100000000000001" hidden="1" customHeight="1" x14ac:dyDescent="0.25">
      <c r="A113" s="78">
        <v>1041</v>
      </c>
      <c r="B113" s="78" t="s">
        <v>63</v>
      </c>
      <c r="C113" s="51" t="s">
        <v>579</v>
      </c>
      <c r="D113" s="51" t="s">
        <v>382</v>
      </c>
      <c r="E113" s="51">
        <v>1</v>
      </c>
      <c r="F113" s="51" t="s">
        <v>267</v>
      </c>
      <c r="G113" s="51" t="s">
        <v>371</v>
      </c>
      <c r="H113" s="51" t="s">
        <v>208</v>
      </c>
      <c r="I113" s="52">
        <v>46423</v>
      </c>
      <c r="J113" s="52">
        <v>46388</v>
      </c>
      <c r="K113" s="51" t="s">
        <v>58</v>
      </c>
      <c r="L113" s="51">
        <v>35</v>
      </c>
      <c r="M113" s="51" t="s">
        <v>369</v>
      </c>
      <c r="N113" s="51" t="s">
        <v>374</v>
      </c>
      <c r="O113" s="51" t="s">
        <v>246</v>
      </c>
      <c r="P113" s="51"/>
      <c r="Q113" s="51"/>
      <c r="R113" s="51"/>
      <c r="S113" s="51"/>
      <c r="T113" s="51"/>
      <c r="U113" s="51"/>
      <c r="V113" s="51" t="s">
        <v>200</v>
      </c>
      <c r="W113" s="51"/>
    </row>
    <row r="114" spans="1:23" ht="20.100000000000001" hidden="1" customHeight="1" x14ac:dyDescent="0.25">
      <c r="A114" s="78">
        <v>1041</v>
      </c>
      <c r="B114" s="78" t="s">
        <v>63</v>
      </c>
      <c r="C114" s="51" t="s">
        <v>579</v>
      </c>
      <c r="D114" s="51" t="s">
        <v>382</v>
      </c>
      <c r="E114" s="51">
        <v>1</v>
      </c>
      <c r="F114" s="51" t="s">
        <v>267</v>
      </c>
      <c r="G114" s="51" t="s">
        <v>450</v>
      </c>
      <c r="H114" s="51" t="s">
        <v>208</v>
      </c>
      <c r="I114" s="52">
        <v>46427</v>
      </c>
      <c r="J114" s="52">
        <v>46388</v>
      </c>
      <c r="K114" s="51" t="s">
        <v>58</v>
      </c>
      <c r="L114" s="51">
        <v>5</v>
      </c>
      <c r="M114" s="51" t="s">
        <v>369</v>
      </c>
      <c r="N114" s="51" t="s">
        <v>374</v>
      </c>
      <c r="O114" s="51" t="s">
        <v>246</v>
      </c>
      <c r="P114" s="51"/>
      <c r="Q114" s="51"/>
      <c r="R114" s="51"/>
      <c r="S114" s="51"/>
      <c r="T114" s="51"/>
      <c r="U114" s="51"/>
      <c r="V114" s="51" t="s">
        <v>200</v>
      </c>
      <c r="W114" s="51"/>
    </row>
    <row r="115" spans="1:23" ht="20.100000000000001" hidden="1" customHeight="1" x14ac:dyDescent="0.25">
      <c r="A115" s="78">
        <v>1041</v>
      </c>
      <c r="B115" s="78" t="s">
        <v>63</v>
      </c>
      <c r="C115" s="51" t="s">
        <v>579</v>
      </c>
      <c r="D115" s="51" t="s">
        <v>382</v>
      </c>
      <c r="E115" s="51">
        <v>1</v>
      </c>
      <c r="F115" s="51" t="s">
        <v>267</v>
      </c>
      <c r="G115" s="51" t="s">
        <v>373</v>
      </c>
      <c r="H115" s="51" t="s">
        <v>208</v>
      </c>
      <c r="I115" s="52">
        <v>46437</v>
      </c>
      <c r="J115" s="52">
        <v>46388</v>
      </c>
      <c r="K115" s="51" t="s">
        <v>58</v>
      </c>
      <c r="L115" s="51">
        <v>23</v>
      </c>
      <c r="M115" s="51" t="s">
        <v>369</v>
      </c>
      <c r="N115" s="51" t="s">
        <v>374</v>
      </c>
      <c r="O115" s="51" t="s">
        <v>246</v>
      </c>
      <c r="P115" s="51"/>
      <c r="Q115" s="51"/>
      <c r="R115" s="51"/>
      <c r="S115" s="51"/>
      <c r="T115" s="51"/>
      <c r="U115" s="51"/>
      <c r="V115" s="51" t="s">
        <v>200</v>
      </c>
      <c r="W115" s="51"/>
    </row>
    <row r="116" spans="1:23" ht="20.100000000000001" hidden="1" customHeight="1" x14ac:dyDescent="0.25">
      <c r="A116" s="78">
        <v>1041</v>
      </c>
      <c r="B116" s="78" t="s">
        <v>63</v>
      </c>
      <c r="C116" s="51" t="s">
        <v>579</v>
      </c>
      <c r="D116" s="51" t="s">
        <v>382</v>
      </c>
      <c r="E116" s="51">
        <v>1</v>
      </c>
      <c r="F116" s="51" t="s">
        <v>263</v>
      </c>
      <c r="G116" s="51" t="s">
        <v>371</v>
      </c>
      <c r="H116" s="51" t="s">
        <v>248</v>
      </c>
      <c r="I116" s="52">
        <v>46426</v>
      </c>
      <c r="J116" s="52">
        <v>46388</v>
      </c>
      <c r="K116" s="51" t="s">
        <v>58</v>
      </c>
      <c r="L116" s="51" t="s">
        <v>583</v>
      </c>
      <c r="M116" s="51" t="s">
        <v>369</v>
      </c>
      <c r="N116" s="51" t="s">
        <v>374</v>
      </c>
      <c r="O116" s="51" t="s">
        <v>246</v>
      </c>
      <c r="P116" s="51"/>
      <c r="Q116" s="51"/>
      <c r="R116" s="51"/>
      <c r="S116" s="51"/>
      <c r="T116" s="51"/>
      <c r="U116" s="51"/>
      <c r="V116" s="51" t="s">
        <v>200</v>
      </c>
      <c r="W116" s="51"/>
    </row>
    <row r="117" spans="1:23" ht="20.100000000000001" hidden="1" customHeight="1" x14ac:dyDescent="0.25">
      <c r="A117" s="78">
        <v>1041</v>
      </c>
      <c r="B117" s="78" t="s">
        <v>63</v>
      </c>
      <c r="C117" s="51" t="s">
        <v>579</v>
      </c>
      <c r="D117" s="51" t="s">
        <v>382</v>
      </c>
      <c r="E117" s="51">
        <v>1</v>
      </c>
      <c r="F117" s="51" t="s">
        <v>263</v>
      </c>
      <c r="G117" s="51" t="s">
        <v>450</v>
      </c>
      <c r="H117" s="51" t="s">
        <v>248</v>
      </c>
      <c r="I117" s="52">
        <v>46426</v>
      </c>
      <c r="J117" s="52">
        <v>46388</v>
      </c>
      <c r="K117" s="51" t="s">
        <v>58</v>
      </c>
      <c r="L117" s="51" t="s">
        <v>584</v>
      </c>
      <c r="M117" s="51" t="s">
        <v>369</v>
      </c>
      <c r="N117" s="51" t="s">
        <v>374</v>
      </c>
      <c r="O117" s="51" t="s">
        <v>246</v>
      </c>
      <c r="P117" s="51"/>
      <c r="Q117" s="51"/>
      <c r="R117" s="51"/>
      <c r="S117" s="51"/>
      <c r="T117" s="51"/>
      <c r="U117" s="51"/>
      <c r="V117" s="51" t="s">
        <v>200</v>
      </c>
      <c r="W117" s="51"/>
    </row>
    <row r="118" spans="1:23" ht="20.100000000000001" hidden="1" customHeight="1" x14ac:dyDescent="0.25">
      <c r="A118" s="78">
        <v>1041</v>
      </c>
      <c r="B118" s="78" t="s">
        <v>63</v>
      </c>
      <c r="C118" s="51" t="s">
        <v>579</v>
      </c>
      <c r="D118" s="51" t="s">
        <v>382</v>
      </c>
      <c r="E118" s="51">
        <v>1</v>
      </c>
      <c r="F118" s="51" t="s">
        <v>263</v>
      </c>
      <c r="G118" s="51" t="s">
        <v>373</v>
      </c>
      <c r="H118" s="51" t="s">
        <v>248</v>
      </c>
      <c r="I118" s="52">
        <v>46227</v>
      </c>
      <c r="J118" s="52">
        <v>46388</v>
      </c>
      <c r="K118" s="51" t="s">
        <v>58</v>
      </c>
      <c r="L118" s="51" t="s">
        <v>585</v>
      </c>
      <c r="M118" s="53" t="s">
        <v>451</v>
      </c>
      <c r="N118" s="53" t="s">
        <v>374</v>
      </c>
      <c r="O118" s="51"/>
      <c r="P118" s="51"/>
      <c r="Q118" s="51"/>
      <c r="R118" s="51"/>
      <c r="S118" s="51"/>
      <c r="T118" s="51"/>
      <c r="U118" s="51"/>
      <c r="V118" s="51" t="s">
        <v>256</v>
      </c>
      <c r="W118" s="51" t="s">
        <v>586</v>
      </c>
    </row>
    <row r="119" spans="1:23" ht="20.100000000000001" customHeight="1" x14ac:dyDescent="0.25"/>
    <row r="120" spans="1:23" ht="20.100000000000001" customHeight="1" x14ac:dyDescent="0.25"/>
    <row r="121" spans="1:23" ht="20.100000000000001" customHeight="1" x14ac:dyDescent="0.25"/>
    <row r="122" spans="1:23" ht="20.100000000000001" customHeight="1" x14ac:dyDescent="0.25"/>
    <row r="123" spans="1:23" ht="20.100000000000001" customHeight="1" x14ac:dyDescent="0.25"/>
    <row r="124" spans="1:23" ht="20.100000000000001" customHeight="1" x14ac:dyDescent="0.25"/>
    <row r="125" spans="1:23" ht="20.100000000000001" customHeight="1" x14ac:dyDescent="0.25"/>
    <row r="126" spans="1:23" ht="20.100000000000001" customHeight="1" x14ac:dyDescent="0.25"/>
    <row r="127" spans="1:23" ht="20.100000000000001" customHeight="1" x14ac:dyDescent="0.25"/>
    <row r="128" spans="1:23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</sheetData>
  <conditionalFormatting sqref="A53:A66">
    <cfRule type="containsText" dxfId="36" priority="25" operator="containsText" text="encamisado">
      <formula>NOT(ISERROR(SEARCH("encamisado",A53)))</formula>
    </cfRule>
    <cfRule type="containsText" dxfId="35" priority="26" operator="containsText" text="pronto">
      <formula>NOT(ISERROR(SEARCH("pronto",A53)))</formula>
    </cfRule>
    <cfRule type="expression" dxfId="34" priority="27">
      <formula>$P53="s"</formula>
    </cfRule>
  </conditionalFormatting>
  <conditionalFormatting sqref="A78:A89">
    <cfRule type="containsText" dxfId="33" priority="1" operator="containsText" text="encamisado">
      <formula>NOT(ISERROR(SEARCH("encamisado",A78)))</formula>
    </cfRule>
    <cfRule type="containsText" dxfId="32" priority="2" operator="containsText" text="pronto">
      <formula>NOT(ISERROR(SEARCH("pronto",A78)))</formula>
    </cfRule>
    <cfRule type="expression" dxfId="31" priority="3">
      <formula>$P78="s"</formula>
    </cfRule>
  </conditionalFormatting>
  <conditionalFormatting sqref="C69">
    <cfRule type="containsText" dxfId="30" priority="22" operator="containsText" text="encamisado">
      <formula>NOT(ISERROR(SEARCH("encamisado",C69)))</formula>
    </cfRule>
    <cfRule type="containsText" dxfId="29" priority="23" operator="containsText" text="pronto">
      <formula>NOT(ISERROR(SEARCH("pronto",C69)))</formula>
    </cfRule>
    <cfRule type="expression" dxfId="28" priority="24">
      <formula>$P69="s"</formula>
    </cfRule>
  </conditionalFormatting>
  <conditionalFormatting sqref="C74:C89">
    <cfRule type="containsText" dxfId="27" priority="4" operator="containsText" text="encamisado">
      <formula>NOT(ISERROR(SEARCH("encamisado",C74)))</formula>
    </cfRule>
    <cfRule type="containsText" dxfId="26" priority="5" operator="containsText" text="pronto">
      <formula>NOT(ISERROR(SEARCH("pronto",C74)))</formula>
    </cfRule>
    <cfRule type="expression" dxfId="25" priority="6">
      <formula>$P74="s"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F04C-E101-46F3-A942-AC61D67D9938}">
  <sheetPr filterMode="1"/>
  <dimension ref="A1:R54"/>
  <sheetViews>
    <sheetView view="pageBreakPreview" zoomScaleNormal="100" zoomScaleSheetLayoutView="100" workbookViewId="0">
      <selection activeCell="E65" sqref="E65"/>
    </sheetView>
  </sheetViews>
  <sheetFormatPr defaultRowHeight="15" x14ac:dyDescent="0.25"/>
  <cols>
    <col min="1" max="1" width="8" style="8" customWidth="1"/>
    <col min="2" max="2" width="4.7109375" style="8" bestFit="1" customWidth="1"/>
    <col min="3" max="3" width="22.28515625" style="25" customWidth="1"/>
    <col min="4" max="4" width="9.85546875" style="8" bestFit="1" customWidth="1"/>
    <col min="5" max="5" width="52.28515625" style="25" bestFit="1" customWidth="1"/>
    <col min="6" max="6" width="6.42578125" style="8" customWidth="1"/>
    <col min="7" max="7" width="14.140625" style="8" bestFit="1" customWidth="1"/>
    <col min="8" max="8" width="15.28515625" style="8" bestFit="1" customWidth="1"/>
    <col min="9" max="9" width="14" style="8" customWidth="1"/>
    <col min="10" max="16" width="16.7109375" style="8" customWidth="1"/>
    <col min="17" max="17" width="16.85546875" style="8" customWidth="1"/>
    <col min="18" max="18" width="13.42578125" customWidth="1"/>
  </cols>
  <sheetData>
    <row r="1" spans="1:18" s="8" customFormat="1" ht="27" customHeight="1" x14ac:dyDescent="0.25">
      <c r="A1" s="18" t="s">
        <v>0</v>
      </c>
      <c r="B1" s="18" t="s">
        <v>1</v>
      </c>
      <c r="C1" s="18" t="s">
        <v>3</v>
      </c>
      <c r="D1" s="18" t="s">
        <v>4</v>
      </c>
      <c r="E1" s="18" t="s">
        <v>100</v>
      </c>
      <c r="F1" s="18" t="s">
        <v>171</v>
      </c>
      <c r="G1" s="19" t="s">
        <v>172</v>
      </c>
      <c r="H1" s="19" t="s">
        <v>165</v>
      </c>
      <c r="I1" s="19" t="s">
        <v>164</v>
      </c>
      <c r="J1" s="19" t="s">
        <v>166</v>
      </c>
      <c r="K1" s="19" t="s">
        <v>167</v>
      </c>
      <c r="L1" s="19" t="s">
        <v>168</v>
      </c>
      <c r="M1" s="19" t="s">
        <v>336</v>
      </c>
      <c r="N1" s="19" t="s">
        <v>169</v>
      </c>
      <c r="O1" s="19" t="s">
        <v>170</v>
      </c>
      <c r="P1" s="19" t="s">
        <v>101</v>
      </c>
      <c r="Q1" s="19" t="s">
        <v>102</v>
      </c>
      <c r="R1" s="19" t="s">
        <v>59</v>
      </c>
    </row>
    <row r="2" spans="1:18" hidden="1" x14ac:dyDescent="0.25">
      <c r="A2" s="20">
        <v>27108</v>
      </c>
      <c r="B2" s="20">
        <v>1</v>
      </c>
      <c r="C2" s="21" t="s">
        <v>146</v>
      </c>
      <c r="D2" s="20">
        <v>299368</v>
      </c>
      <c r="E2" s="59" t="s">
        <v>177</v>
      </c>
      <c r="F2" s="46">
        <v>1</v>
      </c>
      <c r="G2" s="22">
        <v>45964</v>
      </c>
      <c r="H2" s="22">
        <v>46220</v>
      </c>
      <c r="I2" s="22"/>
      <c r="J2" s="22">
        <v>46227</v>
      </c>
      <c r="K2" s="22"/>
      <c r="L2" s="22" t="s">
        <v>63</v>
      </c>
      <c r="M2" s="22" t="s">
        <v>63</v>
      </c>
      <c r="N2" s="22" t="s">
        <v>63</v>
      </c>
      <c r="O2" s="22" t="s">
        <v>63</v>
      </c>
      <c r="P2" s="22" t="s">
        <v>48</v>
      </c>
      <c r="Q2" s="20">
        <v>285</v>
      </c>
      <c r="R2" s="47" t="s">
        <v>333</v>
      </c>
    </row>
    <row r="3" spans="1:18" hidden="1" x14ac:dyDescent="0.25">
      <c r="A3" s="20">
        <v>27330</v>
      </c>
      <c r="B3" s="20">
        <v>1</v>
      </c>
      <c r="C3" s="21" t="s">
        <v>146</v>
      </c>
      <c r="D3" s="20">
        <v>299368</v>
      </c>
      <c r="E3" s="59" t="s">
        <v>177</v>
      </c>
      <c r="F3" s="46">
        <v>1</v>
      </c>
      <c r="G3" s="22">
        <v>46108</v>
      </c>
      <c r="H3" s="22">
        <v>46220</v>
      </c>
      <c r="I3" s="22"/>
      <c r="J3" s="22">
        <v>46227</v>
      </c>
      <c r="K3" s="22"/>
      <c r="L3" s="22" t="s">
        <v>63</v>
      </c>
      <c r="M3" s="22" t="s">
        <v>63</v>
      </c>
      <c r="N3" s="22" t="s">
        <v>63</v>
      </c>
      <c r="O3" s="22" t="s">
        <v>63</v>
      </c>
      <c r="P3" s="22" t="s">
        <v>48</v>
      </c>
      <c r="Q3" s="20">
        <v>285</v>
      </c>
      <c r="R3" s="47" t="s">
        <v>333</v>
      </c>
    </row>
    <row r="4" spans="1:18" hidden="1" x14ac:dyDescent="0.25">
      <c r="A4" s="44">
        <v>27507</v>
      </c>
      <c r="B4" s="44">
        <v>1</v>
      </c>
      <c r="C4" s="45" t="s">
        <v>147</v>
      </c>
      <c r="D4" s="20">
        <v>1449018</v>
      </c>
      <c r="E4" s="21" t="s">
        <v>178</v>
      </c>
      <c r="F4" s="46">
        <v>1</v>
      </c>
      <c r="G4" s="22">
        <v>46209</v>
      </c>
      <c r="H4" s="22">
        <v>46196</v>
      </c>
      <c r="I4" s="22">
        <v>46196</v>
      </c>
      <c r="J4" s="22">
        <v>46202</v>
      </c>
      <c r="K4" s="22">
        <v>46196</v>
      </c>
      <c r="L4" s="22">
        <v>46206</v>
      </c>
      <c r="M4" s="22">
        <v>46206</v>
      </c>
      <c r="N4" s="22">
        <v>46209</v>
      </c>
      <c r="O4" s="22">
        <v>46206</v>
      </c>
      <c r="P4" s="22" t="s">
        <v>326</v>
      </c>
      <c r="Q4" s="20">
        <v>496</v>
      </c>
      <c r="R4" s="47"/>
    </row>
    <row r="5" spans="1:18" hidden="1" x14ac:dyDescent="0.25">
      <c r="A5" s="44">
        <v>27507</v>
      </c>
      <c r="B5" s="44">
        <v>2</v>
      </c>
      <c r="C5" s="45" t="s">
        <v>147</v>
      </c>
      <c r="D5" s="20">
        <v>1449018</v>
      </c>
      <c r="E5" s="21" t="s">
        <v>178</v>
      </c>
      <c r="F5" s="46">
        <v>1</v>
      </c>
      <c r="G5" s="22">
        <v>46211</v>
      </c>
      <c r="H5" s="22">
        <v>46196</v>
      </c>
      <c r="I5" s="22">
        <v>46196</v>
      </c>
      <c r="J5" s="22">
        <v>46202</v>
      </c>
      <c r="K5" s="22">
        <v>46196</v>
      </c>
      <c r="L5" s="22">
        <v>46209</v>
      </c>
      <c r="M5" s="22">
        <v>46209</v>
      </c>
      <c r="N5" s="22">
        <v>46210</v>
      </c>
      <c r="O5" s="22">
        <v>46211</v>
      </c>
      <c r="P5" s="22" t="s">
        <v>326</v>
      </c>
      <c r="Q5" s="20">
        <v>496</v>
      </c>
      <c r="R5" s="47"/>
    </row>
    <row r="6" spans="1:18" hidden="1" x14ac:dyDescent="0.25">
      <c r="A6" s="44">
        <v>27473</v>
      </c>
      <c r="B6" s="44">
        <v>1</v>
      </c>
      <c r="C6" s="45" t="s">
        <v>148</v>
      </c>
      <c r="D6" s="20">
        <v>1281005</v>
      </c>
      <c r="E6" s="21" t="s">
        <v>173</v>
      </c>
      <c r="F6" s="46">
        <v>1</v>
      </c>
      <c r="G6" s="22">
        <v>46219</v>
      </c>
      <c r="H6" s="22">
        <v>46196</v>
      </c>
      <c r="I6" s="22">
        <v>46196</v>
      </c>
      <c r="J6" s="22">
        <v>46219</v>
      </c>
      <c r="K6" s="22"/>
      <c r="L6" s="22" t="s">
        <v>63</v>
      </c>
      <c r="M6" s="22" t="s">
        <v>63</v>
      </c>
      <c r="N6" s="22" t="s">
        <v>63</v>
      </c>
      <c r="O6" s="22" t="s">
        <v>63</v>
      </c>
      <c r="P6" s="22" t="s">
        <v>327</v>
      </c>
      <c r="Q6" s="20" t="s">
        <v>157</v>
      </c>
      <c r="R6" s="47" t="s">
        <v>329</v>
      </c>
    </row>
    <row r="7" spans="1:18" hidden="1" x14ac:dyDescent="0.25">
      <c r="A7" s="44">
        <v>27473</v>
      </c>
      <c r="B7" s="44">
        <v>2</v>
      </c>
      <c r="C7" s="45" t="s">
        <v>148</v>
      </c>
      <c r="D7" s="20">
        <v>1281006</v>
      </c>
      <c r="E7" s="21" t="s">
        <v>174</v>
      </c>
      <c r="F7" s="46">
        <v>1</v>
      </c>
      <c r="G7" s="22">
        <v>46219</v>
      </c>
      <c r="H7" s="22">
        <v>46192</v>
      </c>
      <c r="I7" s="22">
        <v>46196</v>
      </c>
      <c r="J7" s="22">
        <v>46219</v>
      </c>
      <c r="K7" s="22">
        <v>46206</v>
      </c>
      <c r="L7" s="22" t="s">
        <v>63</v>
      </c>
      <c r="M7" s="22" t="s">
        <v>63</v>
      </c>
      <c r="N7" s="22" t="s">
        <v>63</v>
      </c>
      <c r="O7" s="22" t="s">
        <v>63</v>
      </c>
      <c r="P7" s="22" t="s">
        <v>326</v>
      </c>
      <c r="Q7" s="20" t="s">
        <v>158</v>
      </c>
      <c r="R7" s="47"/>
    </row>
    <row r="8" spans="1:18" hidden="1" x14ac:dyDescent="0.25">
      <c r="A8" s="44">
        <v>27473</v>
      </c>
      <c r="B8" s="44">
        <v>3</v>
      </c>
      <c r="C8" s="45" t="s">
        <v>148</v>
      </c>
      <c r="D8" s="20">
        <v>1281007</v>
      </c>
      <c r="E8" s="21" t="s">
        <v>175</v>
      </c>
      <c r="F8" s="46">
        <v>1</v>
      </c>
      <c r="G8" s="22">
        <v>46219</v>
      </c>
      <c r="H8" s="22">
        <v>46192</v>
      </c>
      <c r="I8" s="22">
        <v>46196</v>
      </c>
      <c r="J8" s="22">
        <v>46219</v>
      </c>
      <c r="K8" s="22">
        <v>46206</v>
      </c>
      <c r="L8" s="22" t="s">
        <v>63</v>
      </c>
      <c r="M8" s="22" t="s">
        <v>63</v>
      </c>
      <c r="N8" s="22" t="s">
        <v>63</v>
      </c>
      <c r="O8" s="22" t="s">
        <v>63</v>
      </c>
      <c r="P8" s="22" t="s">
        <v>326</v>
      </c>
      <c r="Q8" s="20" t="s">
        <v>159</v>
      </c>
      <c r="R8" s="47"/>
    </row>
    <row r="9" spans="1:18" hidden="1" x14ac:dyDescent="0.25">
      <c r="A9" s="44">
        <v>27473</v>
      </c>
      <c r="B9" s="44">
        <v>4</v>
      </c>
      <c r="C9" s="45" t="s">
        <v>148</v>
      </c>
      <c r="D9" s="20">
        <v>1281007</v>
      </c>
      <c r="E9" s="21" t="s">
        <v>175</v>
      </c>
      <c r="F9" s="46">
        <v>1</v>
      </c>
      <c r="G9" s="22">
        <v>46219</v>
      </c>
      <c r="H9" s="22">
        <v>46192</v>
      </c>
      <c r="I9" s="22">
        <v>46196</v>
      </c>
      <c r="J9" s="22">
        <v>46219</v>
      </c>
      <c r="K9" s="22">
        <v>46206</v>
      </c>
      <c r="L9" s="22" t="s">
        <v>63</v>
      </c>
      <c r="M9" s="22" t="s">
        <v>63</v>
      </c>
      <c r="N9" s="22" t="s">
        <v>63</v>
      </c>
      <c r="O9" s="22" t="s">
        <v>63</v>
      </c>
      <c r="P9" s="22" t="s">
        <v>326</v>
      </c>
      <c r="Q9" s="20" t="s">
        <v>159</v>
      </c>
      <c r="R9" s="47"/>
    </row>
    <row r="10" spans="1:18" hidden="1" x14ac:dyDescent="0.25">
      <c r="A10" s="44">
        <v>27473</v>
      </c>
      <c r="B10" s="44">
        <v>5</v>
      </c>
      <c r="C10" s="45" t="s">
        <v>148</v>
      </c>
      <c r="D10" s="20">
        <v>1281007</v>
      </c>
      <c r="E10" s="21" t="s">
        <v>175</v>
      </c>
      <c r="F10" s="46">
        <v>1</v>
      </c>
      <c r="G10" s="22">
        <v>46219</v>
      </c>
      <c r="H10" s="22">
        <v>46192</v>
      </c>
      <c r="I10" s="22">
        <v>46196</v>
      </c>
      <c r="J10" s="22">
        <v>46219</v>
      </c>
      <c r="K10" s="22">
        <v>46206</v>
      </c>
      <c r="L10" s="22" t="s">
        <v>63</v>
      </c>
      <c r="M10" s="22" t="s">
        <v>63</v>
      </c>
      <c r="N10" s="22" t="s">
        <v>63</v>
      </c>
      <c r="O10" s="22" t="s">
        <v>63</v>
      </c>
      <c r="P10" s="22" t="s">
        <v>326</v>
      </c>
      <c r="Q10" s="20" t="s">
        <v>159</v>
      </c>
      <c r="R10" s="47"/>
    </row>
    <row r="11" spans="1:18" hidden="1" x14ac:dyDescent="0.25">
      <c r="A11" s="44">
        <v>27473</v>
      </c>
      <c r="B11" s="44">
        <v>6</v>
      </c>
      <c r="C11" s="45" t="s">
        <v>148</v>
      </c>
      <c r="D11" s="20">
        <v>1281007</v>
      </c>
      <c r="E11" s="21" t="s">
        <v>175</v>
      </c>
      <c r="F11" s="46">
        <v>1</v>
      </c>
      <c r="G11" s="22">
        <v>46219</v>
      </c>
      <c r="H11" s="22">
        <v>46192</v>
      </c>
      <c r="I11" s="22">
        <v>46196</v>
      </c>
      <c r="J11" s="22">
        <v>46219</v>
      </c>
      <c r="K11" s="22">
        <v>46206</v>
      </c>
      <c r="L11" s="22" t="s">
        <v>63</v>
      </c>
      <c r="M11" s="22" t="s">
        <v>63</v>
      </c>
      <c r="N11" s="22" t="s">
        <v>63</v>
      </c>
      <c r="O11" s="22" t="s">
        <v>63</v>
      </c>
      <c r="P11" s="22" t="s">
        <v>326</v>
      </c>
      <c r="Q11" s="20" t="s">
        <v>159</v>
      </c>
      <c r="R11" s="47"/>
    </row>
    <row r="12" spans="1:18" hidden="1" x14ac:dyDescent="0.25">
      <c r="A12" s="44">
        <v>27473</v>
      </c>
      <c r="B12" s="44">
        <v>7</v>
      </c>
      <c r="C12" s="45" t="s">
        <v>148</v>
      </c>
      <c r="D12" s="20">
        <v>1281007</v>
      </c>
      <c r="E12" s="21" t="s">
        <v>175</v>
      </c>
      <c r="F12" s="46">
        <v>1</v>
      </c>
      <c r="G12" s="22">
        <v>46219</v>
      </c>
      <c r="H12" s="22">
        <v>46192</v>
      </c>
      <c r="I12" s="22">
        <v>46196</v>
      </c>
      <c r="J12" s="22">
        <v>46219</v>
      </c>
      <c r="K12" s="22">
        <v>46206</v>
      </c>
      <c r="L12" s="22" t="s">
        <v>63</v>
      </c>
      <c r="M12" s="22" t="s">
        <v>63</v>
      </c>
      <c r="N12" s="22" t="s">
        <v>63</v>
      </c>
      <c r="O12" s="22" t="s">
        <v>63</v>
      </c>
      <c r="P12" s="22" t="s">
        <v>326</v>
      </c>
      <c r="Q12" s="20" t="s">
        <v>159</v>
      </c>
      <c r="R12" s="47"/>
    </row>
    <row r="13" spans="1:18" hidden="1" x14ac:dyDescent="0.25">
      <c r="A13" s="44">
        <v>27473</v>
      </c>
      <c r="B13" s="44">
        <v>8</v>
      </c>
      <c r="C13" s="45" t="s">
        <v>148</v>
      </c>
      <c r="D13" s="20">
        <v>1281008</v>
      </c>
      <c r="E13" s="21" t="s">
        <v>176</v>
      </c>
      <c r="F13" s="46">
        <v>1</v>
      </c>
      <c r="G13" s="22">
        <v>46219</v>
      </c>
      <c r="H13" s="22">
        <v>46196</v>
      </c>
      <c r="I13" s="22">
        <v>46196</v>
      </c>
      <c r="J13" s="22">
        <v>46219</v>
      </c>
      <c r="K13" s="22">
        <v>46216</v>
      </c>
      <c r="L13" s="22" t="s">
        <v>63</v>
      </c>
      <c r="M13" s="22" t="s">
        <v>63</v>
      </c>
      <c r="N13" s="22" t="s">
        <v>63</v>
      </c>
      <c r="O13" s="22" t="s">
        <v>63</v>
      </c>
      <c r="P13" s="22" t="s">
        <v>326</v>
      </c>
      <c r="Q13" s="20" t="s">
        <v>159</v>
      </c>
      <c r="R13" s="47"/>
    </row>
    <row r="14" spans="1:18" hidden="1" x14ac:dyDescent="0.25">
      <c r="A14" s="44">
        <v>27416</v>
      </c>
      <c r="B14" s="44">
        <v>1</v>
      </c>
      <c r="C14" s="45" t="s">
        <v>149</v>
      </c>
      <c r="D14" s="20">
        <v>392291</v>
      </c>
      <c r="E14" s="21" t="s">
        <v>179</v>
      </c>
      <c r="F14" s="46">
        <v>1</v>
      </c>
      <c r="G14" s="58">
        <v>46211</v>
      </c>
      <c r="H14" s="24" t="s">
        <v>328</v>
      </c>
      <c r="I14" s="24" t="s">
        <v>480</v>
      </c>
      <c r="J14" s="24">
        <v>46218</v>
      </c>
      <c r="K14" s="24">
        <v>46219</v>
      </c>
      <c r="L14" s="24">
        <v>46232</v>
      </c>
      <c r="M14" s="24"/>
      <c r="N14" s="24">
        <v>46236</v>
      </c>
      <c r="O14" s="24"/>
      <c r="P14" s="22" t="s">
        <v>481</v>
      </c>
      <c r="Q14" s="23">
        <v>493</v>
      </c>
      <c r="R14" s="47"/>
    </row>
    <row r="15" spans="1:18" hidden="1" x14ac:dyDescent="0.25">
      <c r="A15" s="44">
        <v>27618</v>
      </c>
      <c r="B15" s="44"/>
      <c r="C15" s="45" t="s">
        <v>334</v>
      </c>
      <c r="D15" s="20" t="s">
        <v>63</v>
      </c>
      <c r="E15" s="21" t="s">
        <v>335</v>
      </c>
      <c r="F15" s="46">
        <v>1</v>
      </c>
      <c r="G15" s="22">
        <v>46216</v>
      </c>
      <c r="H15" s="22" t="s">
        <v>63</v>
      </c>
      <c r="I15" s="22" t="s">
        <v>63</v>
      </c>
      <c r="J15" s="22" t="s">
        <v>63</v>
      </c>
      <c r="K15" s="22" t="s">
        <v>63</v>
      </c>
      <c r="L15" s="24">
        <v>46202</v>
      </c>
      <c r="M15" s="24">
        <v>46202</v>
      </c>
      <c r="N15" s="24">
        <v>46216</v>
      </c>
      <c r="O15" s="24">
        <v>46217</v>
      </c>
      <c r="P15" s="22" t="s">
        <v>326</v>
      </c>
      <c r="Q15" s="20" t="s">
        <v>160</v>
      </c>
      <c r="R15" s="47"/>
    </row>
    <row r="16" spans="1:18" hidden="1" x14ac:dyDescent="0.25">
      <c r="A16" s="44">
        <v>27476</v>
      </c>
      <c r="B16" s="44">
        <v>1</v>
      </c>
      <c r="C16" s="45" t="s">
        <v>146</v>
      </c>
      <c r="D16" s="20">
        <v>299529</v>
      </c>
      <c r="E16" s="21" t="s">
        <v>180</v>
      </c>
      <c r="F16" s="46">
        <v>1</v>
      </c>
      <c r="G16" s="22">
        <v>46217</v>
      </c>
      <c r="H16" s="22" t="s">
        <v>63</v>
      </c>
      <c r="I16" s="22" t="s">
        <v>63</v>
      </c>
      <c r="J16" s="22" t="s">
        <v>63</v>
      </c>
      <c r="K16" s="22" t="s">
        <v>63</v>
      </c>
      <c r="L16" s="60">
        <v>46205</v>
      </c>
      <c r="M16" s="22">
        <v>46042</v>
      </c>
      <c r="N16" s="22">
        <v>46227</v>
      </c>
      <c r="O16" s="22"/>
      <c r="P16" s="22" t="s">
        <v>482</v>
      </c>
      <c r="Q16" s="20" t="s">
        <v>160</v>
      </c>
      <c r="R16" s="47"/>
    </row>
    <row r="17" spans="1:18" hidden="1" x14ac:dyDescent="0.25">
      <c r="A17" s="44">
        <v>27490</v>
      </c>
      <c r="B17" s="44">
        <v>1</v>
      </c>
      <c r="C17" s="45" t="s">
        <v>146</v>
      </c>
      <c r="D17" s="20">
        <v>299302</v>
      </c>
      <c r="E17" s="21" t="s">
        <v>181</v>
      </c>
      <c r="F17" s="46">
        <v>1</v>
      </c>
      <c r="G17" s="22">
        <v>46218</v>
      </c>
      <c r="H17" s="22">
        <v>46189</v>
      </c>
      <c r="I17" s="22">
        <v>46189</v>
      </c>
      <c r="J17" s="22">
        <v>46199</v>
      </c>
      <c r="K17" s="22">
        <v>46199</v>
      </c>
      <c r="L17" s="22" t="s">
        <v>63</v>
      </c>
      <c r="M17" s="22" t="s">
        <v>63</v>
      </c>
      <c r="N17" s="22" t="s">
        <v>63</v>
      </c>
      <c r="O17" s="22" t="s">
        <v>63</v>
      </c>
      <c r="P17" s="22" t="s">
        <v>326</v>
      </c>
      <c r="Q17" s="20">
        <v>496</v>
      </c>
      <c r="R17" s="47"/>
    </row>
    <row r="18" spans="1:18" hidden="1" x14ac:dyDescent="0.25">
      <c r="A18" s="44">
        <v>27416</v>
      </c>
      <c r="B18" s="44">
        <v>2</v>
      </c>
      <c r="C18" s="45" t="s">
        <v>149</v>
      </c>
      <c r="D18" s="20">
        <v>392292</v>
      </c>
      <c r="E18" s="21" t="s">
        <v>182</v>
      </c>
      <c r="F18" s="46">
        <v>1</v>
      </c>
      <c r="G18" s="58">
        <v>46218</v>
      </c>
      <c r="H18" s="22">
        <v>46219</v>
      </c>
      <c r="I18" s="22">
        <v>46217</v>
      </c>
      <c r="J18" s="61">
        <v>46223</v>
      </c>
      <c r="K18" s="22">
        <v>46219</v>
      </c>
      <c r="L18" s="22">
        <v>46237</v>
      </c>
      <c r="M18" s="22"/>
      <c r="N18" s="22">
        <v>46241</v>
      </c>
      <c r="O18" s="22"/>
      <c r="P18" s="22" t="s">
        <v>481</v>
      </c>
      <c r="Q18" s="20">
        <v>493</v>
      </c>
      <c r="R18" s="47"/>
    </row>
    <row r="19" spans="1:18" hidden="1" x14ac:dyDescent="0.25">
      <c r="A19" s="20">
        <v>27521</v>
      </c>
      <c r="B19" s="20">
        <v>1</v>
      </c>
      <c r="C19" s="21" t="s">
        <v>146</v>
      </c>
      <c r="D19" s="20">
        <v>299303</v>
      </c>
      <c r="E19" s="21" t="s">
        <v>183</v>
      </c>
      <c r="F19" s="46">
        <v>1</v>
      </c>
      <c r="G19" s="22">
        <v>46227</v>
      </c>
      <c r="H19" s="22">
        <v>46211</v>
      </c>
      <c r="I19" s="22">
        <v>46211</v>
      </c>
      <c r="J19" s="22">
        <v>46220</v>
      </c>
      <c r="K19" s="22">
        <v>46217</v>
      </c>
      <c r="L19" s="22" t="s">
        <v>63</v>
      </c>
      <c r="M19" s="22" t="s">
        <v>63</v>
      </c>
      <c r="N19" s="22" t="s">
        <v>63</v>
      </c>
      <c r="O19" s="22" t="s">
        <v>63</v>
      </c>
      <c r="P19" s="22" t="s">
        <v>326</v>
      </c>
      <c r="Q19" s="20">
        <v>496</v>
      </c>
      <c r="R19" s="47"/>
    </row>
    <row r="20" spans="1:18" hidden="1" x14ac:dyDescent="0.25">
      <c r="A20" s="20">
        <v>26974</v>
      </c>
      <c r="B20" s="20">
        <v>3</v>
      </c>
      <c r="C20" s="21" t="s">
        <v>146</v>
      </c>
      <c r="D20" s="20">
        <v>299217</v>
      </c>
      <c r="E20" s="59" t="s">
        <v>184</v>
      </c>
      <c r="F20" s="46">
        <v>1</v>
      </c>
      <c r="G20" s="22">
        <v>46228</v>
      </c>
      <c r="H20" s="22">
        <v>46206</v>
      </c>
      <c r="I20" s="22"/>
      <c r="J20" s="22">
        <v>46213</v>
      </c>
      <c r="K20" s="22"/>
      <c r="L20" s="22" t="s">
        <v>63</v>
      </c>
      <c r="M20" s="22" t="s">
        <v>63</v>
      </c>
      <c r="N20" s="22" t="s">
        <v>63</v>
      </c>
      <c r="O20" s="22" t="s">
        <v>63</v>
      </c>
      <c r="P20" s="22" t="s">
        <v>48</v>
      </c>
      <c r="Q20" s="20">
        <v>285</v>
      </c>
      <c r="R20" s="47"/>
    </row>
    <row r="21" spans="1:18" hidden="1" x14ac:dyDescent="0.25">
      <c r="A21" s="20">
        <v>26970</v>
      </c>
      <c r="B21" s="20">
        <v>3</v>
      </c>
      <c r="C21" s="21" t="s">
        <v>146</v>
      </c>
      <c r="D21" s="20">
        <v>299209</v>
      </c>
      <c r="E21" s="59" t="s">
        <v>185</v>
      </c>
      <c r="F21" s="46">
        <v>1</v>
      </c>
      <c r="G21" s="22">
        <v>46228</v>
      </c>
      <c r="H21" s="22">
        <v>46213</v>
      </c>
      <c r="I21" s="22"/>
      <c r="J21" s="22">
        <v>46220</v>
      </c>
      <c r="K21" s="22"/>
      <c r="L21" s="22" t="s">
        <v>63</v>
      </c>
      <c r="M21" s="22" t="s">
        <v>63</v>
      </c>
      <c r="N21" s="22" t="s">
        <v>63</v>
      </c>
      <c r="O21" s="22" t="s">
        <v>63</v>
      </c>
      <c r="P21" s="22" t="s">
        <v>48</v>
      </c>
      <c r="Q21" s="20">
        <v>285</v>
      </c>
      <c r="R21" s="47"/>
    </row>
    <row r="22" spans="1:18" hidden="1" x14ac:dyDescent="0.25">
      <c r="A22" s="20">
        <v>26641</v>
      </c>
      <c r="B22" s="20">
        <v>2</v>
      </c>
      <c r="C22" s="21" t="s">
        <v>146</v>
      </c>
      <c r="D22" s="20">
        <v>299217</v>
      </c>
      <c r="E22" s="59" t="s">
        <v>184</v>
      </c>
      <c r="F22" s="46">
        <v>1</v>
      </c>
      <c r="G22" s="22">
        <v>46228</v>
      </c>
      <c r="H22" s="22">
        <v>46206</v>
      </c>
      <c r="I22" s="22"/>
      <c r="J22" s="22">
        <v>46213</v>
      </c>
      <c r="K22" s="22"/>
      <c r="L22" s="22" t="s">
        <v>63</v>
      </c>
      <c r="M22" s="22" t="s">
        <v>63</v>
      </c>
      <c r="N22" s="22" t="s">
        <v>63</v>
      </c>
      <c r="O22" s="22" t="s">
        <v>63</v>
      </c>
      <c r="P22" s="22" t="s">
        <v>48</v>
      </c>
      <c r="Q22" s="20">
        <v>285</v>
      </c>
      <c r="R22" s="47"/>
    </row>
    <row r="23" spans="1:18" hidden="1" x14ac:dyDescent="0.25">
      <c r="A23" s="20">
        <v>27547</v>
      </c>
      <c r="B23" s="20">
        <v>1</v>
      </c>
      <c r="C23" s="21" t="s">
        <v>150</v>
      </c>
      <c r="D23" s="20">
        <v>1573002</v>
      </c>
      <c r="E23" s="21" t="s">
        <v>103</v>
      </c>
      <c r="F23" s="46">
        <v>1</v>
      </c>
      <c r="G23" s="22">
        <v>46233</v>
      </c>
      <c r="H23" s="22" t="s">
        <v>63</v>
      </c>
      <c r="I23" s="22" t="s">
        <v>63</v>
      </c>
      <c r="J23" s="22" t="s">
        <v>63</v>
      </c>
      <c r="K23" s="22" t="s">
        <v>63</v>
      </c>
      <c r="L23" s="22">
        <v>46220</v>
      </c>
      <c r="M23" s="22">
        <v>46224</v>
      </c>
      <c r="N23" s="22">
        <v>46232</v>
      </c>
      <c r="O23" s="22"/>
      <c r="P23" s="22" t="s">
        <v>48</v>
      </c>
      <c r="Q23" s="20" t="s">
        <v>161</v>
      </c>
      <c r="R23" s="47"/>
    </row>
    <row r="24" spans="1:18" hidden="1" x14ac:dyDescent="0.25">
      <c r="A24" s="20">
        <v>27547</v>
      </c>
      <c r="B24" s="20">
        <v>2</v>
      </c>
      <c r="C24" s="21" t="s">
        <v>150</v>
      </c>
      <c r="D24" s="20">
        <v>1573001</v>
      </c>
      <c r="E24" s="21" t="s">
        <v>104</v>
      </c>
      <c r="F24" s="46">
        <v>1</v>
      </c>
      <c r="G24" s="22">
        <v>46233</v>
      </c>
      <c r="H24" s="22" t="s">
        <v>63</v>
      </c>
      <c r="I24" s="22" t="s">
        <v>63</v>
      </c>
      <c r="J24" s="22" t="s">
        <v>63</v>
      </c>
      <c r="K24" s="22" t="s">
        <v>63</v>
      </c>
      <c r="L24" s="22">
        <v>46220</v>
      </c>
      <c r="M24" s="22">
        <v>46224</v>
      </c>
      <c r="N24" s="22">
        <v>46232</v>
      </c>
      <c r="O24" s="22"/>
      <c r="P24" s="22" t="s">
        <v>48</v>
      </c>
      <c r="Q24" s="20" t="s">
        <v>161</v>
      </c>
      <c r="R24" s="47"/>
    </row>
    <row r="25" spans="1:18" hidden="1" x14ac:dyDescent="0.25">
      <c r="A25" s="20">
        <v>27567</v>
      </c>
      <c r="B25" s="20">
        <v>1</v>
      </c>
      <c r="C25" s="21" t="s">
        <v>330</v>
      </c>
      <c r="D25" s="20">
        <v>112036</v>
      </c>
      <c r="E25" s="21" t="s">
        <v>331</v>
      </c>
      <c r="F25" s="46">
        <v>1</v>
      </c>
      <c r="G25" s="22">
        <v>46237</v>
      </c>
      <c r="H25" s="22" t="s">
        <v>63</v>
      </c>
      <c r="I25" s="22" t="s">
        <v>63</v>
      </c>
      <c r="J25" s="22" t="s">
        <v>63</v>
      </c>
      <c r="K25" s="22" t="s">
        <v>63</v>
      </c>
      <c r="L25" s="22">
        <v>46217</v>
      </c>
      <c r="M25" s="22">
        <v>46220</v>
      </c>
      <c r="N25" s="22">
        <v>46227</v>
      </c>
      <c r="O25" s="22"/>
      <c r="P25" s="22" t="s">
        <v>48</v>
      </c>
      <c r="Q25" s="20" t="s">
        <v>332</v>
      </c>
      <c r="R25" s="47"/>
    </row>
    <row r="26" spans="1:18" x14ac:dyDescent="0.25">
      <c r="A26" s="20">
        <v>27575</v>
      </c>
      <c r="B26" s="20">
        <v>1</v>
      </c>
      <c r="C26" s="21" t="s">
        <v>151</v>
      </c>
      <c r="D26" s="20">
        <v>774016</v>
      </c>
      <c r="E26" s="21" t="s">
        <v>186</v>
      </c>
      <c r="F26" s="46">
        <v>1</v>
      </c>
      <c r="G26" s="22">
        <v>46239</v>
      </c>
      <c r="H26" s="22">
        <v>46216</v>
      </c>
      <c r="I26" s="22">
        <v>46216</v>
      </c>
      <c r="J26" s="22">
        <v>46223</v>
      </c>
      <c r="K26" s="22">
        <v>46223</v>
      </c>
      <c r="L26" s="22">
        <v>46227</v>
      </c>
      <c r="M26" s="22">
        <v>46226</v>
      </c>
      <c r="N26" s="22">
        <v>46239</v>
      </c>
      <c r="O26" s="22"/>
      <c r="P26" s="22" t="s">
        <v>482</v>
      </c>
      <c r="Q26" s="20" t="s">
        <v>162</v>
      </c>
      <c r="R26" s="47"/>
    </row>
    <row r="27" spans="1:18" x14ac:dyDescent="0.25">
      <c r="A27" s="20">
        <v>27575</v>
      </c>
      <c r="B27" s="20">
        <v>2</v>
      </c>
      <c r="C27" s="21" t="s">
        <v>151</v>
      </c>
      <c r="D27" s="20">
        <v>774016</v>
      </c>
      <c r="E27" s="21" t="s">
        <v>186</v>
      </c>
      <c r="F27" s="46">
        <v>1</v>
      </c>
      <c r="G27" s="22">
        <v>46239</v>
      </c>
      <c r="H27" s="22">
        <v>46216</v>
      </c>
      <c r="I27" s="22">
        <v>46216</v>
      </c>
      <c r="J27" s="22">
        <v>46223</v>
      </c>
      <c r="K27" s="22">
        <v>46223</v>
      </c>
      <c r="L27" s="22">
        <v>46227</v>
      </c>
      <c r="M27" s="22">
        <v>46226</v>
      </c>
      <c r="N27" s="22">
        <v>46239</v>
      </c>
      <c r="O27" s="22"/>
      <c r="P27" s="22" t="s">
        <v>482</v>
      </c>
      <c r="Q27" s="20" t="s">
        <v>162</v>
      </c>
      <c r="R27" s="47"/>
    </row>
    <row r="28" spans="1:18" x14ac:dyDescent="0.25">
      <c r="A28" s="20">
        <v>27575</v>
      </c>
      <c r="B28" s="20">
        <v>3</v>
      </c>
      <c r="C28" s="21" t="s">
        <v>151</v>
      </c>
      <c r="D28" s="20">
        <v>774017</v>
      </c>
      <c r="E28" s="21" t="s">
        <v>187</v>
      </c>
      <c r="F28" s="46">
        <v>1</v>
      </c>
      <c r="G28" s="22">
        <v>46239</v>
      </c>
      <c r="H28" s="22">
        <v>46216</v>
      </c>
      <c r="I28" s="22">
        <v>46216</v>
      </c>
      <c r="J28" s="22">
        <v>46223</v>
      </c>
      <c r="K28" s="22">
        <v>46223</v>
      </c>
      <c r="L28" s="22">
        <v>46227</v>
      </c>
      <c r="M28" s="22">
        <v>46226</v>
      </c>
      <c r="N28" s="22">
        <v>46239</v>
      </c>
      <c r="O28" s="22"/>
      <c r="P28" s="22" t="s">
        <v>482</v>
      </c>
      <c r="Q28" s="20" t="s">
        <v>162</v>
      </c>
      <c r="R28" s="47"/>
    </row>
    <row r="29" spans="1:18" x14ac:dyDescent="0.25">
      <c r="A29" s="20">
        <v>27575</v>
      </c>
      <c r="B29" s="20">
        <v>4</v>
      </c>
      <c r="C29" s="21" t="s">
        <v>151</v>
      </c>
      <c r="D29" s="20">
        <v>774017</v>
      </c>
      <c r="E29" s="21" t="s">
        <v>187</v>
      </c>
      <c r="F29" s="46">
        <v>1</v>
      </c>
      <c r="G29" s="22">
        <v>46239</v>
      </c>
      <c r="H29" s="22">
        <v>46216</v>
      </c>
      <c r="I29" s="22">
        <v>46216</v>
      </c>
      <c r="J29" s="22">
        <v>46223</v>
      </c>
      <c r="K29" s="22">
        <v>46223</v>
      </c>
      <c r="L29" s="22">
        <v>46227</v>
      </c>
      <c r="M29" s="22">
        <v>46226</v>
      </c>
      <c r="N29" s="22">
        <v>46239</v>
      </c>
      <c r="O29" s="22"/>
      <c r="P29" s="22" t="s">
        <v>482</v>
      </c>
      <c r="Q29" s="20" t="s">
        <v>162</v>
      </c>
      <c r="R29" s="47"/>
    </row>
    <row r="30" spans="1:18" hidden="1" x14ac:dyDescent="0.25">
      <c r="A30" s="20">
        <v>27524</v>
      </c>
      <c r="B30" s="20">
        <v>1</v>
      </c>
      <c r="C30" s="21" t="s">
        <v>146</v>
      </c>
      <c r="D30" s="20">
        <v>299528</v>
      </c>
      <c r="E30" s="21" t="s">
        <v>188</v>
      </c>
      <c r="F30" s="46">
        <v>1</v>
      </c>
      <c r="G30" s="22">
        <v>46245</v>
      </c>
      <c r="H30" s="22"/>
      <c r="I30" s="22" t="s">
        <v>63</v>
      </c>
      <c r="J30" s="22" t="s">
        <v>63</v>
      </c>
      <c r="K30" s="22" t="s">
        <v>63</v>
      </c>
      <c r="L30" s="22">
        <v>46234</v>
      </c>
      <c r="M30" s="22"/>
      <c r="N30" s="22">
        <v>46244</v>
      </c>
      <c r="O30" s="22"/>
      <c r="P30" s="22" t="s">
        <v>48</v>
      </c>
      <c r="Q30" s="20" t="s">
        <v>160</v>
      </c>
      <c r="R30" s="47"/>
    </row>
    <row r="31" spans="1:18" hidden="1" x14ac:dyDescent="0.25">
      <c r="A31" s="20">
        <v>27587</v>
      </c>
      <c r="B31" s="20">
        <v>1</v>
      </c>
      <c r="C31" s="21" t="s">
        <v>155</v>
      </c>
      <c r="D31" s="20">
        <v>1608001</v>
      </c>
      <c r="E31" s="21" t="s">
        <v>189</v>
      </c>
      <c r="F31" s="46">
        <v>1</v>
      </c>
      <c r="G31" s="22">
        <v>46246</v>
      </c>
      <c r="H31" s="72">
        <v>46213</v>
      </c>
      <c r="I31" s="22"/>
      <c r="J31" s="22">
        <v>46226</v>
      </c>
      <c r="K31" s="22"/>
      <c r="L31" s="22" t="s">
        <v>63</v>
      </c>
      <c r="M31" s="22" t="s">
        <v>63</v>
      </c>
      <c r="N31" s="22" t="s">
        <v>63</v>
      </c>
      <c r="O31" s="22" t="s">
        <v>63</v>
      </c>
      <c r="P31" s="22" t="s">
        <v>48</v>
      </c>
      <c r="Q31" s="20">
        <v>124</v>
      </c>
      <c r="R31" s="47"/>
    </row>
    <row r="32" spans="1:18" hidden="1" x14ac:dyDescent="0.25">
      <c r="A32" s="20">
        <v>27587</v>
      </c>
      <c r="B32" s="20">
        <v>2</v>
      </c>
      <c r="C32" s="21" t="s">
        <v>155</v>
      </c>
      <c r="D32" s="20">
        <v>1608002</v>
      </c>
      <c r="E32" s="21" t="s">
        <v>189</v>
      </c>
      <c r="F32" s="46">
        <v>1</v>
      </c>
      <c r="G32" s="22">
        <v>46246</v>
      </c>
      <c r="H32" s="72">
        <v>46213</v>
      </c>
      <c r="I32" s="22"/>
      <c r="J32" s="22">
        <v>46226</v>
      </c>
      <c r="K32" s="22"/>
      <c r="L32" s="22" t="s">
        <v>63</v>
      </c>
      <c r="M32" s="22" t="s">
        <v>63</v>
      </c>
      <c r="N32" s="22" t="s">
        <v>63</v>
      </c>
      <c r="O32" s="22" t="s">
        <v>63</v>
      </c>
      <c r="P32" s="22" t="s">
        <v>48</v>
      </c>
      <c r="Q32" s="20">
        <v>124</v>
      </c>
      <c r="R32" s="47"/>
    </row>
    <row r="33" spans="1:18" hidden="1" x14ac:dyDescent="0.25">
      <c r="A33" s="20">
        <v>27587</v>
      </c>
      <c r="B33" s="20">
        <v>3</v>
      </c>
      <c r="C33" s="21" t="s">
        <v>155</v>
      </c>
      <c r="D33" s="20">
        <v>1608002</v>
      </c>
      <c r="E33" s="21" t="s">
        <v>189</v>
      </c>
      <c r="F33" s="46">
        <v>1</v>
      </c>
      <c r="G33" s="22">
        <v>46246</v>
      </c>
      <c r="H33" s="72">
        <v>46213</v>
      </c>
      <c r="I33" s="22"/>
      <c r="J33" s="22">
        <v>46226</v>
      </c>
      <c r="K33" s="22"/>
      <c r="L33" s="22" t="s">
        <v>63</v>
      </c>
      <c r="M33" s="22" t="s">
        <v>63</v>
      </c>
      <c r="N33" s="22" t="s">
        <v>63</v>
      </c>
      <c r="O33" s="22" t="s">
        <v>63</v>
      </c>
      <c r="P33" s="22" t="s">
        <v>48</v>
      </c>
      <c r="Q33" s="20">
        <v>124</v>
      </c>
      <c r="R33" s="47"/>
    </row>
    <row r="34" spans="1:18" hidden="1" x14ac:dyDescent="0.25">
      <c r="A34" s="20">
        <v>27593</v>
      </c>
      <c r="B34" s="20">
        <v>1</v>
      </c>
      <c r="C34" s="21" t="s">
        <v>156</v>
      </c>
      <c r="D34" s="20">
        <v>1609001</v>
      </c>
      <c r="E34" s="21" t="s">
        <v>190</v>
      </c>
      <c r="F34" s="46">
        <v>1</v>
      </c>
      <c r="G34" s="22">
        <v>46253</v>
      </c>
      <c r="H34" s="72">
        <v>46213</v>
      </c>
      <c r="I34" s="24"/>
      <c r="J34" s="24">
        <v>46228</v>
      </c>
      <c r="K34" s="24"/>
      <c r="L34" s="23" t="s">
        <v>63</v>
      </c>
      <c r="M34" s="23" t="s">
        <v>63</v>
      </c>
      <c r="N34" s="23" t="s">
        <v>63</v>
      </c>
      <c r="O34" s="23" t="s">
        <v>63</v>
      </c>
      <c r="P34" s="22" t="s">
        <v>48</v>
      </c>
      <c r="Q34" s="23" t="s">
        <v>163</v>
      </c>
      <c r="R34" s="47"/>
    </row>
    <row r="35" spans="1:18" hidden="1" x14ac:dyDescent="0.25">
      <c r="A35" s="20">
        <v>27599</v>
      </c>
      <c r="B35" s="20">
        <v>1</v>
      </c>
      <c r="C35" s="45" t="s">
        <v>146</v>
      </c>
      <c r="D35" s="20">
        <v>299374</v>
      </c>
      <c r="E35" s="21" t="s">
        <v>191</v>
      </c>
      <c r="F35" s="46">
        <v>1</v>
      </c>
      <c r="G35" s="22">
        <v>46254</v>
      </c>
      <c r="H35" s="24">
        <v>46220</v>
      </c>
      <c r="I35" s="24"/>
      <c r="J35" s="24">
        <v>46234</v>
      </c>
      <c r="K35" s="24"/>
      <c r="L35" s="23" t="s">
        <v>63</v>
      </c>
      <c r="M35" s="23" t="s">
        <v>63</v>
      </c>
      <c r="N35" s="23" t="s">
        <v>63</v>
      </c>
      <c r="O35" s="23" t="s">
        <v>63</v>
      </c>
      <c r="P35" s="22" t="s">
        <v>48</v>
      </c>
      <c r="Q35" s="23">
        <v>285</v>
      </c>
      <c r="R35" s="47"/>
    </row>
    <row r="36" spans="1:18" hidden="1" x14ac:dyDescent="0.25">
      <c r="A36" s="20">
        <v>27542</v>
      </c>
      <c r="B36" s="20">
        <v>1</v>
      </c>
      <c r="C36" s="45" t="s">
        <v>146</v>
      </c>
      <c r="D36" s="20">
        <v>299528</v>
      </c>
      <c r="E36" s="21" t="s">
        <v>188</v>
      </c>
      <c r="F36" s="46">
        <v>1</v>
      </c>
      <c r="G36" s="22">
        <v>46255</v>
      </c>
      <c r="H36" s="23" t="s">
        <v>63</v>
      </c>
      <c r="I36" s="23" t="s">
        <v>63</v>
      </c>
      <c r="J36" s="23" t="s">
        <v>63</v>
      </c>
      <c r="K36" s="23" t="s">
        <v>63</v>
      </c>
      <c r="L36" s="24">
        <v>46241</v>
      </c>
      <c r="M36" s="24"/>
      <c r="N36" s="24">
        <v>46254</v>
      </c>
      <c r="O36" s="24"/>
      <c r="P36" s="22" t="s">
        <v>48</v>
      </c>
      <c r="Q36" s="23" t="s">
        <v>160</v>
      </c>
      <c r="R36" s="47"/>
    </row>
    <row r="37" spans="1:18" hidden="1" x14ac:dyDescent="0.25">
      <c r="A37" s="20">
        <v>27600</v>
      </c>
      <c r="B37" s="20">
        <v>1</v>
      </c>
      <c r="C37" s="21" t="s">
        <v>154</v>
      </c>
      <c r="D37" s="20" t="s">
        <v>63</v>
      </c>
      <c r="E37" s="21" t="s">
        <v>192</v>
      </c>
      <c r="F37" s="46">
        <v>1</v>
      </c>
      <c r="G37" s="22">
        <v>46259</v>
      </c>
      <c r="H37" s="24" t="s">
        <v>63</v>
      </c>
      <c r="I37" s="23" t="s">
        <v>63</v>
      </c>
      <c r="J37" s="23" t="s">
        <v>63</v>
      </c>
      <c r="K37" s="23" t="s">
        <v>63</v>
      </c>
      <c r="L37" s="24">
        <v>46248</v>
      </c>
      <c r="M37" s="24"/>
      <c r="N37" s="24">
        <v>46255</v>
      </c>
      <c r="O37" s="24"/>
      <c r="P37" s="22" t="s">
        <v>48</v>
      </c>
      <c r="Q37" s="23">
        <v>285</v>
      </c>
      <c r="R37" s="47"/>
    </row>
    <row r="38" spans="1:18" hidden="1" x14ac:dyDescent="0.25">
      <c r="A38" s="20">
        <v>27600</v>
      </c>
      <c r="B38" s="20">
        <v>5</v>
      </c>
      <c r="C38" s="21" t="s">
        <v>154</v>
      </c>
      <c r="D38" s="20" t="s">
        <v>63</v>
      </c>
      <c r="E38" s="21" t="s">
        <v>193</v>
      </c>
      <c r="F38" s="46">
        <v>1</v>
      </c>
      <c r="G38" s="22">
        <v>46259</v>
      </c>
      <c r="H38" s="24" t="s">
        <v>63</v>
      </c>
      <c r="I38" s="23" t="s">
        <v>63</v>
      </c>
      <c r="J38" s="23" t="s">
        <v>63</v>
      </c>
      <c r="K38" s="23" t="s">
        <v>63</v>
      </c>
      <c r="L38" s="24">
        <v>46248</v>
      </c>
      <c r="M38" s="24"/>
      <c r="N38" s="24">
        <v>46255</v>
      </c>
      <c r="O38" s="24"/>
      <c r="P38" s="22" t="s">
        <v>48</v>
      </c>
      <c r="Q38" s="23">
        <v>285</v>
      </c>
      <c r="R38" s="47"/>
    </row>
    <row r="39" spans="1:18" hidden="1" x14ac:dyDescent="0.25">
      <c r="A39" s="20">
        <v>27600</v>
      </c>
      <c r="B39" s="20">
        <v>9</v>
      </c>
      <c r="C39" s="21" t="s">
        <v>154</v>
      </c>
      <c r="D39" s="20" t="s">
        <v>63</v>
      </c>
      <c r="E39" s="21" t="s">
        <v>192</v>
      </c>
      <c r="F39" s="46">
        <v>1</v>
      </c>
      <c r="G39" s="22">
        <v>46259</v>
      </c>
      <c r="H39" s="24" t="s">
        <v>63</v>
      </c>
      <c r="I39" s="23" t="s">
        <v>63</v>
      </c>
      <c r="J39" s="23" t="s">
        <v>63</v>
      </c>
      <c r="K39" s="23" t="s">
        <v>63</v>
      </c>
      <c r="L39" s="24">
        <v>46248</v>
      </c>
      <c r="M39" s="24"/>
      <c r="N39" s="24">
        <v>46255</v>
      </c>
      <c r="O39" s="24"/>
      <c r="P39" s="22" t="s">
        <v>48</v>
      </c>
      <c r="Q39" s="23">
        <v>285</v>
      </c>
      <c r="R39" s="47"/>
    </row>
    <row r="40" spans="1:18" hidden="1" x14ac:dyDescent="0.25">
      <c r="A40" s="20">
        <v>27600</v>
      </c>
      <c r="B40" s="20">
        <v>13</v>
      </c>
      <c r="C40" s="21" t="s">
        <v>154</v>
      </c>
      <c r="D40" s="20" t="s">
        <v>63</v>
      </c>
      <c r="E40" s="21" t="s">
        <v>193</v>
      </c>
      <c r="F40" s="46">
        <v>1</v>
      </c>
      <c r="G40" s="22">
        <v>46259</v>
      </c>
      <c r="H40" s="24" t="s">
        <v>63</v>
      </c>
      <c r="I40" s="23" t="s">
        <v>63</v>
      </c>
      <c r="J40" s="23" t="s">
        <v>63</v>
      </c>
      <c r="K40" s="23" t="s">
        <v>63</v>
      </c>
      <c r="L40" s="24">
        <v>46248</v>
      </c>
      <c r="M40" s="24"/>
      <c r="N40" s="24">
        <v>46255</v>
      </c>
      <c r="O40" s="24"/>
      <c r="P40" s="22" t="s">
        <v>48</v>
      </c>
      <c r="Q40" s="23">
        <v>285</v>
      </c>
      <c r="R40" s="47"/>
    </row>
    <row r="41" spans="1:18" hidden="1" x14ac:dyDescent="0.25">
      <c r="A41" s="20">
        <v>27600</v>
      </c>
      <c r="B41" s="20">
        <v>2</v>
      </c>
      <c r="C41" s="21" t="s">
        <v>154</v>
      </c>
      <c r="D41" s="20" t="s">
        <v>63</v>
      </c>
      <c r="E41" s="21" t="s">
        <v>192</v>
      </c>
      <c r="F41" s="46">
        <v>1</v>
      </c>
      <c r="G41" s="22">
        <v>46269</v>
      </c>
      <c r="H41" s="24" t="s">
        <v>63</v>
      </c>
      <c r="I41" s="23" t="s">
        <v>63</v>
      </c>
      <c r="J41" s="23" t="s">
        <v>63</v>
      </c>
      <c r="K41" s="23" t="s">
        <v>63</v>
      </c>
      <c r="L41" s="24">
        <v>46248</v>
      </c>
      <c r="M41" s="24"/>
      <c r="N41" s="24">
        <v>46255</v>
      </c>
      <c r="O41" s="24"/>
      <c r="P41" s="22" t="s">
        <v>48</v>
      </c>
      <c r="Q41" s="23">
        <v>285</v>
      </c>
      <c r="R41" s="47"/>
    </row>
    <row r="42" spans="1:18" hidden="1" x14ac:dyDescent="0.25">
      <c r="A42" s="20">
        <v>27600</v>
      </c>
      <c r="B42" s="20">
        <v>6</v>
      </c>
      <c r="C42" s="21" t="s">
        <v>154</v>
      </c>
      <c r="D42" s="20" t="s">
        <v>63</v>
      </c>
      <c r="E42" s="21" t="s">
        <v>193</v>
      </c>
      <c r="F42" s="46">
        <v>1</v>
      </c>
      <c r="G42" s="22">
        <v>46269</v>
      </c>
      <c r="H42" s="24" t="s">
        <v>63</v>
      </c>
      <c r="I42" s="23" t="s">
        <v>63</v>
      </c>
      <c r="J42" s="23" t="s">
        <v>63</v>
      </c>
      <c r="K42" s="23" t="s">
        <v>63</v>
      </c>
      <c r="L42" s="24">
        <v>46248</v>
      </c>
      <c r="M42" s="24"/>
      <c r="N42" s="24">
        <v>46255</v>
      </c>
      <c r="O42" s="24"/>
      <c r="P42" s="22" t="s">
        <v>48</v>
      </c>
      <c r="Q42" s="23">
        <v>285</v>
      </c>
      <c r="R42" s="47"/>
    </row>
    <row r="43" spans="1:18" hidden="1" x14ac:dyDescent="0.25">
      <c r="A43" s="20">
        <v>27600</v>
      </c>
      <c r="B43" s="20">
        <v>10</v>
      </c>
      <c r="C43" s="21" t="s">
        <v>154</v>
      </c>
      <c r="D43" s="20" t="s">
        <v>63</v>
      </c>
      <c r="E43" s="21" t="s">
        <v>192</v>
      </c>
      <c r="F43" s="46">
        <v>1</v>
      </c>
      <c r="G43" s="22">
        <v>46269</v>
      </c>
      <c r="H43" s="24" t="s">
        <v>63</v>
      </c>
      <c r="I43" s="23" t="s">
        <v>63</v>
      </c>
      <c r="J43" s="23" t="s">
        <v>63</v>
      </c>
      <c r="K43" s="23" t="s">
        <v>63</v>
      </c>
      <c r="L43" s="24">
        <v>46248</v>
      </c>
      <c r="M43" s="24"/>
      <c r="N43" s="24">
        <v>46255</v>
      </c>
      <c r="O43" s="24"/>
      <c r="P43" s="22" t="s">
        <v>48</v>
      </c>
      <c r="Q43" s="23">
        <v>285</v>
      </c>
      <c r="R43" s="47"/>
    </row>
    <row r="44" spans="1:18" hidden="1" x14ac:dyDescent="0.25">
      <c r="A44" s="20">
        <v>27600</v>
      </c>
      <c r="B44" s="20">
        <v>14</v>
      </c>
      <c r="C44" s="21" t="s">
        <v>154</v>
      </c>
      <c r="D44" s="20" t="s">
        <v>63</v>
      </c>
      <c r="E44" s="21" t="s">
        <v>193</v>
      </c>
      <c r="F44" s="46">
        <v>1</v>
      </c>
      <c r="G44" s="22">
        <v>46269</v>
      </c>
      <c r="H44" s="24" t="s">
        <v>63</v>
      </c>
      <c r="I44" s="23" t="s">
        <v>63</v>
      </c>
      <c r="J44" s="23" t="s">
        <v>63</v>
      </c>
      <c r="K44" s="23" t="s">
        <v>63</v>
      </c>
      <c r="L44" s="24">
        <v>46248</v>
      </c>
      <c r="M44" s="24"/>
      <c r="N44" s="24">
        <v>46255</v>
      </c>
      <c r="O44" s="24"/>
      <c r="P44" s="22" t="s">
        <v>48</v>
      </c>
      <c r="Q44" s="23">
        <v>285</v>
      </c>
      <c r="R44" s="47"/>
    </row>
    <row r="45" spans="1:18" hidden="1" x14ac:dyDescent="0.25">
      <c r="A45" s="20">
        <v>27496</v>
      </c>
      <c r="B45" s="20">
        <v>1</v>
      </c>
      <c r="C45" s="21" t="s">
        <v>146</v>
      </c>
      <c r="D45" s="20">
        <v>299208</v>
      </c>
      <c r="E45" s="21" t="s">
        <v>194</v>
      </c>
      <c r="F45" s="46">
        <v>1</v>
      </c>
      <c r="G45" s="22">
        <v>46269</v>
      </c>
      <c r="H45" s="24">
        <v>46206</v>
      </c>
      <c r="I45" s="24"/>
      <c r="J45" s="24">
        <v>46213</v>
      </c>
      <c r="K45" s="24"/>
      <c r="L45" s="23" t="s">
        <v>63</v>
      </c>
      <c r="M45" s="23" t="s">
        <v>63</v>
      </c>
      <c r="N45" s="23" t="s">
        <v>63</v>
      </c>
      <c r="O45" s="23" t="s">
        <v>63</v>
      </c>
      <c r="P45" s="22" t="s">
        <v>48</v>
      </c>
      <c r="Q45" s="23">
        <v>285</v>
      </c>
      <c r="R45" s="47"/>
    </row>
    <row r="46" spans="1:18" hidden="1" x14ac:dyDescent="0.25">
      <c r="A46" s="20">
        <v>27600</v>
      </c>
      <c r="B46" s="20">
        <v>3</v>
      </c>
      <c r="C46" s="21" t="s">
        <v>154</v>
      </c>
      <c r="D46" s="20" t="s">
        <v>63</v>
      </c>
      <c r="E46" s="21" t="s">
        <v>192</v>
      </c>
      <c r="F46" s="46">
        <v>1</v>
      </c>
      <c r="G46" s="22">
        <v>46279</v>
      </c>
      <c r="H46" s="24" t="s">
        <v>63</v>
      </c>
      <c r="I46" s="24" t="s">
        <v>63</v>
      </c>
      <c r="J46" s="23" t="s">
        <v>63</v>
      </c>
      <c r="K46" s="24" t="s">
        <v>63</v>
      </c>
      <c r="L46" s="24">
        <v>46248</v>
      </c>
      <c r="M46" s="24"/>
      <c r="N46" s="24">
        <v>46255</v>
      </c>
      <c r="O46" s="24"/>
      <c r="P46" s="22" t="s">
        <v>48</v>
      </c>
      <c r="Q46" s="23">
        <v>285</v>
      </c>
      <c r="R46" s="47"/>
    </row>
    <row r="47" spans="1:18" hidden="1" x14ac:dyDescent="0.25">
      <c r="A47" s="20">
        <v>27600</v>
      </c>
      <c r="B47" s="20">
        <v>7</v>
      </c>
      <c r="C47" s="21" t="s">
        <v>154</v>
      </c>
      <c r="D47" s="20" t="s">
        <v>63</v>
      </c>
      <c r="E47" s="21" t="s">
        <v>193</v>
      </c>
      <c r="F47" s="46">
        <v>1</v>
      </c>
      <c r="G47" s="22">
        <v>46279</v>
      </c>
      <c r="H47" s="24" t="s">
        <v>63</v>
      </c>
      <c r="I47" s="24" t="s">
        <v>63</v>
      </c>
      <c r="J47" s="23" t="s">
        <v>63</v>
      </c>
      <c r="K47" s="24" t="s">
        <v>63</v>
      </c>
      <c r="L47" s="24">
        <v>46248</v>
      </c>
      <c r="M47" s="24"/>
      <c r="N47" s="24">
        <v>46255</v>
      </c>
      <c r="O47" s="24"/>
      <c r="P47" s="22" t="s">
        <v>48</v>
      </c>
      <c r="Q47" s="23">
        <v>285</v>
      </c>
      <c r="R47" s="47"/>
    </row>
    <row r="48" spans="1:18" hidden="1" x14ac:dyDescent="0.25">
      <c r="A48" s="20">
        <v>27600</v>
      </c>
      <c r="B48" s="20">
        <v>11</v>
      </c>
      <c r="C48" s="21" t="s">
        <v>154</v>
      </c>
      <c r="D48" s="20" t="s">
        <v>63</v>
      </c>
      <c r="E48" s="21" t="s">
        <v>192</v>
      </c>
      <c r="F48" s="46">
        <v>1</v>
      </c>
      <c r="G48" s="22">
        <v>46279</v>
      </c>
      <c r="H48" s="24" t="s">
        <v>63</v>
      </c>
      <c r="I48" s="24" t="s">
        <v>63</v>
      </c>
      <c r="J48" s="23" t="s">
        <v>63</v>
      </c>
      <c r="K48" s="24" t="s">
        <v>63</v>
      </c>
      <c r="L48" s="24">
        <v>46248</v>
      </c>
      <c r="M48" s="24"/>
      <c r="N48" s="24">
        <v>46255</v>
      </c>
      <c r="O48" s="24"/>
      <c r="P48" s="22" t="s">
        <v>48</v>
      </c>
      <c r="Q48" s="23">
        <v>285</v>
      </c>
      <c r="R48" s="47"/>
    </row>
    <row r="49" spans="1:18" hidden="1" x14ac:dyDescent="0.25">
      <c r="A49" s="20">
        <v>27600</v>
      </c>
      <c r="B49" s="20">
        <v>15</v>
      </c>
      <c r="C49" s="21" t="s">
        <v>154</v>
      </c>
      <c r="D49" s="20" t="s">
        <v>63</v>
      </c>
      <c r="E49" s="21" t="s">
        <v>193</v>
      </c>
      <c r="F49" s="46">
        <v>1</v>
      </c>
      <c r="G49" s="22">
        <v>46279</v>
      </c>
      <c r="H49" s="24" t="s">
        <v>63</v>
      </c>
      <c r="I49" s="24" t="s">
        <v>63</v>
      </c>
      <c r="J49" s="23" t="s">
        <v>63</v>
      </c>
      <c r="K49" s="24" t="s">
        <v>63</v>
      </c>
      <c r="L49" s="24">
        <v>46248</v>
      </c>
      <c r="M49" s="24"/>
      <c r="N49" s="24">
        <v>46255</v>
      </c>
      <c r="O49" s="24"/>
      <c r="P49" s="22" t="s">
        <v>48</v>
      </c>
      <c r="Q49" s="23">
        <v>285</v>
      </c>
      <c r="R49" s="47"/>
    </row>
    <row r="50" spans="1:18" hidden="1" x14ac:dyDescent="0.25">
      <c r="A50" s="20">
        <v>27600</v>
      </c>
      <c r="B50" s="20">
        <v>4</v>
      </c>
      <c r="C50" s="21" t="s">
        <v>154</v>
      </c>
      <c r="D50" s="20" t="s">
        <v>63</v>
      </c>
      <c r="E50" s="21" t="s">
        <v>192</v>
      </c>
      <c r="F50" s="46">
        <v>1</v>
      </c>
      <c r="G50" s="22">
        <v>46289</v>
      </c>
      <c r="H50" s="24" t="s">
        <v>63</v>
      </c>
      <c r="I50" s="24" t="s">
        <v>63</v>
      </c>
      <c r="J50" s="23" t="s">
        <v>63</v>
      </c>
      <c r="K50" s="24" t="s">
        <v>63</v>
      </c>
      <c r="L50" s="24">
        <v>46248</v>
      </c>
      <c r="M50" s="24"/>
      <c r="N50" s="24">
        <v>46255</v>
      </c>
      <c r="O50" s="24"/>
      <c r="P50" s="22" t="s">
        <v>48</v>
      </c>
      <c r="Q50" s="23">
        <v>285</v>
      </c>
      <c r="R50" s="47"/>
    </row>
    <row r="51" spans="1:18" hidden="1" x14ac:dyDescent="0.25">
      <c r="A51" s="20">
        <v>27600</v>
      </c>
      <c r="B51" s="20">
        <v>8</v>
      </c>
      <c r="C51" s="21" t="s">
        <v>154</v>
      </c>
      <c r="D51" s="20" t="s">
        <v>63</v>
      </c>
      <c r="E51" s="21" t="s">
        <v>193</v>
      </c>
      <c r="F51" s="46">
        <v>1</v>
      </c>
      <c r="G51" s="22">
        <v>46289</v>
      </c>
      <c r="H51" s="24" t="s">
        <v>63</v>
      </c>
      <c r="I51" s="24" t="s">
        <v>63</v>
      </c>
      <c r="J51" s="23" t="s">
        <v>63</v>
      </c>
      <c r="K51" s="24" t="s">
        <v>63</v>
      </c>
      <c r="L51" s="24">
        <v>46248</v>
      </c>
      <c r="M51" s="24"/>
      <c r="N51" s="24">
        <v>46255</v>
      </c>
      <c r="O51" s="24"/>
      <c r="P51" s="22" t="s">
        <v>48</v>
      </c>
      <c r="Q51" s="23">
        <v>285</v>
      </c>
      <c r="R51" s="47"/>
    </row>
    <row r="52" spans="1:18" hidden="1" x14ac:dyDescent="0.25">
      <c r="A52" s="20">
        <v>27600</v>
      </c>
      <c r="B52" s="20">
        <v>12</v>
      </c>
      <c r="C52" s="21" t="s">
        <v>154</v>
      </c>
      <c r="D52" s="20" t="s">
        <v>63</v>
      </c>
      <c r="E52" s="21" t="s">
        <v>192</v>
      </c>
      <c r="F52" s="46">
        <v>1</v>
      </c>
      <c r="G52" s="22">
        <v>46289</v>
      </c>
      <c r="H52" s="24" t="s">
        <v>63</v>
      </c>
      <c r="I52" s="24" t="s">
        <v>63</v>
      </c>
      <c r="J52" s="23" t="s">
        <v>63</v>
      </c>
      <c r="K52" s="24" t="s">
        <v>63</v>
      </c>
      <c r="L52" s="24">
        <v>46248</v>
      </c>
      <c r="M52" s="24"/>
      <c r="N52" s="24">
        <v>46255</v>
      </c>
      <c r="O52" s="24"/>
      <c r="P52" s="22" t="s">
        <v>48</v>
      </c>
      <c r="Q52" s="23">
        <v>285</v>
      </c>
      <c r="R52" s="47"/>
    </row>
    <row r="53" spans="1:18" hidden="1" x14ac:dyDescent="0.25">
      <c r="A53" s="20">
        <v>27600</v>
      </c>
      <c r="B53" s="20">
        <v>16</v>
      </c>
      <c r="C53" s="21" t="s">
        <v>154</v>
      </c>
      <c r="D53" s="20" t="s">
        <v>63</v>
      </c>
      <c r="E53" s="21" t="s">
        <v>193</v>
      </c>
      <c r="F53" s="46">
        <v>1</v>
      </c>
      <c r="G53" s="22">
        <v>46289</v>
      </c>
      <c r="H53" s="24" t="s">
        <v>63</v>
      </c>
      <c r="I53" s="24" t="s">
        <v>63</v>
      </c>
      <c r="J53" s="23" t="s">
        <v>63</v>
      </c>
      <c r="K53" s="24" t="s">
        <v>63</v>
      </c>
      <c r="L53" s="24">
        <v>46248</v>
      </c>
      <c r="M53" s="24"/>
      <c r="N53" s="24">
        <v>46255</v>
      </c>
      <c r="O53" s="24"/>
      <c r="P53" s="22" t="s">
        <v>48</v>
      </c>
      <c r="Q53" s="23">
        <v>285</v>
      </c>
      <c r="R53" s="47"/>
    </row>
    <row r="54" spans="1:18" hidden="1" x14ac:dyDescent="0.25">
      <c r="A54" s="20">
        <v>27597</v>
      </c>
      <c r="B54" s="20">
        <v>1</v>
      </c>
      <c r="C54" s="21" t="s">
        <v>146</v>
      </c>
      <c r="D54" s="20">
        <v>299303</v>
      </c>
      <c r="E54" s="21" t="s">
        <v>195</v>
      </c>
      <c r="F54" s="46">
        <v>1</v>
      </c>
      <c r="G54" s="22">
        <v>46332</v>
      </c>
      <c r="H54" s="24">
        <v>46297</v>
      </c>
      <c r="I54" s="24"/>
      <c r="J54" s="24">
        <v>46307</v>
      </c>
      <c r="K54" s="24"/>
      <c r="L54" s="23" t="s">
        <v>63</v>
      </c>
      <c r="M54" s="23" t="s">
        <v>63</v>
      </c>
      <c r="N54" s="23" t="s">
        <v>63</v>
      </c>
      <c r="O54" s="23" t="s">
        <v>63</v>
      </c>
      <c r="P54" s="22" t="s">
        <v>48</v>
      </c>
      <c r="Q54" s="23">
        <v>496</v>
      </c>
      <c r="R54" s="47"/>
    </row>
  </sheetData>
  <autoFilter ref="A1:R54" xr:uid="{9730F04C-E101-46F3-A942-AC61D67D9938}">
    <filterColumn colId="2">
      <filters>
        <filter val="Piacentini"/>
      </filters>
    </filterColumn>
  </autoFilter>
  <sortState xmlns:xlrd2="http://schemas.microsoft.com/office/spreadsheetml/2017/richdata2" ref="A2:R54">
    <sortCondition ref="G2:G54"/>
  </sortState>
  <pageMargins left="0.25" right="0.25" top="0.75" bottom="0.75" header="0.3" footer="0.3"/>
  <pageSetup paperSize="9" scale="3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D24F-B3EF-4CA9-A951-03CC4269A17E}">
  <sheetPr filterMode="1"/>
  <dimension ref="A1:M113"/>
  <sheetViews>
    <sheetView workbookViewId="0">
      <selection activeCell="J127" sqref="J127"/>
    </sheetView>
  </sheetViews>
  <sheetFormatPr defaultRowHeight="15" x14ac:dyDescent="0.25"/>
  <cols>
    <col min="1" max="1" width="6" style="8" bestFit="1" customWidth="1"/>
    <col min="2" max="2" width="4.7109375" style="8" bestFit="1" customWidth="1"/>
    <col min="3" max="3" width="18" style="25" bestFit="1" customWidth="1"/>
    <col min="4" max="4" width="8" style="8" bestFit="1" customWidth="1"/>
    <col min="5" max="5" width="47.28515625" style="25" customWidth="1"/>
    <col min="6" max="9" width="16.7109375" style="8" customWidth="1"/>
    <col min="10" max="10" width="14.140625" style="1" customWidth="1"/>
    <col min="11" max="11" width="13.42578125" bestFit="1" customWidth="1"/>
    <col min="12" max="12" width="8" style="8" bestFit="1" customWidth="1"/>
    <col min="13" max="13" width="16.85546875" customWidth="1"/>
  </cols>
  <sheetData>
    <row r="1" spans="1:13" s="8" customFormat="1" ht="27" customHeight="1" x14ac:dyDescent="0.25">
      <c r="A1" s="18" t="s">
        <v>0</v>
      </c>
      <c r="B1" s="18" t="s">
        <v>1</v>
      </c>
      <c r="C1" s="18" t="s">
        <v>3</v>
      </c>
      <c r="D1" s="18" t="s">
        <v>4</v>
      </c>
      <c r="E1" s="18" t="s">
        <v>100</v>
      </c>
      <c r="F1" s="18" t="s">
        <v>337</v>
      </c>
      <c r="G1" s="19" t="s">
        <v>168</v>
      </c>
      <c r="H1" s="19" t="s">
        <v>336</v>
      </c>
      <c r="I1" s="19" t="s">
        <v>169</v>
      </c>
      <c r="J1" s="19" t="s">
        <v>170</v>
      </c>
      <c r="K1" s="19" t="s">
        <v>74</v>
      </c>
      <c r="L1" s="19" t="s">
        <v>363</v>
      </c>
      <c r="M1" s="19" t="s">
        <v>59</v>
      </c>
    </row>
    <row r="2" spans="1:13" hidden="1" x14ac:dyDescent="0.25">
      <c r="A2" s="20">
        <v>27415</v>
      </c>
      <c r="B2" s="20">
        <v>1</v>
      </c>
      <c r="C2" s="73" t="s">
        <v>146</v>
      </c>
      <c r="D2" s="20">
        <v>152652</v>
      </c>
      <c r="E2" s="73" t="s">
        <v>338</v>
      </c>
      <c r="F2" s="22">
        <v>46162</v>
      </c>
      <c r="G2" s="22">
        <v>46213</v>
      </c>
      <c r="H2" s="22">
        <v>46216</v>
      </c>
      <c r="I2" s="22">
        <v>46220</v>
      </c>
      <c r="J2" s="92">
        <v>46220</v>
      </c>
      <c r="K2" s="47" t="s">
        <v>202</v>
      </c>
      <c r="L2" s="20">
        <v>395</v>
      </c>
      <c r="M2" s="47"/>
    </row>
    <row r="3" spans="1:13" hidden="1" x14ac:dyDescent="0.25">
      <c r="A3" s="20">
        <v>27574</v>
      </c>
      <c r="B3" s="20">
        <v>1</v>
      </c>
      <c r="C3" s="73" t="s">
        <v>146</v>
      </c>
      <c r="D3" s="20">
        <v>152655</v>
      </c>
      <c r="E3" s="73" t="s">
        <v>339</v>
      </c>
      <c r="F3" s="22">
        <v>46234</v>
      </c>
      <c r="G3" s="22">
        <v>46213</v>
      </c>
      <c r="H3" s="22">
        <v>46218</v>
      </c>
      <c r="I3" s="22">
        <v>46220</v>
      </c>
      <c r="J3" s="92">
        <v>46225</v>
      </c>
      <c r="K3" s="47" t="s">
        <v>326</v>
      </c>
      <c r="L3" s="20">
        <v>395</v>
      </c>
      <c r="M3" s="47"/>
    </row>
    <row r="4" spans="1:13" hidden="1" x14ac:dyDescent="0.25">
      <c r="A4" s="20">
        <v>27574</v>
      </c>
      <c r="B4" s="20">
        <v>2</v>
      </c>
      <c r="C4" s="73" t="s">
        <v>146</v>
      </c>
      <c r="D4" s="20">
        <v>152655</v>
      </c>
      <c r="E4" s="73" t="s">
        <v>339</v>
      </c>
      <c r="F4" s="22">
        <v>46234</v>
      </c>
      <c r="G4" s="22">
        <v>46213</v>
      </c>
      <c r="H4" s="22">
        <v>46218</v>
      </c>
      <c r="I4" s="22">
        <v>46220</v>
      </c>
      <c r="J4" s="92">
        <v>46225</v>
      </c>
      <c r="K4" s="47" t="s">
        <v>326</v>
      </c>
      <c r="L4" s="20">
        <v>395</v>
      </c>
      <c r="M4" s="47"/>
    </row>
    <row r="5" spans="1:13" x14ac:dyDescent="0.25">
      <c r="A5" s="20">
        <v>27572</v>
      </c>
      <c r="B5" s="20">
        <v>1</v>
      </c>
      <c r="C5" s="73" t="s">
        <v>146</v>
      </c>
      <c r="D5" s="20">
        <v>152654</v>
      </c>
      <c r="E5" s="73" t="s">
        <v>340</v>
      </c>
      <c r="F5" s="22">
        <v>46234</v>
      </c>
      <c r="G5" s="22">
        <v>46213</v>
      </c>
      <c r="H5" s="22">
        <v>46213</v>
      </c>
      <c r="I5" s="22">
        <v>46220</v>
      </c>
      <c r="J5" s="92">
        <v>46220</v>
      </c>
      <c r="K5" s="47" t="s">
        <v>326</v>
      </c>
      <c r="L5" s="20">
        <v>395</v>
      </c>
      <c r="M5" s="47"/>
    </row>
    <row r="6" spans="1:13" x14ac:dyDescent="0.25">
      <c r="A6" s="20">
        <v>27572</v>
      </c>
      <c r="B6" s="20">
        <v>2</v>
      </c>
      <c r="C6" s="73" t="s">
        <v>146</v>
      </c>
      <c r="D6" s="20">
        <v>152654</v>
      </c>
      <c r="E6" s="73" t="s">
        <v>340</v>
      </c>
      <c r="F6" s="22">
        <v>46234</v>
      </c>
      <c r="G6" s="22">
        <v>46213</v>
      </c>
      <c r="H6" s="22">
        <v>46226</v>
      </c>
      <c r="I6" s="22">
        <v>46220</v>
      </c>
      <c r="J6" s="91"/>
      <c r="K6" s="47" t="s">
        <v>202</v>
      </c>
      <c r="L6" s="20">
        <v>395</v>
      </c>
      <c r="M6" s="47"/>
    </row>
    <row r="7" spans="1:13" x14ac:dyDescent="0.25">
      <c r="A7" s="20">
        <v>27572</v>
      </c>
      <c r="B7" s="20">
        <v>3</v>
      </c>
      <c r="C7" s="73" t="s">
        <v>146</v>
      </c>
      <c r="D7" s="20">
        <v>152654</v>
      </c>
      <c r="E7" s="73" t="s">
        <v>340</v>
      </c>
      <c r="F7" s="22">
        <v>46234</v>
      </c>
      <c r="G7" s="22">
        <v>46213</v>
      </c>
      <c r="H7" s="22">
        <v>46226</v>
      </c>
      <c r="I7" s="22">
        <v>46220</v>
      </c>
      <c r="J7" s="91"/>
      <c r="K7" s="47" t="s">
        <v>202</v>
      </c>
      <c r="L7" s="20">
        <v>395</v>
      </c>
      <c r="M7" s="47"/>
    </row>
    <row r="8" spans="1:13" x14ac:dyDescent="0.25">
      <c r="A8" s="20">
        <v>27572</v>
      </c>
      <c r="B8" s="20">
        <v>4</v>
      </c>
      <c r="C8" s="73" t="s">
        <v>146</v>
      </c>
      <c r="D8" s="20">
        <v>152654</v>
      </c>
      <c r="E8" s="73" t="s">
        <v>340</v>
      </c>
      <c r="F8" s="22">
        <v>46234</v>
      </c>
      <c r="G8" s="22">
        <v>46213</v>
      </c>
      <c r="H8" s="22">
        <v>46226</v>
      </c>
      <c r="I8" s="22">
        <v>46220</v>
      </c>
      <c r="J8" s="91"/>
      <c r="K8" s="47" t="s">
        <v>202</v>
      </c>
      <c r="L8" s="20">
        <v>395</v>
      </c>
      <c r="M8" s="47"/>
    </row>
    <row r="9" spans="1:13" hidden="1" x14ac:dyDescent="0.25">
      <c r="A9" s="20">
        <v>27595</v>
      </c>
      <c r="B9" s="20">
        <v>1</v>
      </c>
      <c r="C9" s="73" t="s">
        <v>146</v>
      </c>
      <c r="D9" s="20">
        <v>152650</v>
      </c>
      <c r="E9" s="73" t="s">
        <v>341</v>
      </c>
      <c r="F9" s="22">
        <v>46238</v>
      </c>
      <c r="G9" s="22">
        <v>46213</v>
      </c>
      <c r="H9" s="22">
        <v>46210</v>
      </c>
      <c r="I9" s="22">
        <v>46220</v>
      </c>
      <c r="J9" s="92">
        <v>46217</v>
      </c>
      <c r="K9" s="47" t="s">
        <v>326</v>
      </c>
      <c r="L9" s="20">
        <v>123</v>
      </c>
      <c r="M9" s="47"/>
    </row>
    <row r="10" spans="1:13" hidden="1" x14ac:dyDescent="0.25">
      <c r="A10" s="20">
        <v>27595</v>
      </c>
      <c r="B10" s="20">
        <v>2</v>
      </c>
      <c r="C10" s="73" t="s">
        <v>146</v>
      </c>
      <c r="D10" s="20">
        <v>152650</v>
      </c>
      <c r="E10" s="73" t="s">
        <v>341</v>
      </c>
      <c r="F10" s="22">
        <v>46238</v>
      </c>
      <c r="G10" s="22">
        <v>46213</v>
      </c>
      <c r="H10" s="22">
        <v>46210</v>
      </c>
      <c r="I10" s="22">
        <v>46220</v>
      </c>
      <c r="J10" s="92">
        <v>46217</v>
      </c>
      <c r="K10" s="47" t="s">
        <v>326</v>
      </c>
      <c r="L10" s="20">
        <v>123</v>
      </c>
      <c r="M10" s="47"/>
    </row>
    <row r="11" spans="1:13" hidden="1" x14ac:dyDescent="0.25">
      <c r="A11" s="20">
        <v>27595</v>
      </c>
      <c r="B11" s="20">
        <v>3</v>
      </c>
      <c r="C11" s="73" t="s">
        <v>146</v>
      </c>
      <c r="D11" s="20">
        <v>152650</v>
      </c>
      <c r="E11" s="73" t="s">
        <v>341</v>
      </c>
      <c r="F11" s="22">
        <v>46238</v>
      </c>
      <c r="G11" s="22">
        <v>46213</v>
      </c>
      <c r="H11" s="22">
        <v>46210</v>
      </c>
      <c r="I11" s="22">
        <v>46220</v>
      </c>
      <c r="J11" s="92">
        <v>46217</v>
      </c>
      <c r="K11" s="47" t="s">
        <v>326</v>
      </c>
      <c r="L11" s="20">
        <v>123</v>
      </c>
      <c r="M11" s="47"/>
    </row>
    <row r="12" spans="1:13" hidden="1" x14ac:dyDescent="0.25">
      <c r="A12" s="20">
        <v>27595</v>
      </c>
      <c r="B12" s="20">
        <v>4</v>
      </c>
      <c r="C12" s="73" t="s">
        <v>146</v>
      </c>
      <c r="D12" s="20">
        <v>152650</v>
      </c>
      <c r="E12" s="73" t="s">
        <v>341</v>
      </c>
      <c r="F12" s="22">
        <v>46238</v>
      </c>
      <c r="G12" s="22">
        <v>46213</v>
      </c>
      <c r="H12" s="22">
        <v>46210</v>
      </c>
      <c r="I12" s="22">
        <v>46220</v>
      </c>
      <c r="J12" s="92">
        <v>46217</v>
      </c>
      <c r="K12" s="47" t="s">
        <v>326</v>
      </c>
      <c r="L12" s="20">
        <v>123</v>
      </c>
      <c r="M12" s="47"/>
    </row>
    <row r="13" spans="1:13" hidden="1" x14ac:dyDescent="0.25">
      <c r="A13" s="20">
        <v>27595</v>
      </c>
      <c r="B13" s="20">
        <v>5</v>
      </c>
      <c r="C13" s="73" t="s">
        <v>146</v>
      </c>
      <c r="D13" s="20">
        <v>152650</v>
      </c>
      <c r="E13" s="73" t="s">
        <v>341</v>
      </c>
      <c r="F13" s="22">
        <v>46238</v>
      </c>
      <c r="G13" s="22">
        <v>46213</v>
      </c>
      <c r="H13" s="22">
        <v>46210</v>
      </c>
      <c r="I13" s="22">
        <v>46220</v>
      </c>
      <c r="J13" s="92">
        <v>46217</v>
      </c>
      <c r="K13" s="47" t="s">
        <v>326</v>
      </c>
      <c r="L13" s="20">
        <v>123</v>
      </c>
      <c r="M13" s="47"/>
    </row>
    <row r="14" spans="1:13" hidden="1" x14ac:dyDescent="0.25">
      <c r="A14" s="20">
        <v>27595</v>
      </c>
      <c r="B14" s="20">
        <v>6</v>
      </c>
      <c r="C14" s="73" t="s">
        <v>146</v>
      </c>
      <c r="D14" s="20">
        <v>152650</v>
      </c>
      <c r="E14" s="73" t="s">
        <v>341</v>
      </c>
      <c r="F14" s="22">
        <v>46238</v>
      </c>
      <c r="G14" s="22">
        <v>46213</v>
      </c>
      <c r="H14" s="22">
        <v>46216</v>
      </c>
      <c r="I14" s="22">
        <v>46220</v>
      </c>
      <c r="J14" s="92">
        <v>46225</v>
      </c>
      <c r="K14" s="47" t="s">
        <v>326</v>
      </c>
      <c r="L14" s="20">
        <v>395</v>
      </c>
      <c r="M14" s="47"/>
    </row>
    <row r="15" spans="1:13" hidden="1" x14ac:dyDescent="0.25">
      <c r="A15" s="20">
        <v>27595</v>
      </c>
      <c r="B15" s="20">
        <v>7</v>
      </c>
      <c r="C15" s="73" t="s">
        <v>146</v>
      </c>
      <c r="D15" s="20">
        <v>152650</v>
      </c>
      <c r="E15" s="73" t="s">
        <v>341</v>
      </c>
      <c r="F15" s="22">
        <v>46238</v>
      </c>
      <c r="G15" s="22">
        <v>46213</v>
      </c>
      <c r="H15" s="22">
        <v>46216</v>
      </c>
      <c r="I15" s="22">
        <v>46220</v>
      </c>
      <c r="J15" s="92">
        <v>46225</v>
      </c>
      <c r="K15" s="47" t="s">
        <v>326</v>
      </c>
      <c r="L15" s="20">
        <v>395</v>
      </c>
      <c r="M15" s="47"/>
    </row>
    <row r="16" spans="1:13" hidden="1" x14ac:dyDescent="0.25">
      <c r="A16" s="20">
        <v>27595</v>
      </c>
      <c r="B16" s="20">
        <v>8</v>
      </c>
      <c r="C16" s="73" t="s">
        <v>146</v>
      </c>
      <c r="D16" s="20">
        <v>152650</v>
      </c>
      <c r="E16" s="73" t="s">
        <v>341</v>
      </c>
      <c r="F16" s="22">
        <v>46238</v>
      </c>
      <c r="G16" s="22">
        <v>46213</v>
      </c>
      <c r="H16" s="22">
        <v>46216</v>
      </c>
      <c r="I16" s="22">
        <v>46220</v>
      </c>
      <c r="J16" s="92">
        <v>46225</v>
      </c>
      <c r="K16" s="47" t="s">
        <v>326</v>
      </c>
      <c r="L16" s="20">
        <v>395</v>
      </c>
      <c r="M16" s="47"/>
    </row>
    <row r="17" spans="1:13" hidden="1" x14ac:dyDescent="0.25">
      <c r="A17" s="20">
        <v>27595</v>
      </c>
      <c r="B17" s="20">
        <v>9</v>
      </c>
      <c r="C17" s="73" t="s">
        <v>146</v>
      </c>
      <c r="D17" s="20">
        <v>152650</v>
      </c>
      <c r="E17" s="73" t="s">
        <v>341</v>
      </c>
      <c r="F17" s="22">
        <v>46238</v>
      </c>
      <c r="G17" s="22">
        <v>46213</v>
      </c>
      <c r="H17" s="22">
        <v>46216</v>
      </c>
      <c r="I17" s="22">
        <v>46220</v>
      </c>
      <c r="J17" s="92">
        <v>46225</v>
      </c>
      <c r="K17" s="47" t="s">
        <v>326</v>
      </c>
      <c r="L17" s="20">
        <v>395</v>
      </c>
      <c r="M17" s="47"/>
    </row>
    <row r="18" spans="1:13" hidden="1" x14ac:dyDescent="0.25">
      <c r="A18" s="20">
        <v>27602</v>
      </c>
      <c r="B18" s="20">
        <v>1</v>
      </c>
      <c r="C18" s="73" t="s">
        <v>146</v>
      </c>
      <c r="D18" s="20">
        <v>152655</v>
      </c>
      <c r="E18" s="73" t="s">
        <v>339</v>
      </c>
      <c r="F18" s="22">
        <v>46240</v>
      </c>
      <c r="G18" s="22">
        <v>46220</v>
      </c>
      <c r="H18" s="22">
        <v>46218</v>
      </c>
      <c r="I18" s="22">
        <v>46227</v>
      </c>
      <c r="J18" s="92">
        <v>46225</v>
      </c>
      <c r="K18" s="47" t="s">
        <v>326</v>
      </c>
      <c r="L18" s="20">
        <v>395</v>
      </c>
      <c r="M18" s="47"/>
    </row>
    <row r="19" spans="1:13" hidden="1" x14ac:dyDescent="0.25">
      <c r="A19" s="20">
        <v>27602</v>
      </c>
      <c r="B19" s="20">
        <v>2</v>
      </c>
      <c r="C19" s="73" t="s">
        <v>146</v>
      </c>
      <c r="D19" s="20">
        <v>152655</v>
      </c>
      <c r="E19" s="73" t="s">
        <v>339</v>
      </c>
      <c r="F19" s="22">
        <v>46240</v>
      </c>
      <c r="G19" s="22">
        <v>46220</v>
      </c>
      <c r="H19" s="22">
        <v>46226</v>
      </c>
      <c r="I19" s="22">
        <v>46227</v>
      </c>
      <c r="J19" s="92"/>
      <c r="K19" s="47" t="s">
        <v>202</v>
      </c>
      <c r="L19" s="20">
        <v>395</v>
      </c>
      <c r="M19" s="47"/>
    </row>
    <row r="20" spans="1:13" hidden="1" x14ac:dyDescent="0.25">
      <c r="A20" s="20">
        <v>27602</v>
      </c>
      <c r="B20" s="20">
        <v>3</v>
      </c>
      <c r="C20" s="73" t="s">
        <v>146</v>
      </c>
      <c r="D20" s="20">
        <v>152655</v>
      </c>
      <c r="E20" s="73" t="s">
        <v>339</v>
      </c>
      <c r="F20" s="22">
        <v>46240</v>
      </c>
      <c r="G20" s="22">
        <v>46220</v>
      </c>
      <c r="H20" s="22">
        <v>46226</v>
      </c>
      <c r="I20" s="22">
        <v>46227</v>
      </c>
      <c r="J20" s="91"/>
      <c r="K20" s="47" t="s">
        <v>202</v>
      </c>
      <c r="L20" s="20">
        <v>395</v>
      </c>
      <c r="M20" s="47"/>
    </row>
    <row r="21" spans="1:13" hidden="1" x14ac:dyDescent="0.25">
      <c r="A21" s="20">
        <v>27602</v>
      </c>
      <c r="B21" s="20">
        <v>4</v>
      </c>
      <c r="C21" s="73" t="s">
        <v>146</v>
      </c>
      <c r="D21" s="20">
        <v>152655</v>
      </c>
      <c r="E21" s="73" t="s">
        <v>339</v>
      </c>
      <c r="F21" s="22">
        <v>46240</v>
      </c>
      <c r="G21" s="22">
        <v>46220</v>
      </c>
      <c r="H21" s="22">
        <v>46226</v>
      </c>
      <c r="I21" s="22">
        <v>46227</v>
      </c>
      <c r="J21" s="91"/>
      <c r="K21" s="47" t="s">
        <v>202</v>
      </c>
      <c r="L21" s="20">
        <v>395</v>
      </c>
      <c r="M21" s="47"/>
    </row>
    <row r="22" spans="1:13" hidden="1" x14ac:dyDescent="0.25">
      <c r="A22" s="20">
        <v>27592</v>
      </c>
      <c r="B22" s="20">
        <v>1</v>
      </c>
      <c r="C22" s="73" t="s">
        <v>146</v>
      </c>
      <c r="D22" s="20">
        <v>152655</v>
      </c>
      <c r="E22" s="73" t="s">
        <v>339</v>
      </c>
      <c r="F22" s="22">
        <v>46241</v>
      </c>
      <c r="G22" s="22">
        <v>46220</v>
      </c>
      <c r="H22" s="22"/>
      <c r="I22" s="22">
        <v>46227</v>
      </c>
      <c r="J22" s="91"/>
      <c r="K22" s="47" t="s">
        <v>48</v>
      </c>
      <c r="L22" s="20"/>
      <c r="M22" s="47"/>
    </row>
    <row r="23" spans="1:13" hidden="1" x14ac:dyDescent="0.25">
      <c r="A23" s="20">
        <v>27592</v>
      </c>
      <c r="B23" s="20">
        <v>2</v>
      </c>
      <c r="C23" s="73" t="s">
        <v>146</v>
      </c>
      <c r="D23" s="20">
        <v>152655</v>
      </c>
      <c r="E23" s="73" t="s">
        <v>339</v>
      </c>
      <c r="F23" s="22">
        <v>46241</v>
      </c>
      <c r="G23" s="22">
        <v>46220</v>
      </c>
      <c r="H23" s="22"/>
      <c r="I23" s="22">
        <v>46227</v>
      </c>
      <c r="J23" s="91"/>
      <c r="K23" s="47" t="s">
        <v>48</v>
      </c>
      <c r="L23" s="20"/>
      <c r="M23" s="47"/>
    </row>
    <row r="24" spans="1:13" hidden="1" x14ac:dyDescent="0.25">
      <c r="A24" s="20">
        <v>27591</v>
      </c>
      <c r="B24" s="20">
        <v>1</v>
      </c>
      <c r="C24" s="73" t="s">
        <v>146</v>
      </c>
      <c r="D24" s="20">
        <v>152650</v>
      </c>
      <c r="E24" s="73" t="s">
        <v>341</v>
      </c>
      <c r="F24" s="22">
        <v>46241</v>
      </c>
      <c r="G24" s="22">
        <v>46213</v>
      </c>
      <c r="H24" s="22">
        <v>46216</v>
      </c>
      <c r="I24" s="22">
        <v>46220</v>
      </c>
      <c r="J24" s="92">
        <v>46225</v>
      </c>
      <c r="K24" s="47" t="s">
        <v>326</v>
      </c>
      <c r="L24" s="20">
        <v>395</v>
      </c>
      <c r="M24" s="47"/>
    </row>
    <row r="25" spans="1:13" hidden="1" x14ac:dyDescent="0.25">
      <c r="A25" s="20">
        <v>27591</v>
      </c>
      <c r="B25" s="20">
        <v>2</v>
      </c>
      <c r="C25" s="73" t="s">
        <v>146</v>
      </c>
      <c r="D25" s="20">
        <v>152650</v>
      </c>
      <c r="E25" s="73" t="s">
        <v>341</v>
      </c>
      <c r="F25" s="22">
        <v>46241</v>
      </c>
      <c r="G25" s="22">
        <v>46213</v>
      </c>
      <c r="H25" s="22">
        <v>46216</v>
      </c>
      <c r="I25" s="22">
        <v>46220</v>
      </c>
      <c r="J25" s="92">
        <v>46225</v>
      </c>
      <c r="K25" s="47" t="s">
        <v>326</v>
      </c>
      <c r="L25" s="20">
        <v>395</v>
      </c>
      <c r="M25" s="47"/>
    </row>
    <row r="26" spans="1:13" hidden="1" x14ac:dyDescent="0.25">
      <c r="A26" s="20">
        <v>27591</v>
      </c>
      <c r="B26" s="20">
        <v>3</v>
      </c>
      <c r="C26" s="73" t="s">
        <v>146</v>
      </c>
      <c r="D26" s="20">
        <v>152650</v>
      </c>
      <c r="E26" s="73" t="s">
        <v>341</v>
      </c>
      <c r="F26" s="22">
        <v>46241</v>
      </c>
      <c r="G26" s="22">
        <v>46213</v>
      </c>
      <c r="H26" s="22">
        <v>46216</v>
      </c>
      <c r="I26" s="22">
        <v>46220</v>
      </c>
      <c r="J26" s="92">
        <v>46225</v>
      </c>
      <c r="K26" s="47" t="s">
        <v>326</v>
      </c>
      <c r="L26" s="20">
        <v>395</v>
      </c>
      <c r="M26" s="47"/>
    </row>
    <row r="27" spans="1:13" hidden="1" x14ac:dyDescent="0.25">
      <c r="A27" s="20">
        <v>27591</v>
      </c>
      <c r="B27" s="20">
        <v>4</v>
      </c>
      <c r="C27" s="73" t="s">
        <v>146</v>
      </c>
      <c r="D27" s="20">
        <v>152650</v>
      </c>
      <c r="E27" s="73" t="s">
        <v>341</v>
      </c>
      <c r="F27" s="22">
        <v>46241</v>
      </c>
      <c r="G27" s="22">
        <v>46213</v>
      </c>
      <c r="H27" s="22">
        <v>46225</v>
      </c>
      <c r="I27" s="22">
        <v>46220</v>
      </c>
      <c r="J27" s="91"/>
      <c r="K27" s="47" t="s">
        <v>202</v>
      </c>
      <c r="L27" s="20">
        <v>395</v>
      </c>
      <c r="M27" s="47"/>
    </row>
    <row r="28" spans="1:13" hidden="1" x14ac:dyDescent="0.25">
      <c r="A28" s="20">
        <v>27591</v>
      </c>
      <c r="B28" s="20">
        <v>5</v>
      </c>
      <c r="C28" s="73" t="s">
        <v>146</v>
      </c>
      <c r="D28" s="20">
        <v>152650</v>
      </c>
      <c r="E28" s="73" t="s">
        <v>341</v>
      </c>
      <c r="F28" s="22">
        <v>46241</v>
      </c>
      <c r="G28" s="22">
        <v>46213</v>
      </c>
      <c r="H28" s="22">
        <v>46225</v>
      </c>
      <c r="I28" s="22">
        <v>46220</v>
      </c>
      <c r="J28" s="91"/>
      <c r="K28" s="47" t="s">
        <v>202</v>
      </c>
      <c r="L28" s="20">
        <v>395</v>
      </c>
      <c r="M28" s="47"/>
    </row>
    <row r="29" spans="1:13" hidden="1" x14ac:dyDescent="0.25">
      <c r="A29" s="20">
        <v>27594</v>
      </c>
      <c r="B29" s="20">
        <v>1</v>
      </c>
      <c r="C29" s="73" t="s">
        <v>146</v>
      </c>
      <c r="D29" s="20">
        <v>152650</v>
      </c>
      <c r="E29" s="73" t="s">
        <v>341</v>
      </c>
      <c r="F29" s="22">
        <v>46245</v>
      </c>
      <c r="G29" s="22">
        <v>46220</v>
      </c>
      <c r="H29" s="22"/>
      <c r="I29" s="22">
        <v>46227</v>
      </c>
      <c r="J29" s="91"/>
      <c r="K29" s="47" t="s">
        <v>48</v>
      </c>
      <c r="L29" s="20"/>
      <c r="M29" s="47"/>
    </row>
    <row r="30" spans="1:13" hidden="1" x14ac:dyDescent="0.25">
      <c r="A30" s="20">
        <v>27594</v>
      </c>
      <c r="B30" s="20">
        <v>2</v>
      </c>
      <c r="C30" s="73" t="s">
        <v>146</v>
      </c>
      <c r="D30" s="20">
        <v>152650</v>
      </c>
      <c r="E30" s="73" t="s">
        <v>341</v>
      </c>
      <c r="F30" s="22">
        <v>46245</v>
      </c>
      <c r="G30" s="22">
        <v>46220</v>
      </c>
      <c r="H30" s="22"/>
      <c r="I30" s="22">
        <v>46227</v>
      </c>
      <c r="J30" s="91"/>
      <c r="K30" s="47" t="s">
        <v>48</v>
      </c>
      <c r="L30" s="20"/>
      <c r="M30" s="47"/>
    </row>
    <row r="31" spans="1:13" hidden="1" x14ac:dyDescent="0.25">
      <c r="A31" s="20">
        <v>27594</v>
      </c>
      <c r="B31" s="20">
        <v>3</v>
      </c>
      <c r="C31" s="73" t="s">
        <v>146</v>
      </c>
      <c r="D31" s="20">
        <v>152650</v>
      </c>
      <c r="E31" s="73" t="s">
        <v>341</v>
      </c>
      <c r="F31" s="22">
        <v>46245</v>
      </c>
      <c r="G31" s="22">
        <v>46220</v>
      </c>
      <c r="H31" s="22"/>
      <c r="I31" s="22">
        <v>46227</v>
      </c>
      <c r="J31" s="91"/>
      <c r="K31" s="47" t="s">
        <v>48</v>
      </c>
      <c r="L31" s="20"/>
      <c r="M31" s="47"/>
    </row>
    <row r="32" spans="1:13" hidden="1" x14ac:dyDescent="0.25">
      <c r="A32" s="20">
        <v>27594</v>
      </c>
      <c r="B32" s="20">
        <v>4</v>
      </c>
      <c r="C32" s="73" t="s">
        <v>146</v>
      </c>
      <c r="D32" s="20">
        <v>152650</v>
      </c>
      <c r="E32" s="73" t="s">
        <v>341</v>
      </c>
      <c r="F32" s="22">
        <v>46245</v>
      </c>
      <c r="G32" s="22">
        <v>46220</v>
      </c>
      <c r="H32" s="22"/>
      <c r="I32" s="22">
        <v>46227</v>
      </c>
      <c r="J32" s="91"/>
      <c r="K32" s="47" t="s">
        <v>48</v>
      </c>
      <c r="L32" s="20"/>
      <c r="M32" s="47"/>
    </row>
    <row r="33" spans="1:13" hidden="1" x14ac:dyDescent="0.25">
      <c r="A33" s="20">
        <v>27594</v>
      </c>
      <c r="B33" s="20">
        <v>5</v>
      </c>
      <c r="C33" s="73" t="s">
        <v>146</v>
      </c>
      <c r="D33" s="20">
        <v>152650</v>
      </c>
      <c r="E33" s="73" t="s">
        <v>341</v>
      </c>
      <c r="F33" s="22">
        <v>46245</v>
      </c>
      <c r="G33" s="22">
        <v>46220</v>
      </c>
      <c r="H33" s="22"/>
      <c r="I33" s="22">
        <v>46227</v>
      </c>
      <c r="J33" s="91"/>
      <c r="K33" s="47" t="s">
        <v>48</v>
      </c>
      <c r="L33" s="20"/>
      <c r="M33" s="47"/>
    </row>
    <row r="34" spans="1:13" hidden="1" x14ac:dyDescent="0.25">
      <c r="A34" s="20">
        <v>27594</v>
      </c>
      <c r="B34" s="20">
        <v>6</v>
      </c>
      <c r="C34" s="73" t="s">
        <v>146</v>
      </c>
      <c r="D34" s="20">
        <v>152650</v>
      </c>
      <c r="E34" s="73" t="s">
        <v>341</v>
      </c>
      <c r="F34" s="22">
        <v>46245</v>
      </c>
      <c r="G34" s="22">
        <v>46220</v>
      </c>
      <c r="H34" s="22"/>
      <c r="I34" s="22">
        <v>46227</v>
      </c>
      <c r="J34" s="91"/>
      <c r="K34" s="47" t="s">
        <v>48</v>
      </c>
      <c r="L34" s="20"/>
      <c r="M34" s="47"/>
    </row>
    <row r="35" spans="1:13" hidden="1" x14ac:dyDescent="0.25">
      <c r="A35" s="20">
        <v>27594</v>
      </c>
      <c r="B35" s="20">
        <v>7</v>
      </c>
      <c r="C35" s="73" t="s">
        <v>146</v>
      </c>
      <c r="D35" s="20">
        <v>152650</v>
      </c>
      <c r="E35" s="73" t="s">
        <v>341</v>
      </c>
      <c r="F35" s="22">
        <v>46245</v>
      </c>
      <c r="G35" s="22">
        <v>46220</v>
      </c>
      <c r="H35" s="22"/>
      <c r="I35" s="22">
        <v>46227</v>
      </c>
      <c r="J35" s="91"/>
      <c r="K35" s="47" t="s">
        <v>48</v>
      </c>
      <c r="L35" s="20"/>
      <c r="M35" s="47"/>
    </row>
    <row r="36" spans="1:13" hidden="1" x14ac:dyDescent="0.25">
      <c r="A36" s="20">
        <v>27594</v>
      </c>
      <c r="B36" s="20">
        <v>8</v>
      </c>
      <c r="C36" s="73" t="s">
        <v>146</v>
      </c>
      <c r="D36" s="20">
        <v>152650</v>
      </c>
      <c r="E36" s="73" t="s">
        <v>341</v>
      </c>
      <c r="F36" s="22">
        <v>46245</v>
      </c>
      <c r="G36" s="22">
        <v>46220</v>
      </c>
      <c r="H36" s="22"/>
      <c r="I36" s="22">
        <v>46227</v>
      </c>
      <c r="J36" s="91"/>
      <c r="K36" s="47" t="s">
        <v>48</v>
      </c>
      <c r="L36" s="20"/>
      <c r="M36" s="47"/>
    </row>
    <row r="37" spans="1:13" hidden="1" x14ac:dyDescent="0.25">
      <c r="A37" s="20">
        <v>27594</v>
      </c>
      <c r="B37" s="20">
        <v>9</v>
      </c>
      <c r="C37" s="73" t="s">
        <v>146</v>
      </c>
      <c r="D37" s="20">
        <v>152650</v>
      </c>
      <c r="E37" s="73" t="s">
        <v>341</v>
      </c>
      <c r="F37" s="22">
        <v>46245</v>
      </c>
      <c r="G37" s="22">
        <v>46220</v>
      </c>
      <c r="H37" s="22"/>
      <c r="I37" s="22">
        <v>46227</v>
      </c>
      <c r="J37" s="91"/>
      <c r="K37" s="47" t="s">
        <v>48</v>
      </c>
      <c r="L37" s="20"/>
      <c r="M37" s="47"/>
    </row>
    <row r="38" spans="1:13" hidden="1" x14ac:dyDescent="0.25">
      <c r="A38" s="20">
        <v>27594</v>
      </c>
      <c r="B38" s="20">
        <v>10</v>
      </c>
      <c r="C38" s="73" t="s">
        <v>146</v>
      </c>
      <c r="D38" s="20">
        <v>152650</v>
      </c>
      <c r="E38" s="73" t="s">
        <v>341</v>
      </c>
      <c r="F38" s="22">
        <v>46245</v>
      </c>
      <c r="G38" s="22">
        <v>46220</v>
      </c>
      <c r="H38" s="22"/>
      <c r="I38" s="22">
        <v>46227</v>
      </c>
      <c r="J38" s="91"/>
      <c r="K38" s="47" t="s">
        <v>48</v>
      </c>
      <c r="L38" s="20"/>
      <c r="M38" s="47"/>
    </row>
    <row r="39" spans="1:13" hidden="1" x14ac:dyDescent="0.25">
      <c r="A39" s="20">
        <v>27594</v>
      </c>
      <c r="B39" s="20">
        <v>11</v>
      </c>
      <c r="C39" s="73" t="s">
        <v>146</v>
      </c>
      <c r="D39" s="20">
        <v>152650</v>
      </c>
      <c r="E39" s="73" t="s">
        <v>341</v>
      </c>
      <c r="F39" s="22">
        <v>46245</v>
      </c>
      <c r="G39" s="22">
        <v>46220</v>
      </c>
      <c r="H39" s="22"/>
      <c r="I39" s="22">
        <v>46227</v>
      </c>
      <c r="J39" s="91"/>
      <c r="K39" s="47" t="s">
        <v>48</v>
      </c>
      <c r="L39" s="20"/>
      <c r="M39" s="47"/>
    </row>
    <row r="40" spans="1:13" hidden="1" x14ac:dyDescent="0.25">
      <c r="A40" s="20">
        <v>27594</v>
      </c>
      <c r="B40" s="20">
        <v>12</v>
      </c>
      <c r="C40" s="73" t="s">
        <v>146</v>
      </c>
      <c r="D40" s="20">
        <v>152650</v>
      </c>
      <c r="E40" s="73" t="s">
        <v>341</v>
      </c>
      <c r="F40" s="22">
        <v>46245</v>
      </c>
      <c r="G40" s="22">
        <v>46220</v>
      </c>
      <c r="H40" s="22"/>
      <c r="I40" s="22">
        <v>46227</v>
      </c>
      <c r="J40" s="91"/>
      <c r="K40" s="47" t="s">
        <v>48</v>
      </c>
      <c r="L40" s="20"/>
      <c r="M40" s="47"/>
    </row>
    <row r="41" spans="1:13" hidden="1" x14ac:dyDescent="0.25">
      <c r="A41" s="20">
        <v>27594</v>
      </c>
      <c r="B41" s="20">
        <v>13</v>
      </c>
      <c r="C41" s="73" t="s">
        <v>146</v>
      </c>
      <c r="D41" s="20">
        <v>152650</v>
      </c>
      <c r="E41" s="73" t="s">
        <v>341</v>
      </c>
      <c r="F41" s="22">
        <v>46245</v>
      </c>
      <c r="G41" s="22">
        <v>46220</v>
      </c>
      <c r="H41" s="22"/>
      <c r="I41" s="22">
        <v>46227</v>
      </c>
      <c r="J41" s="91"/>
      <c r="K41" s="47" t="s">
        <v>48</v>
      </c>
      <c r="L41" s="20"/>
      <c r="M41" s="47"/>
    </row>
    <row r="42" spans="1:13" hidden="1" x14ac:dyDescent="0.25">
      <c r="A42" s="20">
        <v>27606</v>
      </c>
      <c r="B42" s="20">
        <v>1</v>
      </c>
      <c r="C42" s="73" t="s">
        <v>146</v>
      </c>
      <c r="D42" s="20">
        <v>152653</v>
      </c>
      <c r="E42" s="73" t="s">
        <v>342</v>
      </c>
      <c r="F42" s="22">
        <v>46253</v>
      </c>
      <c r="G42" s="24">
        <v>46227</v>
      </c>
      <c r="H42" s="24">
        <v>46226</v>
      </c>
      <c r="I42" s="24">
        <v>46234</v>
      </c>
      <c r="J42" s="91"/>
      <c r="K42" s="47" t="s">
        <v>202</v>
      </c>
      <c r="L42" s="20">
        <v>395</v>
      </c>
      <c r="M42" s="47"/>
    </row>
    <row r="43" spans="1:13" hidden="1" x14ac:dyDescent="0.25">
      <c r="A43" s="20">
        <v>27606</v>
      </c>
      <c r="B43" s="20">
        <v>2</v>
      </c>
      <c r="C43" s="73" t="s">
        <v>146</v>
      </c>
      <c r="D43" s="20">
        <v>152653</v>
      </c>
      <c r="E43" s="73" t="s">
        <v>342</v>
      </c>
      <c r="F43" s="22">
        <v>46253</v>
      </c>
      <c r="G43" s="24">
        <v>46227</v>
      </c>
      <c r="H43" s="24"/>
      <c r="I43" s="24">
        <v>46234</v>
      </c>
      <c r="J43" s="91"/>
      <c r="K43" s="47" t="s">
        <v>48</v>
      </c>
      <c r="L43" s="20"/>
      <c r="M43" s="47"/>
    </row>
    <row r="44" spans="1:13" hidden="1" x14ac:dyDescent="0.25">
      <c r="A44" s="20">
        <v>27606</v>
      </c>
      <c r="B44" s="20">
        <v>3</v>
      </c>
      <c r="C44" s="73" t="s">
        <v>146</v>
      </c>
      <c r="D44" s="20">
        <v>152653</v>
      </c>
      <c r="E44" s="73" t="s">
        <v>342</v>
      </c>
      <c r="F44" s="22">
        <v>46253</v>
      </c>
      <c r="G44" s="24">
        <v>46227</v>
      </c>
      <c r="H44" s="24"/>
      <c r="I44" s="24">
        <v>46234</v>
      </c>
      <c r="J44" s="91"/>
      <c r="K44" s="47" t="s">
        <v>48</v>
      </c>
      <c r="L44" s="20"/>
      <c r="M44" s="47"/>
    </row>
    <row r="45" spans="1:13" hidden="1" x14ac:dyDescent="0.25">
      <c r="A45" s="20">
        <v>27606</v>
      </c>
      <c r="B45" s="20">
        <v>4</v>
      </c>
      <c r="C45" s="73" t="s">
        <v>146</v>
      </c>
      <c r="D45" s="20">
        <v>152653</v>
      </c>
      <c r="E45" s="73" t="s">
        <v>342</v>
      </c>
      <c r="F45" s="22">
        <v>46253</v>
      </c>
      <c r="G45" s="24">
        <v>46227</v>
      </c>
      <c r="H45" s="24"/>
      <c r="I45" s="24">
        <v>46234</v>
      </c>
      <c r="J45" s="91"/>
      <c r="K45" s="47" t="s">
        <v>48</v>
      </c>
      <c r="L45" s="20"/>
      <c r="M45" s="47"/>
    </row>
    <row r="46" spans="1:13" hidden="1" x14ac:dyDescent="0.25">
      <c r="A46" s="20">
        <v>27606</v>
      </c>
      <c r="B46" s="20">
        <v>5</v>
      </c>
      <c r="C46" s="73" t="s">
        <v>146</v>
      </c>
      <c r="D46" s="20">
        <v>152653</v>
      </c>
      <c r="E46" s="73" t="s">
        <v>342</v>
      </c>
      <c r="F46" s="22">
        <v>46253</v>
      </c>
      <c r="G46" s="24">
        <v>46227</v>
      </c>
      <c r="H46" s="24"/>
      <c r="I46" s="24">
        <v>46234</v>
      </c>
      <c r="J46" s="91"/>
      <c r="K46" s="47" t="s">
        <v>48</v>
      </c>
      <c r="L46" s="20"/>
      <c r="M46" s="47"/>
    </row>
    <row r="47" spans="1:13" hidden="1" x14ac:dyDescent="0.25">
      <c r="A47" s="20">
        <v>27606</v>
      </c>
      <c r="B47" s="20">
        <v>6</v>
      </c>
      <c r="C47" s="73" t="s">
        <v>146</v>
      </c>
      <c r="D47" s="20">
        <v>152653</v>
      </c>
      <c r="E47" s="73" t="s">
        <v>342</v>
      </c>
      <c r="F47" s="22">
        <v>46253</v>
      </c>
      <c r="G47" s="24">
        <v>46227</v>
      </c>
      <c r="H47" s="24"/>
      <c r="I47" s="24">
        <v>46234</v>
      </c>
      <c r="J47" s="91"/>
      <c r="K47" s="47" t="s">
        <v>48</v>
      </c>
      <c r="L47" s="20"/>
      <c r="M47" s="47"/>
    </row>
    <row r="48" spans="1:13" hidden="1" x14ac:dyDescent="0.25">
      <c r="A48" s="20">
        <v>27606</v>
      </c>
      <c r="B48" s="20">
        <v>7</v>
      </c>
      <c r="C48" s="73" t="s">
        <v>146</v>
      </c>
      <c r="D48" s="20">
        <v>152653</v>
      </c>
      <c r="E48" s="73" t="s">
        <v>342</v>
      </c>
      <c r="F48" s="22">
        <v>46253</v>
      </c>
      <c r="G48" s="24">
        <v>46227</v>
      </c>
      <c r="H48" s="24"/>
      <c r="I48" s="24">
        <v>46234</v>
      </c>
      <c r="J48" s="91"/>
      <c r="K48" s="47" t="s">
        <v>48</v>
      </c>
      <c r="L48" s="20"/>
      <c r="M48" s="47"/>
    </row>
    <row r="49" spans="1:13" hidden="1" x14ac:dyDescent="0.25">
      <c r="A49" s="20">
        <v>27606</v>
      </c>
      <c r="B49" s="20">
        <v>8</v>
      </c>
      <c r="C49" s="73" t="s">
        <v>146</v>
      </c>
      <c r="D49" s="20">
        <v>152653</v>
      </c>
      <c r="E49" s="73" t="s">
        <v>342</v>
      </c>
      <c r="F49" s="22">
        <v>46253</v>
      </c>
      <c r="G49" s="24">
        <v>46227</v>
      </c>
      <c r="H49" s="24"/>
      <c r="I49" s="24">
        <v>46234</v>
      </c>
      <c r="J49" s="91"/>
      <c r="K49" s="47" t="s">
        <v>48</v>
      </c>
      <c r="L49" s="20"/>
      <c r="M49" s="47"/>
    </row>
    <row r="50" spans="1:13" hidden="1" x14ac:dyDescent="0.25">
      <c r="A50" s="20">
        <v>27606</v>
      </c>
      <c r="B50" s="20">
        <v>9</v>
      </c>
      <c r="C50" s="73" t="s">
        <v>146</v>
      </c>
      <c r="D50" s="20">
        <v>152653</v>
      </c>
      <c r="E50" s="73" t="s">
        <v>342</v>
      </c>
      <c r="F50" s="22">
        <v>46253</v>
      </c>
      <c r="G50" s="24">
        <v>46227</v>
      </c>
      <c r="H50" s="24"/>
      <c r="I50" s="24">
        <v>46234</v>
      </c>
      <c r="J50" s="91"/>
      <c r="K50" s="47" t="s">
        <v>48</v>
      </c>
      <c r="L50" s="20"/>
      <c r="M50" s="47"/>
    </row>
    <row r="51" spans="1:13" hidden="1" x14ac:dyDescent="0.25">
      <c r="A51" s="20">
        <v>27604</v>
      </c>
      <c r="B51" s="20">
        <v>1</v>
      </c>
      <c r="C51" s="73" t="s">
        <v>146</v>
      </c>
      <c r="D51" s="20">
        <v>152650</v>
      </c>
      <c r="E51" s="73" t="s">
        <v>341</v>
      </c>
      <c r="F51" s="22">
        <v>46253</v>
      </c>
      <c r="G51" s="24">
        <v>46227</v>
      </c>
      <c r="H51" s="24"/>
      <c r="I51" s="24">
        <v>46234</v>
      </c>
      <c r="J51" s="91"/>
      <c r="K51" s="47" t="s">
        <v>48</v>
      </c>
      <c r="L51" s="20"/>
      <c r="M51" s="47"/>
    </row>
    <row r="52" spans="1:13" hidden="1" x14ac:dyDescent="0.25">
      <c r="A52" s="20">
        <v>27604</v>
      </c>
      <c r="B52" s="20">
        <v>2</v>
      </c>
      <c r="C52" s="73" t="s">
        <v>146</v>
      </c>
      <c r="D52" s="20">
        <v>152650</v>
      </c>
      <c r="E52" s="73" t="s">
        <v>341</v>
      </c>
      <c r="F52" s="22">
        <v>46253</v>
      </c>
      <c r="G52" s="24">
        <v>46227</v>
      </c>
      <c r="H52" s="24"/>
      <c r="I52" s="24">
        <v>46234</v>
      </c>
      <c r="J52" s="91"/>
      <c r="K52" s="47" t="s">
        <v>48</v>
      </c>
      <c r="L52" s="20"/>
      <c r="M52" s="47"/>
    </row>
    <row r="53" spans="1:13" hidden="1" x14ac:dyDescent="0.25">
      <c r="A53" s="20">
        <v>27604</v>
      </c>
      <c r="B53" s="20">
        <v>3</v>
      </c>
      <c r="C53" s="73" t="s">
        <v>146</v>
      </c>
      <c r="D53" s="20">
        <v>152650</v>
      </c>
      <c r="E53" s="73" t="s">
        <v>341</v>
      </c>
      <c r="F53" s="22">
        <v>46253</v>
      </c>
      <c r="G53" s="24">
        <v>46227</v>
      </c>
      <c r="H53" s="24"/>
      <c r="I53" s="24">
        <v>46234</v>
      </c>
      <c r="J53" s="91"/>
      <c r="K53" s="47" t="s">
        <v>48</v>
      </c>
      <c r="L53" s="20"/>
      <c r="M53" s="47"/>
    </row>
    <row r="54" spans="1:13" hidden="1" x14ac:dyDescent="0.25">
      <c r="A54" s="20">
        <v>27604</v>
      </c>
      <c r="B54" s="20">
        <v>4</v>
      </c>
      <c r="C54" s="73" t="s">
        <v>146</v>
      </c>
      <c r="D54" s="20">
        <v>152650</v>
      </c>
      <c r="E54" s="73" t="s">
        <v>341</v>
      </c>
      <c r="F54" s="22">
        <v>46253</v>
      </c>
      <c r="G54" s="24">
        <v>46227</v>
      </c>
      <c r="H54" s="24"/>
      <c r="I54" s="24">
        <v>46234</v>
      </c>
      <c r="J54" s="91"/>
      <c r="K54" s="47" t="s">
        <v>48</v>
      </c>
      <c r="L54" s="20"/>
      <c r="M54" s="47"/>
    </row>
    <row r="55" spans="1:13" hidden="1" x14ac:dyDescent="0.25">
      <c r="A55" s="20">
        <v>27604</v>
      </c>
      <c r="B55" s="20">
        <v>5</v>
      </c>
      <c r="C55" s="73" t="s">
        <v>146</v>
      </c>
      <c r="D55" s="20">
        <v>152650</v>
      </c>
      <c r="E55" s="73" t="s">
        <v>341</v>
      </c>
      <c r="F55" s="22">
        <v>46253</v>
      </c>
      <c r="G55" s="24">
        <v>46227</v>
      </c>
      <c r="H55" s="24"/>
      <c r="I55" s="24">
        <v>46234</v>
      </c>
      <c r="J55" s="91"/>
      <c r="K55" s="47" t="s">
        <v>48</v>
      </c>
      <c r="L55" s="20"/>
      <c r="M55" s="47"/>
    </row>
    <row r="56" spans="1:13" hidden="1" x14ac:dyDescent="0.25">
      <c r="A56" s="20">
        <v>27604</v>
      </c>
      <c r="B56" s="20">
        <v>6</v>
      </c>
      <c r="C56" s="73" t="s">
        <v>146</v>
      </c>
      <c r="D56" s="20">
        <v>152650</v>
      </c>
      <c r="E56" s="73" t="s">
        <v>341</v>
      </c>
      <c r="F56" s="22">
        <v>46253</v>
      </c>
      <c r="G56" s="24">
        <v>46227</v>
      </c>
      <c r="H56" s="24"/>
      <c r="I56" s="24">
        <v>46234</v>
      </c>
      <c r="J56" s="91"/>
      <c r="K56" s="47" t="s">
        <v>48</v>
      </c>
      <c r="L56" s="20"/>
      <c r="M56" s="47"/>
    </row>
    <row r="57" spans="1:13" hidden="1" x14ac:dyDescent="0.25">
      <c r="A57" s="20">
        <v>27604</v>
      </c>
      <c r="B57" s="20">
        <v>7</v>
      </c>
      <c r="C57" s="73" t="s">
        <v>146</v>
      </c>
      <c r="D57" s="20">
        <v>152650</v>
      </c>
      <c r="E57" s="73" t="s">
        <v>341</v>
      </c>
      <c r="F57" s="22">
        <v>46253</v>
      </c>
      <c r="G57" s="24">
        <v>46227</v>
      </c>
      <c r="H57" s="24"/>
      <c r="I57" s="24">
        <v>46234</v>
      </c>
      <c r="J57" s="91"/>
      <c r="K57" s="47" t="s">
        <v>48</v>
      </c>
      <c r="L57" s="20"/>
      <c r="M57" s="47"/>
    </row>
    <row r="58" spans="1:13" hidden="1" x14ac:dyDescent="0.25">
      <c r="A58" s="20">
        <v>27604</v>
      </c>
      <c r="B58" s="20">
        <v>8</v>
      </c>
      <c r="C58" s="73" t="s">
        <v>146</v>
      </c>
      <c r="D58" s="20">
        <v>152650</v>
      </c>
      <c r="E58" s="73" t="s">
        <v>341</v>
      </c>
      <c r="F58" s="22">
        <v>46253</v>
      </c>
      <c r="G58" s="24">
        <v>46227</v>
      </c>
      <c r="H58" s="24"/>
      <c r="I58" s="24">
        <v>46234</v>
      </c>
      <c r="J58" s="91"/>
      <c r="K58" s="47" t="s">
        <v>48</v>
      </c>
      <c r="L58" s="20"/>
      <c r="M58" s="47"/>
    </row>
    <row r="59" spans="1:13" hidden="1" x14ac:dyDescent="0.25">
      <c r="A59" s="20">
        <v>27604</v>
      </c>
      <c r="B59" s="20">
        <v>9</v>
      </c>
      <c r="C59" s="73" t="s">
        <v>146</v>
      </c>
      <c r="D59" s="20">
        <v>152650</v>
      </c>
      <c r="E59" s="73" t="s">
        <v>341</v>
      </c>
      <c r="F59" s="22">
        <v>46253</v>
      </c>
      <c r="G59" s="24">
        <v>46227</v>
      </c>
      <c r="H59" s="24"/>
      <c r="I59" s="24">
        <v>46234</v>
      </c>
      <c r="J59" s="91"/>
      <c r="K59" s="47" t="s">
        <v>48</v>
      </c>
      <c r="L59" s="20"/>
      <c r="M59" s="47"/>
    </row>
    <row r="60" spans="1:13" hidden="1" x14ac:dyDescent="0.25">
      <c r="A60" s="20">
        <v>27604</v>
      </c>
      <c r="B60" s="20">
        <v>10</v>
      </c>
      <c r="C60" s="73" t="s">
        <v>146</v>
      </c>
      <c r="D60" s="20">
        <v>152650</v>
      </c>
      <c r="E60" s="73" t="s">
        <v>341</v>
      </c>
      <c r="F60" s="22">
        <v>46253</v>
      </c>
      <c r="G60" s="24">
        <v>46227</v>
      </c>
      <c r="H60" s="24"/>
      <c r="I60" s="24">
        <v>46234</v>
      </c>
      <c r="J60" s="91"/>
      <c r="K60" s="47" t="s">
        <v>48</v>
      </c>
      <c r="L60" s="20"/>
      <c r="M60" s="47"/>
    </row>
    <row r="61" spans="1:13" hidden="1" x14ac:dyDescent="0.25">
      <c r="A61" s="20">
        <v>27545</v>
      </c>
      <c r="B61" s="20">
        <v>3</v>
      </c>
      <c r="C61" s="73" t="s">
        <v>362</v>
      </c>
      <c r="D61" s="20">
        <v>1425040</v>
      </c>
      <c r="E61" s="73" t="s">
        <v>343</v>
      </c>
      <c r="F61" s="22">
        <v>46244</v>
      </c>
      <c r="G61" s="24">
        <v>46213</v>
      </c>
      <c r="H61" s="24">
        <v>46216</v>
      </c>
      <c r="I61" s="24">
        <v>46220</v>
      </c>
      <c r="J61" s="92">
        <v>46220</v>
      </c>
      <c r="K61" s="47" t="s">
        <v>202</v>
      </c>
      <c r="L61" s="20">
        <v>395</v>
      </c>
      <c r="M61" s="47"/>
    </row>
    <row r="62" spans="1:13" hidden="1" x14ac:dyDescent="0.25">
      <c r="A62" s="20">
        <v>27545</v>
      </c>
      <c r="B62" s="20">
        <v>4</v>
      </c>
      <c r="C62" s="73" t="s">
        <v>362</v>
      </c>
      <c r="D62" s="20">
        <v>1425040</v>
      </c>
      <c r="E62" s="73" t="s">
        <v>343</v>
      </c>
      <c r="F62" s="22">
        <v>46244</v>
      </c>
      <c r="G62" s="24">
        <v>46213</v>
      </c>
      <c r="H62" s="24">
        <v>46217</v>
      </c>
      <c r="I62" s="24">
        <v>46220</v>
      </c>
      <c r="J62" s="92">
        <v>46220</v>
      </c>
      <c r="K62" s="47" t="s">
        <v>202</v>
      </c>
      <c r="L62" s="23">
        <v>123</v>
      </c>
      <c r="M62" s="47"/>
    </row>
    <row r="63" spans="1:13" hidden="1" x14ac:dyDescent="0.25">
      <c r="A63" s="20">
        <v>27545</v>
      </c>
      <c r="B63" s="20">
        <v>5</v>
      </c>
      <c r="C63" s="73" t="s">
        <v>362</v>
      </c>
      <c r="D63" s="20">
        <v>1425040</v>
      </c>
      <c r="E63" s="73" t="s">
        <v>343</v>
      </c>
      <c r="F63" s="22">
        <v>46244</v>
      </c>
      <c r="G63" s="24">
        <v>46213</v>
      </c>
      <c r="H63" s="24">
        <v>46226</v>
      </c>
      <c r="I63" s="24">
        <v>46220</v>
      </c>
      <c r="J63" s="91"/>
      <c r="K63" s="47" t="s">
        <v>202</v>
      </c>
      <c r="L63" s="23">
        <v>395</v>
      </c>
      <c r="M63" s="47"/>
    </row>
    <row r="64" spans="1:13" hidden="1" x14ac:dyDescent="0.25">
      <c r="A64" s="20">
        <v>27545</v>
      </c>
      <c r="B64" s="20">
        <v>16</v>
      </c>
      <c r="C64" s="73" t="s">
        <v>362</v>
      </c>
      <c r="D64" s="20">
        <v>1425040</v>
      </c>
      <c r="E64" s="73" t="s">
        <v>343</v>
      </c>
      <c r="F64" s="22">
        <v>46244</v>
      </c>
      <c r="G64" s="24">
        <v>46213</v>
      </c>
      <c r="H64" s="24">
        <v>46226</v>
      </c>
      <c r="I64" s="24">
        <v>46220</v>
      </c>
      <c r="J64" s="91"/>
      <c r="K64" s="47" t="s">
        <v>202</v>
      </c>
      <c r="L64" s="23">
        <v>395</v>
      </c>
      <c r="M64" s="47"/>
    </row>
    <row r="65" spans="1:13" hidden="1" x14ac:dyDescent="0.25">
      <c r="A65" s="20">
        <v>27545</v>
      </c>
      <c r="B65" s="20">
        <v>14</v>
      </c>
      <c r="C65" s="73" t="s">
        <v>362</v>
      </c>
      <c r="D65" s="20">
        <v>1425049</v>
      </c>
      <c r="E65" s="73" t="s">
        <v>344</v>
      </c>
      <c r="F65" s="22">
        <v>46244</v>
      </c>
      <c r="G65" s="24">
        <v>46213</v>
      </c>
      <c r="H65" s="24">
        <v>46216</v>
      </c>
      <c r="I65" s="24">
        <v>46220</v>
      </c>
      <c r="J65" s="92">
        <v>46220</v>
      </c>
      <c r="K65" s="47" t="s">
        <v>202</v>
      </c>
      <c r="L65" s="20">
        <v>395</v>
      </c>
      <c r="M65" s="47"/>
    </row>
    <row r="66" spans="1:13" hidden="1" x14ac:dyDescent="0.25">
      <c r="A66" s="20">
        <v>27456</v>
      </c>
      <c r="B66" s="20">
        <v>4</v>
      </c>
      <c r="C66" s="73" t="s">
        <v>362</v>
      </c>
      <c r="D66" s="20">
        <v>1425031</v>
      </c>
      <c r="E66" s="73" t="s">
        <v>345</v>
      </c>
      <c r="F66" s="22">
        <v>46295</v>
      </c>
      <c r="G66" s="24">
        <v>46275</v>
      </c>
      <c r="H66" s="23"/>
      <c r="I66" s="24">
        <v>46290</v>
      </c>
      <c r="J66" s="91"/>
      <c r="K66" s="47" t="s">
        <v>48</v>
      </c>
      <c r="L66" s="23"/>
      <c r="M66" s="47"/>
    </row>
    <row r="67" spans="1:13" hidden="1" x14ac:dyDescent="0.25">
      <c r="A67" s="20">
        <v>27456</v>
      </c>
      <c r="B67" s="20">
        <v>5</v>
      </c>
      <c r="C67" s="73" t="s">
        <v>362</v>
      </c>
      <c r="D67" s="20">
        <v>1425031</v>
      </c>
      <c r="E67" s="73" t="s">
        <v>345</v>
      </c>
      <c r="F67" s="22">
        <v>46295</v>
      </c>
      <c r="G67" s="24">
        <v>46275</v>
      </c>
      <c r="H67" s="23"/>
      <c r="I67" s="24">
        <v>46290</v>
      </c>
      <c r="J67" s="91"/>
      <c r="K67" s="47" t="s">
        <v>48</v>
      </c>
      <c r="L67" s="23"/>
      <c r="M67" s="47"/>
    </row>
    <row r="68" spans="1:13" hidden="1" x14ac:dyDescent="0.25">
      <c r="A68" s="20">
        <v>27456</v>
      </c>
      <c r="B68" s="20">
        <v>6</v>
      </c>
      <c r="C68" s="73" t="s">
        <v>362</v>
      </c>
      <c r="D68" s="20">
        <v>1425032</v>
      </c>
      <c r="E68" s="73" t="s">
        <v>346</v>
      </c>
      <c r="F68" s="22">
        <v>46295</v>
      </c>
      <c r="G68" s="24">
        <v>46275</v>
      </c>
      <c r="H68" s="23"/>
      <c r="I68" s="24">
        <v>46290</v>
      </c>
      <c r="J68" s="91"/>
      <c r="K68" s="47" t="s">
        <v>48</v>
      </c>
      <c r="L68" s="23"/>
      <c r="M68" s="47"/>
    </row>
    <row r="69" spans="1:13" hidden="1" x14ac:dyDescent="0.25">
      <c r="A69" s="20">
        <v>27456</v>
      </c>
      <c r="B69" s="20">
        <v>7</v>
      </c>
      <c r="C69" s="73" t="s">
        <v>362</v>
      </c>
      <c r="D69" s="20">
        <v>1425032</v>
      </c>
      <c r="E69" s="73" t="s">
        <v>346</v>
      </c>
      <c r="F69" s="22">
        <v>46295</v>
      </c>
      <c r="G69" s="24">
        <v>46275</v>
      </c>
      <c r="H69" s="23"/>
      <c r="I69" s="24">
        <v>46290</v>
      </c>
      <c r="J69" s="91"/>
      <c r="K69" s="47" t="s">
        <v>48</v>
      </c>
      <c r="L69" s="23"/>
      <c r="M69" s="47"/>
    </row>
    <row r="70" spans="1:13" hidden="1" x14ac:dyDescent="0.25">
      <c r="A70" s="20">
        <v>27456</v>
      </c>
      <c r="B70" s="20">
        <v>10</v>
      </c>
      <c r="C70" s="73" t="s">
        <v>362</v>
      </c>
      <c r="D70" s="20">
        <v>1425034</v>
      </c>
      <c r="E70" s="73" t="s">
        <v>347</v>
      </c>
      <c r="F70" s="22">
        <v>46295</v>
      </c>
      <c r="G70" s="24">
        <v>46275</v>
      </c>
      <c r="H70" s="23"/>
      <c r="I70" s="24">
        <v>46290</v>
      </c>
      <c r="J70" s="91"/>
      <c r="K70" s="47" t="s">
        <v>48</v>
      </c>
      <c r="L70" s="23"/>
      <c r="M70" s="47"/>
    </row>
    <row r="71" spans="1:13" hidden="1" x14ac:dyDescent="0.25">
      <c r="A71" s="20">
        <v>27456</v>
      </c>
      <c r="B71" s="20">
        <v>11</v>
      </c>
      <c r="C71" s="73" t="s">
        <v>362</v>
      </c>
      <c r="D71" s="20">
        <v>1425035</v>
      </c>
      <c r="E71" s="73" t="s">
        <v>348</v>
      </c>
      <c r="F71" s="22">
        <v>46295</v>
      </c>
      <c r="G71" s="24">
        <v>46275</v>
      </c>
      <c r="H71" s="23"/>
      <c r="I71" s="24">
        <v>46290</v>
      </c>
      <c r="J71" s="91"/>
      <c r="K71" s="47" t="s">
        <v>48</v>
      </c>
      <c r="L71" s="23"/>
      <c r="M71" s="47"/>
    </row>
    <row r="72" spans="1:13" hidden="1" x14ac:dyDescent="0.25">
      <c r="A72" s="20">
        <v>27465</v>
      </c>
      <c r="B72" s="20">
        <v>1</v>
      </c>
      <c r="C72" s="73" t="s">
        <v>362</v>
      </c>
      <c r="D72" s="20">
        <v>1425031</v>
      </c>
      <c r="E72" s="73" t="s">
        <v>345</v>
      </c>
      <c r="F72" s="22">
        <v>46295</v>
      </c>
      <c r="G72" s="24">
        <v>46275</v>
      </c>
      <c r="H72" s="23"/>
      <c r="I72" s="24">
        <v>46290</v>
      </c>
      <c r="J72" s="91"/>
      <c r="K72" s="47" t="s">
        <v>48</v>
      </c>
      <c r="L72" s="23"/>
      <c r="M72" s="47"/>
    </row>
    <row r="73" spans="1:13" hidden="1" x14ac:dyDescent="0.25">
      <c r="A73" s="20">
        <v>27465</v>
      </c>
      <c r="B73" s="20">
        <v>2</v>
      </c>
      <c r="C73" s="73" t="s">
        <v>362</v>
      </c>
      <c r="D73" s="20">
        <v>1425032</v>
      </c>
      <c r="E73" s="73" t="s">
        <v>346</v>
      </c>
      <c r="F73" s="22">
        <v>46295</v>
      </c>
      <c r="G73" s="24">
        <v>46275</v>
      </c>
      <c r="H73" s="23"/>
      <c r="I73" s="24">
        <v>46290</v>
      </c>
      <c r="J73" s="91"/>
      <c r="K73" s="47" t="s">
        <v>48</v>
      </c>
      <c r="L73" s="23"/>
      <c r="M73" s="47"/>
    </row>
    <row r="74" spans="1:13" hidden="1" x14ac:dyDescent="0.25">
      <c r="A74" s="20">
        <v>27465</v>
      </c>
      <c r="B74" s="20">
        <v>3</v>
      </c>
      <c r="C74" s="73" t="s">
        <v>362</v>
      </c>
      <c r="D74" s="20">
        <v>1425039</v>
      </c>
      <c r="E74" s="73" t="s">
        <v>349</v>
      </c>
      <c r="F74" s="22">
        <v>46295</v>
      </c>
      <c r="G74" s="24">
        <v>46275</v>
      </c>
      <c r="H74" s="23"/>
      <c r="I74" s="24">
        <v>46290</v>
      </c>
      <c r="J74" s="91"/>
      <c r="K74" s="47" t="s">
        <v>48</v>
      </c>
      <c r="L74" s="23"/>
      <c r="M74" s="47"/>
    </row>
    <row r="75" spans="1:13" hidden="1" x14ac:dyDescent="0.25">
      <c r="A75" s="20">
        <v>27465</v>
      </c>
      <c r="B75" s="20">
        <v>9</v>
      </c>
      <c r="C75" s="73" t="s">
        <v>362</v>
      </c>
      <c r="D75" s="20">
        <v>1425046</v>
      </c>
      <c r="E75" s="73" t="s">
        <v>350</v>
      </c>
      <c r="F75" s="22">
        <v>46295</v>
      </c>
      <c r="G75" s="24">
        <v>46275</v>
      </c>
      <c r="H75" s="23"/>
      <c r="I75" s="24">
        <v>46290</v>
      </c>
      <c r="J75" s="91"/>
      <c r="K75" s="47" t="s">
        <v>48</v>
      </c>
      <c r="L75" s="23"/>
      <c r="M75" s="47"/>
    </row>
    <row r="76" spans="1:13" hidden="1" x14ac:dyDescent="0.25">
      <c r="A76" s="20">
        <v>27456</v>
      </c>
      <c r="B76" s="20">
        <v>19</v>
      </c>
      <c r="C76" s="73" t="s">
        <v>362</v>
      </c>
      <c r="D76" s="20">
        <v>1425038</v>
      </c>
      <c r="E76" s="73" t="s">
        <v>351</v>
      </c>
      <c r="F76" s="22">
        <v>46295</v>
      </c>
      <c r="G76" s="24">
        <v>46275</v>
      </c>
      <c r="H76" s="23"/>
      <c r="I76" s="24">
        <v>46290</v>
      </c>
      <c r="J76" s="91"/>
      <c r="K76" s="47" t="s">
        <v>48</v>
      </c>
      <c r="L76" s="23"/>
      <c r="M76" s="47"/>
    </row>
    <row r="77" spans="1:13" hidden="1" x14ac:dyDescent="0.25">
      <c r="A77" s="20">
        <v>27506</v>
      </c>
      <c r="B77" s="20">
        <v>1</v>
      </c>
      <c r="C77" s="73" t="s">
        <v>362</v>
      </c>
      <c r="D77" s="20">
        <v>1425031</v>
      </c>
      <c r="E77" s="73" t="s">
        <v>345</v>
      </c>
      <c r="F77" s="22">
        <v>46295</v>
      </c>
      <c r="G77" s="24">
        <v>46275</v>
      </c>
      <c r="H77" s="23"/>
      <c r="I77" s="24">
        <v>46290</v>
      </c>
      <c r="J77" s="91"/>
      <c r="K77" s="47" t="s">
        <v>48</v>
      </c>
      <c r="L77" s="23"/>
      <c r="M77" s="47"/>
    </row>
    <row r="78" spans="1:13" hidden="1" x14ac:dyDescent="0.25">
      <c r="A78" s="20">
        <v>27506</v>
      </c>
      <c r="B78" s="20">
        <v>2</v>
      </c>
      <c r="C78" s="73" t="s">
        <v>362</v>
      </c>
      <c r="D78" s="20">
        <v>1425031</v>
      </c>
      <c r="E78" s="73" t="s">
        <v>345</v>
      </c>
      <c r="F78" s="22">
        <v>46295</v>
      </c>
      <c r="G78" s="24">
        <v>46275</v>
      </c>
      <c r="H78" s="23"/>
      <c r="I78" s="24">
        <v>46290</v>
      </c>
      <c r="J78" s="91"/>
      <c r="K78" s="47" t="s">
        <v>48</v>
      </c>
      <c r="L78" s="23"/>
      <c r="M78" s="47"/>
    </row>
    <row r="79" spans="1:13" hidden="1" x14ac:dyDescent="0.25">
      <c r="A79" s="20">
        <v>27506</v>
      </c>
      <c r="B79" s="20">
        <v>3</v>
      </c>
      <c r="C79" s="73" t="s">
        <v>362</v>
      </c>
      <c r="D79" s="20">
        <v>1425031</v>
      </c>
      <c r="E79" s="73" t="s">
        <v>345</v>
      </c>
      <c r="F79" s="22">
        <v>46295</v>
      </c>
      <c r="G79" s="24">
        <v>46275</v>
      </c>
      <c r="H79" s="23"/>
      <c r="I79" s="24">
        <v>46290</v>
      </c>
      <c r="J79" s="91"/>
      <c r="K79" s="47" t="s">
        <v>48</v>
      </c>
      <c r="L79" s="23"/>
      <c r="M79" s="47"/>
    </row>
    <row r="80" spans="1:13" hidden="1" x14ac:dyDescent="0.25">
      <c r="A80" s="20">
        <v>27506</v>
      </c>
      <c r="B80" s="20">
        <v>4</v>
      </c>
      <c r="C80" s="73" t="s">
        <v>362</v>
      </c>
      <c r="D80" s="20">
        <v>1425031</v>
      </c>
      <c r="E80" s="73" t="s">
        <v>345</v>
      </c>
      <c r="F80" s="22">
        <v>46295</v>
      </c>
      <c r="G80" s="24">
        <v>46275</v>
      </c>
      <c r="H80" s="23"/>
      <c r="I80" s="24">
        <v>46290</v>
      </c>
      <c r="J80" s="91"/>
      <c r="K80" s="47" t="s">
        <v>48</v>
      </c>
      <c r="L80" s="23"/>
      <c r="M80" s="47"/>
    </row>
    <row r="81" spans="1:13" hidden="1" x14ac:dyDescent="0.25">
      <c r="A81" s="20">
        <v>27474</v>
      </c>
      <c r="B81" s="20">
        <v>1</v>
      </c>
      <c r="C81" s="73" t="s">
        <v>362</v>
      </c>
      <c r="D81" s="20">
        <v>1425039</v>
      </c>
      <c r="E81" s="73" t="s">
        <v>349</v>
      </c>
      <c r="F81" s="22">
        <v>46295</v>
      </c>
      <c r="G81" s="24">
        <v>46275</v>
      </c>
      <c r="H81" s="23"/>
      <c r="I81" s="24">
        <v>46290</v>
      </c>
      <c r="J81" s="91"/>
      <c r="K81" s="47" t="s">
        <v>48</v>
      </c>
      <c r="L81" s="23"/>
      <c r="M81" s="47"/>
    </row>
    <row r="82" spans="1:13" hidden="1" x14ac:dyDescent="0.25">
      <c r="A82" s="20">
        <v>27603</v>
      </c>
      <c r="B82" s="20">
        <v>1</v>
      </c>
      <c r="C82" s="73" t="s">
        <v>362</v>
      </c>
      <c r="D82" s="20">
        <v>1425034</v>
      </c>
      <c r="E82" s="73" t="s">
        <v>347</v>
      </c>
      <c r="F82" s="22">
        <v>46295</v>
      </c>
      <c r="G82" s="24">
        <v>46275</v>
      </c>
      <c r="H82" s="23"/>
      <c r="I82" s="24">
        <v>46290</v>
      </c>
      <c r="J82" s="91"/>
      <c r="K82" s="47" t="s">
        <v>48</v>
      </c>
      <c r="L82" s="23"/>
      <c r="M82" s="47"/>
    </row>
    <row r="83" spans="1:13" hidden="1" x14ac:dyDescent="0.25">
      <c r="A83" s="20">
        <v>27603</v>
      </c>
      <c r="B83" s="20">
        <v>2</v>
      </c>
      <c r="C83" s="73" t="s">
        <v>362</v>
      </c>
      <c r="D83" s="20">
        <v>1425034</v>
      </c>
      <c r="E83" s="73" t="s">
        <v>347</v>
      </c>
      <c r="F83" s="22">
        <v>46295</v>
      </c>
      <c r="G83" s="24">
        <v>46275</v>
      </c>
      <c r="H83" s="23"/>
      <c r="I83" s="24">
        <v>46290</v>
      </c>
      <c r="J83" s="91"/>
      <c r="K83" s="47" t="s">
        <v>48</v>
      </c>
      <c r="L83" s="23"/>
      <c r="M83" s="47"/>
    </row>
    <row r="84" spans="1:13" hidden="1" x14ac:dyDescent="0.25">
      <c r="A84" s="20">
        <v>27529</v>
      </c>
      <c r="B84" s="20">
        <v>1</v>
      </c>
      <c r="C84" s="73" t="s">
        <v>362</v>
      </c>
      <c r="D84" s="20">
        <v>1425032</v>
      </c>
      <c r="E84" s="73" t="s">
        <v>346</v>
      </c>
      <c r="F84" s="22">
        <v>46295</v>
      </c>
      <c r="G84" s="24">
        <v>46275</v>
      </c>
      <c r="H84" s="23"/>
      <c r="I84" s="24">
        <v>46290</v>
      </c>
      <c r="J84" s="91"/>
      <c r="K84" s="47" t="s">
        <v>48</v>
      </c>
      <c r="L84" s="23"/>
      <c r="M84" s="47"/>
    </row>
    <row r="85" spans="1:13" hidden="1" x14ac:dyDescent="0.25">
      <c r="A85" s="20">
        <v>27529</v>
      </c>
      <c r="B85" s="20">
        <v>2</v>
      </c>
      <c r="C85" s="73" t="s">
        <v>362</v>
      </c>
      <c r="D85" s="20">
        <v>1425032</v>
      </c>
      <c r="E85" s="73" t="s">
        <v>346</v>
      </c>
      <c r="F85" s="22">
        <v>46295</v>
      </c>
      <c r="G85" s="24">
        <v>46275</v>
      </c>
      <c r="H85" s="23"/>
      <c r="I85" s="24">
        <v>46290</v>
      </c>
      <c r="J85" s="91"/>
      <c r="K85" s="47" t="s">
        <v>48</v>
      </c>
      <c r="L85" s="23"/>
      <c r="M85" s="47"/>
    </row>
    <row r="86" spans="1:13" hidden="1" x14ac:dyDescent="0.25">
      <c r="A86" s="20">
        <v>27529</v>
      </c>
      <c r="B86" s="20">
        <v>3</v>
      </c>
      <c r="C86" s="73" t="s">
        <v>362</v>
      </c>
      <c r="D86" s="20">
        <v>1425032</v>
      </c>
      <c r="E86" s="73" t="s">
        <v>346</v>
      </c>
      <c r="F86" s="22">
        <v>46295</v>
      </c>
      <c r="G86" s="24">
        <v>46275</v>
      </c>
      <c r="H86" s="23"/>
      <c r="I86" s="24">
        <v>46290</v>
      </c>
      <c r="J86" s="91"/>
      <c r="K86" s="47" t="s">
        <v>48</v>
      </c>
      <c r="L86" s="23"/>
      <c r="M86" s="47"/>
    </row>
    <row r="87" spans="1:13" hidden="1" x14ac:dyDescent="0.25">
      <c r="A87" s="20">
        <v>27529</v>
      </c>
      <c r="B87" s="20">
        <v>4</v>
      </c>
      <c r="C87" s="73" t="s">
        <v>362</v>
      </c>
      <c r="D87" s="20">
        <v>1425032</v>
      </c>
      <c r="E87" s="73" t="s">
        <v>346</v>
      </c>
      <c r="F87" s="22">
        <v>46295</v>
      </c>
      <c r="G87" s="24">
        <v>46275</v>
      </c>
      <c r="H87" s="23"/>
      <c r="I87" s="24">
        <v>46290</v>
      </c>
      <c r="J87" s="91"/>
      <c r="K87" s="47" t="s">
        <v>48</v>
      </c>
      <c r="L87" s="23"/>
      <c r="M87" s="47"/>
    </row>
    <row r="88" spans="1:13" hidden="1" x14ac:dyDescent="0.25">
      <c r="A88" s="20">
        <v>27529</v>
      </c>
      <c r="B88" s="20">
        <v>5</v>
      </c>
      <c r="C88" s="73" t="s">
        <v>362</v>
      </c>
      <c r="D88" s="20">
        <v>1425032</v>
      </c>
      <c r="E88" s="73" t="s">
        <v>346</v>
      </c>
      <c r="F88" s="22">
        <v>46295</v>
      </c>
      <c r="G88" s="24">
        <v>46275</v>
      </c>
      <c r="H88" s="23"/>
      <c r="I88" s="24">
        <v>46290</v>
      </c>
      <c r="J88" s="91"/>
      <c r="K88" s="47" t="s">
        <v>48</v>
      </c>
      <c r="L88" s="23"/>
      <c r="M88" s="47"/>
    </row>
    <row r="89" spans="1:13" hidden="1" x14ac:dyDescent="0.25">
      <c r="A89" s="20">
        <v>27529</v>
      </c>
      <c r="B89" s="20">
        <v>6</v>
      </c>
      <c r="C89" s="73" t="s">
        <v>362</v>
      </c>
      <c r="D89" s="20">
        <v>1425032</v>
      </c>
      <c r="E89" s="73" t="s">
        <v>346</v>
      </c>
      <c r="F89" s="22">
        <v>46295</v>
      </c>
      <c r="G89" s="24">
        <v>46275</v>
      </c>
      <c r="H89" s="23"/>
      <c r="I89" s="24">
        <v>46290</v>
      </c>
      <c r="J89" s="91"/>
      <c r="K89" s="47" t="s">
        <v>48</v>
      </c>
      <c r="L89" s="23"/>
      <c r="M89" s="47"/>
    </row>
    <row r="90" spans="1:13" hidden="1" x14ac:dyDescent="0.25">
      <c r="A90" s="20">
        <v>27545</v>
      </c>
      <c r="B90" s="20">
        <v>6</v>
      </c>
      <c r="C90" s="73" t="s">
        <v>362</v>
      </c>
      <c r="D90" s="20">
        <v>1425030</v>
      </c>
      <c r="E90" s="73" t="s">
        <v>352</v>
      </c>
      <c r="F90" s="22">
        <v>46295</v>
      </c>
      <c r="G90" s="24">
        <v>46275</v>
      </c>
      <c r="H90" s="23"/>
      <c r="I90" s="24">
        <v>46290</v>
      </c>
      <c r="J90" s="91"/>
      <c r="K90" s="47" t="s">
        <v>48</v>
      </c>
      <c r="L90" s="23"/>
      <c r="M90" s="47"/>
    </row>
    <row r="91" spans="1:13" hidden="1" x14ac:dyDescent="0.25">
      <c r="A91" s="20">
        <v>27545</v>
      </c>
      <c r="B91" s="20">
        <v>7</v>
      </c>
      <c r="C91" s="73" t="s">
        <v>362</v>
      </c>
      <c r="D91" s="20">
        <v>1425030</v>
      </c>
      <c r="E91" s="73" t="s">
        <v>352</v>
      </c>
      <c r="F91" s="22">
        <v>46295</v>
      </c>
      <c r="G91" s="24">
        <v>46275</v>
      </c>
      <c r="H91" s="23"/>
      <c r="I91" s="24">
        <v>46290</v>
      </c>
      <c r="J91" s="91"/>
      <c r="K91" s="47" t="s">
        <v>48</v>
      </c>
      <c r="L91" s="23"/>
      <c r="M91" s="47"/>
    </row>
    <row r="92" spans="1:13" hidden="1" x14ac:dyDescent="0.25">
      <c r="A92" s="20">
        <v>27545</v>
      </c>
      <c r="B92" s="20">
        <v>8</v>
      </c>
      <c r="C92" s="73" t="s">
        <v>362</v>
      </c>
      <c r="D92" s="20">
        <v>1425030</v>
      </c>
      <c r="E92" s="73" t="s">
        <v>352</v>
      </c>
      <c r="F92" s="22">
        <v>46295</v>
      </c>
      <c r="G92" s="24">
        <v>46275</v>
      </c>
      <c r="H92" s="23"/>
      <c r="I92" s="24">
        <v>46290</v>
      </c>
      <c r="J92" s="91"/>
      <c r="K92" s="47" t="s">
        <v>48</v>
      </c>
      <c r="L92" s="23"/>
      <c r="M92" s="47"/>
    </row>
    <row r="93" spans="1:13" hidden="1" x14ac:dyDescent="0.25">
      <c r="A93" s="20">
        <v>27545</v>
      </c>
      <c r="B93" s="20">
        <v>9</v>
      </c>
      <c r="C93" s="73" t="s">
        <v>362</v>
      </c>
      <c r="D93" s="20">
        <v>1425030</v>
      </c>
      <c r="E93" s="73" t="s">
        <v>352</v>
      </c>
      <c r="F93" s="22">
        <v>46295</v>
      </c>
      <c r="G93" s="24">
        <v>46275</v>
      </c>
      <c r="H93" s="23"/>
      <c r="I93" s="24">
        <v>46290</v>
      </c>
      <c r="J93" s="91"/>
      <c r="K93" s="47" t="s">
        <v>48</v>
      </c>
      <c r="L93" s="23"/>
      <c r="M93" s="47"/>
    </row>
    <row r="94" spans="1:13" hidden="1" x14ac:dyDescent="0.25">
      <c r="A94" s="20">
        <v>27545</v>
      </c>
      <c r="B94" s="20">
        <v>10</v>
      </c>
      <c r="C94" s="73" t="s">
        <v>362</v>
      </c>
      <c r="D94" s="20">
        <v>1425030</v>
      </c>
      <c r="E94" s="73" t="s">
        <v>352</v>
      </c>
      <c r="F94" s="22">
        <v>46295</v>
      </c>
      <c r="G94" s="24">
        <v>46275</v>
      </c>
      <c r="H94" s="23"/>
      <c r="I94" s="24">
        <v>46290</v>
      </c>
      <c r="J94" s="91"/>
      <c r="K94" s="47" t="s">
        <v>48</v>
      </c>
      <c r="L94" s="23"/>
      <c r="M94" s="47"/>
    </row>
    <row r="95" spans="1:13" hidden="1" x14ac:dyDescent="0.25">
      <c r="A95" s="20">
        <v>27545</v>
      </c>
      <c r="B95" s="20">
        <v>11</v>
      </c>
      <c r="C95" s="73" t="s">
        <v>362</v>
      </c>
      <c r="D95" s="20">
        <v>1425035</v>
      </c>
      <c r="E95" s="73" t="s">
        <v>348</v>
      </c>
      <c r="F95" s="22">
        <v>46295</v>
      </c>
      <c r="G95" s="24">
        <v>46275</v>
      </c>
      <c r="H95" s="23"/>
      <c r="I95" s="24">
        <v>46290</v>
      </c>
      <c r="J95" s="91"/>
      <c r="K95" s="47" t="s">
        <v>48</v>
      </c>
      <c r="L95" s="23"/>
      <c r="M95" s="47"/>
    </row>
    <row r="96" spans="1:13" hidden="1" x14ac:dyDescent="0.25">
      <c r="A96" s="20">
        <v>27545</v>
      </c>
      <c r="B96" s="20">
        <v>12</v>
      </c>
      <c r="C96" s="73" t="s">
        <v>362</v>
      </c>
      <c r="D96" s="20">
        <v>1425035</v>
      </c>
      <c r="E96" s="73" t="s">
        <v>348</v>
      </c>
      <c r="F96" s="22">
        <v>46295</v>
      </c>
      <c r="G96" s="24">
        <v>46275</v>
      </c>
      <c r="H96" s="23"/>
      <c r="I96" s="24">
        <v>46290</v>
      </c>
      <c r="J96" s="91"/>
      <c r="K96" s="47" t="s">
        <v>48</v>
      </c>
      <c r="L96" s="23"/>
      <c r="M96" s="47"/>
    </row>
    <row r="97" spans="1:13" hidden="1" x14ac:dyDescent="0.25">
      <c r="A97" s="20">
        <v>27545</v>
      </c>
      <c r="B97" s="20">
        <v>13</v>
      </c>
      <c r="C97" s="73" t="s">
        <v>362</v>
      </c>
      <c r="D97" s="20">
        <v>1425046</v>
      </c>
      <c r="E97" s="73" t="s">
        <v>350</v>
      </c>
      <c r="F97" s="22">
        <v>46295</v>
      </c>
      <c r="G97" s="24">
        <v>46275</v>
      </c>
      <c r="H97" s="23"/>
      <c r="I97" s="24">
        <v>46290</v>
      </c>
      <c r="J97" s="91"/>
      <c r="K97" s="47" t="s">
        <v>48</v>
      </c>
      <c r="L97" s="23"/>
      <c r="M97" s="47"/>
    </row>
    <row r="98" spans="1:13" hidden="1" x14ac:dyDescent="0.25">
      <c r="A98" s="20">
        <v>27545</v>
      </c>
      <c r="B98" s="20">
        <v>15</v>
      </c>
      <c r="C98" s="73" t="s">
        <v>362</v>
      </c>
      <c r="D98" s="20">
        <v>1425031</v>
      </c>
      <c r="E98" s="73" t="s">
        <v>345</v>
      </c>
      <c r="F98" s="22">
        <v>46295</v>
      </c>
      <c r="G98" s="24">
        <v>46275</v>
      </c>
      <c r="H98" s="23"/>
      <c r="I98" s="24">
        <v>46290</v>
      </c>
      <c r="J98" s="91"/>
      <c r="K98" s="47" t="s">
        <v>48</v>
      </c>
      <c r="L98" s="23"/>
      <c r="M98" s="47"/>
    </row>
    <row r="99" spans="1:13" hidden="1" x14ac:dyDescent="0.25">
      <c r="A99" s="20">
        <v>27553</v>
      </c>
      <c r="B99" s="20">
        <v>1</v>
      </c>
      <c r="C99" s="73" t="s">
        <v>362</v>
      </c>
      <c r="D99" s="20">
        <v>1425050</v>
      </c>
      <c r="E99" s="73" t="s">
        <v>353</v>
      </c>
      <c r="F99" s="22">
        <v>46295</v>
      </c>
      <c r="G99" s="24">
        <v>46275</v>
      </c>
      <c r="H99" s="23"/>
      <c r="I99" s="24">
        <v>46290</v>
      </c>
      <c r="J99" s="91"/>
      <c r="K99" s="47" t="s">
        <v>48</v>
      </c>
      <c r="L99" s="23"/>
      <c r="M99" s="47"/>
    </row>
    <row r="100" spans="1:13" hidden="1" x14ac:dyDescent="0.25">
      <c r="A100" s="20">
        <v>27553</v>
      </c>
      <c r="B100" s="20">
        <v>2</v>
      </c>
      <c r="C100" s="73" t="s">
        <v>362</v>
      </c>
      <c r="D100" s="20">
        <v>1425050</v>
      </c>
      <c r="E100" s="73" t="s">
        <v>353</v>
      </c>
      <c r="F100" s="22">
        <v>46295</v>
      </c>
      <c r="G100" s="24">
        <v>46275</v>
      </c>
      <c r="H100" s="23"/>
      <c r="I100" s="24">
        <v>46290</v>
      </c>
      <c r="J100" s="91"/>
      <c r="K100" s="47" t="s">
        <v>48</v>
      </c>
      <c r="L100" s="23"/>
      <c r="M100" s="47"/>
    </row>
    <row r="101" spans="1:13" hidden="1" x14ac:dyDescent="0.25">
      <c r="A101" s="20">
        <v>27553</v>
      </c>
      <c r="B101" s="20">
        <v>3</v>
      </c>
      <c r="C101" s="73" t="s">
        <v>362</v>
      </c>
      <c r="D101" s="20">
        <v>1425051</v>
      </c>
      <c r="E101" s="73" t="s">
        <v>354</v>
      </c>
      <c r="F101" s="22">
        <v>46295</v>
      </c>
      <c r="G101" s="24">
        <v>46275</v>
      </c>
      <c r="H101" s="23"/>
      <c r="I101" s="24">
        <v>46290</v>
      </c>
      <c r="J101" s="91"/>
      <c r="K101" s="47" t="s">
        <v>48</v>
      </c>
      <c r="L101" s="23"/>
      <c r="M101" s="47"/>
    </row>
    <row r="102" spans="1:13" hidden="1" x14ac:dyDescent="0.25">
      <c r="A102" s="20">
        <v>27553</v>
      </c>
      <c r="B102" s="20">
        <v>4</v>
      </c>
      <c r="C102" s="73" t="s">
        <v>362</v>
      </c>
      <c r="D102" s="20">
        <v>1425051</v>
      </c>
      <c r="E102" s="73" t="s">
        <v>354</v>
      </c>
      <c r="F102" s="22">
        <v>46295</v>
      </c>
      <c r="G102" s="24">
        <v>46275</v>
      </c>
      <c r="H102" s="23"/>
      <c r="I102" s="24">
        <v>46290</v>
      </c>
      <c r="J102" s="91"/>
      <c r="K102" s="47" t="s">
        <v>48</v>
      </c>
      <c r="L102" s="23"/>
      <c r="M102" s="47"/>
    </row>
    <row r="103" spans="1:13" hidden="1" x14ac:dyDescent="0.25">
      <c r="A103" s="20">
        <v>27553</v>
      </c>
      <c r="B103" s="20">
        <v>5</v>
      </c>
      <c r="C103" s="73" t="s">
        <v>362</v>
      </c>
      <c r="D103" s="20">
        <v>1425052</v>
      </c>
      <c r="E103" s="73" t="s">
        <v>355</v>
      </c>
      <c r="F103" s="22">
        <v>46295</v>
      </c>
      <c r="G103" s="24">
        <v>46275</v>
      </c>
      <c r="H103" s="23"/>
      <c r="I103" s="24">
        <v>46290</v>
      </c>
      <c r="J103" s="91"/>
      <c r="K103" s="47" t="s">
        <v>48</v>
      </c>
      <c r="L103" s="23"/>
      <c r="M103" s="47"/>
    </row>
    <row r="104" spans="1:13" hidden="1" x14ac:dyDescent="0.25">
      <c r="A104" s="20">
        <v>27553</v>
      </c>
      <c r="B104" s="20">
        <v>6</v>
      </c>
      <c r="C104" s="73" t="s">
        <v>362</v>
      </c>
      <c r="D104" s="20">
        <v>1425053</v>
      </c>
      <c r="E104" s="73" t="s">
        <v>356</v>
      </c>
      <c r="F104" s="22">
        <v>46295</v>
      </c>
      <c r="G104" s="24">
        <v>46275</v>
      </c>
      <c r="H104" s="23"/>
      <c r="I104" s="24">
        <v>46290</v>
      </c>
      <c r="J104" s="91"/>
      <c r="K104" s="47" t="s">
        <v>48</v>
      </c>
      <c r="L104" s="23"/>
      <c r="M104" s="47"/>
    </row>
    <row r="105" spans="1:13" hidden="1" x14ac:dyDescent="0.25">
      <c r="A105" s="20">
        <v>27553</v>
      </c>
      <c r="B105" s="20">
        <v>7</v>
      </c>
      <c r="C105" s="73" t="s">
        <v>362</v>
      </c>
      <c r="D105" s="20">
        <v>1425054</v>
      </c>
      <c r="E105" s="73" t="s">
        <v>357</v>
      </c>
      <c r="F105" s="22">
        <v>46295</v>
      </c>
      <c r="G105" s="24">
        <v>46275</v>
      </c>
      <c r="H105" s="23"/>
      <c r="I105" s="24">
        <v>46290</v>
      </c>
      <c r="J105" s="91"/>
      <c r="K105" s="47" t="s">
        <v>48</v>
      </c>
      <c r="L105" s="23"/>
      <c r="M105" s="47"/>
    </row>
    <row r="106" spans="1:13" hidden="1" x14ac:dyDescent="0.25">
      <c r="A106" s="20">
        <v>27553</v>
      </c>
      <c r="B106" s="20">
        <v>8</v>
      </c>
      <c r="C106" s="73" t="s">
        <v>362</v>
      </c>
      <c r="D106" s="20">
        <v>1425055</v>
      </c>
      <c r="E106" s="73" t="s">
        <v>358</v>
      </c>
      <c r="F106" s="22">
        <v>46295</v>
      </c>
      <c r="G106" s="24">
        <v>46275</v>
      </c>
      <c r="H106" s="23"/>
      <c r="I106" s="24">
        <v>46290</v>
      </c>
      <c r="J106" s="91"/>
      <c r="K106" s="47" t="s">
        <v>48</v>
      </c>
      <c r="L106" s="23"/>
      <c r="M106" s="47"/>
    </row>
    <row r="107" spans="1:13" hidden="1" x14ac:dyDescent="0.25">
      <c r="A107" s="20">
        <v>27553</v>
      </c>
      <c r="B107" s="20">
        <v>9</v>
      </c>
      <c r="C107" s="73" t="s">
        <v>362</v>
      </c>
      <c r="D107" s="20">
        <v>1425056</v>
      </c>
      <c r="E107" s="73" t="s">
        <v>359</v>
      </c>
      <c r="F107" s="22">
        <v>46295</v>
      </c>
      <c r="G107" s="24">
        <v>46275</v>
      </c>
      <c r="H107" s="23"/>
      <c r="I107" s="24">
        <v>46290</v>
      </c>
      <c r="J107" s="91"/>
      <c r="K107" s="47" t="s">
        <v>48</v>
      </c>
      <c r="L107" s="23"/>
      <c r="M107" s="47"/>
    </row>
    <row r="108" spans="1:13" hidden="1" x14ac:dyDescent="0.25">
      <c r="A108" s="20">
        <v>27553</v>
      </c>
      <c r="B108" s="20">
        <v>10</v>
      </c>
      <c r="C108" s="73" t="s">
        <v>362</v>
      </c>
      <c r="D108" s="20">
        <v>1425057</v>
      </c>
      <c r="E108" s="73" t="s">
        <v>360</v>
      </c>
      <c r="F108" s="22">
        <v>46295</v>
      </c>
      <c r="G108" s="24">
        <v>46275</v>
      </c>
      <c r="H108" s="23"/>
      <c r="I108" s="24">
        <v>46290</v>
      </c>
      <c r="J108" s="91"/>
      <c r="K108" s="47" t="s">
        <v>48</v>
      </c>
      <c r="L108" s="23"/>
      <c r="M108" s="47"/>
    </row>
    <row r="109" spans="1:13" hidden="1" x14ac:dyDescent="0.25">
      <c r="A109" s="20">
        <v>27589</v>
      </c>
      <c r="B109" s="20">
        <v>1</v>
      </c>
      <c r="C109" s="73" t="s">
        <v>362</v>
      </c>
      <c r="D109" s="20">
        <v>1425030</v>
      </c>
      <c r="E109" s="73" t="s">
        <v>352</v>
      </c>
      <c r="F109" s="22">
        <v>46295</v>
      </c>
      <c r="G109" s="24">
        <v>46275</v>
      </c>
      <c r="H109" s="23"/>
      <c r="I109" s="24">
        <v>46290</v>
      </c>
      <c r="J109" s="91"/>
      <c r="K109" s="47" t="s">
        <v>48</v>
      </c>
      <c r="L109" s="23"/>
      <c r="M109" s="47"/>
    </row>
    <row r="110" spans="1:13" hidden="1" x14ac:dyDescent="0.25">
      <c r="A110" s="20">
        <v>27589</v>
      </c>
      <c r="B110" s="20">
        <v>2</v>
      </c>
      <c r="C110" s="73" t="s">
        <v>362</v>
      </c>
      <c r="D110" s="20">
        <v>1425058</v>
      </c>
      <c r="E110" s="73" t="s">
        <v>361</v>
      </c>
      <c r="F110" s="22">
        <v>46295</v>
      </c>
      <c r="G110" s="24">
        <v>46275</v>
      </c>
      <c r="H110" s="23"/>
      <c r="I110" s="24">
        <v>46290</v>
      </c>
      <c r="J110" s="91"/>
      <c r="K110" s="47" t="s">
        <v>48</v>
      </c>
      <c r="L110" s="23"/>
      <c r="M110" s="47"/>
    </row>
    <row r="111" spans="1:13" hidden="1" x14ac:dyDescent="0.25">
      <c r="A111" s="20">
        <v>27601</v>
      </c>
      <c r="B111" s="20">
        <v>1</v>
      </c>
      <c r="C111" s="73" t="s">
        <v>362</v>
      </c>
      <c r="D111" s="20">
        <v>1425052</v>
      </c>
      <c r="E111" s="73" t="s">
        <v>355</v>
      </c>
      <c r="F111" s="22">
        <v>46295</v>
      </c>
      <c r="G111" s="24">
        <v>46275</v>
      </c>
      <c r="H111" s="23"/>
      <c r="I111" s="24">
        <v>46290</v>
      </c>
      <c r="J111" s="91"/>
      <c r="K111" s="47" t="s">
        <v>48</v>
      </c>
      <c r="L111" s="23"/>
      <c r="M111" s="47"/>
    </row>
    <row r="112" spans="1:13" hidden="1" x14ac:dyDescent="0.25">
      <c r="A112" s="20">
        <v>27601</v>
      </c>
      <c r="B112" s="20">
        <v>2</v>
      </c>
      <c r="C112" s="73" t="s">
        <v>362</v>
      </c>
      <c r="D112" s="20">
        <v>1425052</v>
      </c>
      <c r="E112" s="73" t="s">
        <v>355</v>
      </c>
      <c r="F112" s="22">
        <v>46295</v>
      </c>
      <c r="G112" s="24">
        <v>46275</v>
      </c>
      <c r="H112" s="23"/>
      <c r="I112" s="24">
        <v>46290</v>
      </c>
      <c r="J112" s="91"/>
      <c r="K112" s="47" t="s">
        <v>48</v>
      </c>
      <c r="L112" s="23"/>
      <c r="M112" s="47"/>
    </row>
    <row r="113" spans="1:13" hidden="1" x14ac:dyDescent="0.25">
      <c r="A113" s="20">
        <v>27529</v>
      </c>
      <c r="B113" s="20">
        <v>7</v>
      </c>
      <c r="C113" s="73" t="s">
        <v>362</v>
      </c>
      <c r="D113" s="20">
        <v>1425030</v>
      </c>
      <c r="E113" s="73" t="s">
        <v>352</v>
      </c>
      <c r="F113" s="22">
        <v>46295</v>
      </c>
      <c r="G113" s="24">
        <v>46275</v>
      </c>
      <c r="H113" s="23"/>
      <c r="I113" s="24">
        <v>46290</v>
      </c>
      <c r="J113" s="91"/>
      <c r="K113" s="47" t="s">
        <v>48</v>
      </c>
      <c r="L113" s="23"/>
      <c r="M113" s="47"/>
    </row>
  </sheetData>
  <autoFilter ref="A1:I113" xr:uid="{276B14C1-1A52-4B27-91DF-D329FDD63C7A}">
    <filterColumn colId="3">
      <filters>
        <filter val="152654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D677-2C60-498D-9118-7EBBADC442C8}">
  <dimension ref="B2:AK7"/>
  <sheetViews>
    <sheetView showGridLines="0" workbookViewId="0">
      <selection activeCell="K3" sqref="K3"/>
    </sheetView>
  </sheetViews>
  <sheetFormatPr defaultRowHeight="15" x14ac:dyDescent="0.25"/>
  <cols>
    <col min="2" max="2" width="23.28515625" customWidth="1"/>
    <col min="3" max="37" width="3.7109375" style="1" customWidth="1"/>
  </cols>
  <sheetData>
    <row r="2" spans="2:37" ht="17.25" x14ac:dyDescent="0.3">
      <c r="B2" s="2"/>
      <c r="C2" s="3">
        <v>23</v>
      </c>
      <c r="D2" s="3">
        <v>24</v>
      </c>
      <c r="E2" s="3">
        <v>25</v>
      </c>
      <c r="F2" s="3">
        <v>26</v>
      </c>
      <c r="G2" s="3">
        <v>27</v>
      </c>
      <c r="H2" s="3">
        <v>28</v>
      </c>
      <c r="I2" s="3">
        <v>29</v>
      </c>
      <c r="J2" s="3">
        <v>30</v>
      </c>
      <c r="K2" s="3">
        <v>31</v>
      </c>
      <c r="L2" s="3">
        <v>32</v>
      </c>
      <c r="M2" s="3">
        <v>33</v>
      </c>
      <c r="N2" s="3">
        <v>34</v>
      </c>
      <c r="O2" s="3">
        <v>35</v>
      </c>
      <c r="P2" s="3">
        <v>36</v>
      </c>
      <c r="Q2" s="3">
        <v>37</v>
      </c>
      <c r="R2" s="3">
        <v>38</v>
      </c>
      <c r="S2" s="3">
        <v>39</v>
      </c>
      <c r="T2" s="3">
        <v>40</v>
      </c>
      <c r="U2" s="3">
        <v>41</v>
      </c>
      <c r="V2" s="3">
        <v>42</v>
      </c>
      <c r="W2" s="3">
        <v>43</v>
      </c>
      <c r="X2" s="3">
        <v>44</v>
      </c>
      <c r="Y2" s="3">
        <v>45</v>
      </c>
      <c r="Z2" s="3">
        <v>46</v>
      </c>
      <c r="AA2" s="3">
        <v>47</v>
      </c>
      <c r="AB2" s="3">
        <v>48</v>
      </c>
      <c r="AC2" s="3">
        <v>49</v>
      </c>
      <c r="AD2" s="3">
        <v>50</v>
      </c>
      <c r="AE2" s="3">
        <v>51</v>
      </c>
      <c r="AF2" s="3">
        <v>52</v>
      </c>
      <c r="AG2" s="3">
        <v>53</v>
      </c>
      <c r="AH2" s="3">
        <v>1</v>
      </c>
      <c r="AI2" s="3">
        <v>2</v>
      </c>
      <c r="AJ2" s="3">
        <v>3</v>
      </c>
      <c r="AK2" s="3">
        <v>4</v>
      </c>
    </row>
    <row r="3" spans="2:37" ht="17.25" x14ac:dyDescent="0.3">
      <c r="B3" s="5" t="s">
        <v>23</v>
      </c>
      <c r="C3" s="4">
        <f>SUMIF(BAGACEIRAS!$Z:$Z,C2,BAGACEIRAS!$G:$G)</f>
        <v>4</v>
      </c>
      <c r="D3" s="4">
        <f>SUMIF(BAGACEIRAS!$Z:$Z,D2,BAGACEIRAS!$G:$G)</f>
        <v>6</v>
      </c>
      <c r="E3" s="4">
        <f>SUMIF(BAGACEIRAS!$Z:$Z,E2,BAGACEIRAS!$G:$G)</f>
        <v>8</v>
      </c>
      <c r="F3" s="4">
        <f>SUMIF(BAGACEIRAS!$Z:$Z,F2,BAGACEIRAS!$G:$G)</f>
        <v>10</v>
      </c>
      <c r="G3" s="4">
        <f>SUMIF(BAGACEIRAS!$Z:$Z,G2,BAGACEIRAS!$G:$G)</f>
        <v>10</v>
      </c>
      <c r="H3" s="4">
        <f>SUMIF(BAGACEIRAS!$Z:$Z,H2,BAGACEIRAS!$G:$G)</f>
        <v>10</v>
      </c>
      <c r="I3" s="4">
        <f>SUMIF(BAGACEIRAS!$Z:$Z,I2,BAGACEIRAS!$G:$G)</f>
        <v>10</v>
      </c>
      <c r="J3" s="4">
        <f>SUMIF(BAGACEIRAS!$Z:$Z,J2,BAGACEIRAS!$G:$G)</f>
        <v>10</v>
      </c>
      <c r="K3" s="4">
        <f>SUMIF(BAGACEIRAS!$Z:$Z,K2,BAGACEIRAS!$G:$G)</f>
        <v>8</v>
      </c>
      <c r="L3" s="4">
        <f>SUMIF(BAGACEIRAS!$Z:$Z,L2,BAGACEIRAS!$G:$G)</f>
        <v>6</v>
      </c>
      <c r="M3" s="4">
        <f>SUMIF(BAGACEIRAS!$Z:$Z,M2,BAGACEIRAS!$G:$G)</f>
        <v>5</v>
      </c>
      <c r="N3" s="4">
        <f>SUMIF(BAGACEIRAS!$Z:$Z,N2,BAGACEIRAS!$G:$G)</f>
        <v>0</v>
      </c>
      <c r="O3" s="4">
        <f>SUMIF(BAGACEIRAS!$Z:$Z,O2,BAGACEIRAS!$G:$G)</f>
        <v>0</v>
      </c>
      <c r="P3" s="4">
        <f>SUMIF(BAGACEIRAS!$Z:$Z,P2,BAGACEIRAS!$G:$G)</f>
        <v>0</v>
      </c>
      <c r="Q3" s="4">
        <f>SUMIF(BAGACEIRAS!$Z:$Z,Q2,BAGACEIRAS!$G:$G)</f>
        <v>0</v>
      </c>
      <c r="R3" s="4">
        <f>SUMIF(BAGACEIRAS!$Z:$Z,R2,BAGACEIRAS!$G:$G)</f>
        <v>0</v>
      </c>
      <c r="S3" s="4">
        <f>SUMIF(BAGACEIRAS!$Z:$Z,S2,BAGACEIRAS!$G:$G)</f>
        <v>0</v>
      </c>
      <c r="T3" s="4">
        <f>SUMIF(BAGACEIRAS!$Z:$Z,T2,BAGACEIRAS!$G:$G)</f>
        <v>0</v>
      </c>
      <c r="U3" s="4">
        <f>SUMIF(BAGACEIRAS!$Z:$Z,U2,BAGACEIRAS!$G:$G)</f>
        <v>0</v>
      </c>
      <c r="V3" s="4">
        <f>SUMIF(BAGACEIRAS!$Z:$Z,V2,BAGACEIRAS!$G:$G)</f>
        <v>0</v>
      </c>
      <c r="W3" s="4">
        <f>SUMIF(BAGACEIRAS!$Z:$Z,W2,BAGACEIRAS!$G:$G)</f>
        <v>0</v>
      </c>
      <c r="X3" s="4">
        <f>SUMIF(BAGACEIRAS!$Z:$Z,X2,BAGACEIRAS!$G:$G)</f>
        <v>0</v>
      </c>
      <c r="Y3" s="4">
        <f>SUMIF(BAGACEIRAS!$Z:$Z,Y2,BAGACEIRAS!$G:$G)</f>
        <v>0</v>
      </c>
      <c r="Z3" s="4">
        <f>SUMIF(BAGACEIRAS!$Z:$Z,Z2,BAGACEIRAS!$G:$G)</f>
        <v>0</v>
      </c>
      <c r="AA3" s="4">
        <f>SUMIF(BAGACEIRAS!$Z:$Z,AA2,BAGACEIRAS!$G:$G)</f>
        <v>0</v>
      </c>
      <c r="AB3" s="4">
        <f>SUMIF(BAGACEIRAS!$Z:$Z,AB2,BAGACEIRAS!$G:$G)</f>
        <v>0</v>
      </c>
      <c r="AC3" s="4">
        <f>SUMIF(BAGACEIRAS!$Z:$Z,AC2,BAGACEIRAS!$G:$G)</f>
        <v>0</v>
      </c>
      <c r="AD3" s="4">
        <f>SUMIF(BAGACEIRAS!$Z:$Z,AD2,BAGACEIRAS!$G:$G)</f>
        <v>0</v>
      </c>
      <c r="AE3" s="4">
        <f>SUMIF(BAGACEIRAS!$Z:$Z,AE2,BAGACEIRAS!$G:$G)</f>
        <v>0</v>
      </c>
      <c r="AF3" s="4">
        <f>SUMIF(BAGACEIRAS!$Z:$Z,AF2,BAGACEIRAS!$G:$G)</f>
        <v>0</v>
      </c>
      <c r="AG3" s="4">
        <f>SUMIF(BAGACEIRAS!$Z:$Z,AG2,BAGACEIRAS!$G:$G)</f>
        <v>0</v>
      </c>
      <c r="AH3" s="4">
        <f>SUMIF(BAGACEIRAS!$Z:$Z,AH2,BAGACEIRAS!$G:$G)</f>
        <v>0</v>
      </c>
      <c r="AI3" s="4">
        <f>SUMIF(BAGACEIRAS!$Z:$Z,AI2,BAGACEIRAS!$G:$G)</f>
        <v>0</v>
      </c>
      <c r="AJ3" s="4">
        <f>SUMIF(BAGACEIRAS!$Z:$Z,AJ2,BAGACEIRAS!$G:$G)</f>
        <v>0</v>
      </c>
      <c r="AK3" s="4">
        <f>SUMIF(BAGACEIRAS!$Z:$Z,AK2,BAGACEIRAS!$G:$G)</f>
        <v>0</v>
      </c>
    </row>
    <row r="4" spans="2:37" ht="17.25" x14ac:dyDescent="0.3">
      <c r="B4" s="5" t="s">
        <v>24</v>
      </c>
      <c r="C4" s="4">
        <f>SUMIF(BAGACEIRAS!$AA:$AA,C2,BAGACEIRAS!$G:$G)</f>
        <v>0</v>
      </c>
      <c r="D4" s="4">
        <f>SUMIF(BAGACEIRAS!$AA:$AA,D2,BAGACEIRAS!$G:$G)</f>
        <v>4</v>
      </c>
      <c r="E4" s="4">
        <f>SUMIF(BAGACEIRAS!$AA:$AA,E2,BAGACEIRAS!$G:$G)</f>
        <v>6</v>
      </c>
      <c r="F4" s="4">
        <f>SUMIF(BAGACEIRAS!$AA:$AA,F2,BAGACEIRAS!$G:$G)</f>
        <v>8</v>
      </c>
      <c r="G4" s="4">
        <f>SUMIF(BAGACEIRAS!$AA:$AA,G2,BAGACEIRAS!$G:$G)</f>
        <v>10</v>
      </c>
      <c r="H4" s="4">
        <f>SUMIF(BAGACEIRAS!$AA:$AA,H2,BAGACEIRAS!$G:$G)</f>
        <v>10</v>
      </c>
      <c r="I4" s="4">
        <f>SUMIF(BAGACEIRAS!$AA:$AA,I2,BAGACEIRAS!$G:$G)</f>
        <v>10</v>
      </c>
      <c r="J4" s="4">
        <f>SUMIF(BAGACEIRAS!$AA:$AA,J2,BAGACEIRAS!$G:$G)</f>
        <v>10</v>
      </c>
      <c r="K4" s="4">
        <f>SUMIF(BAGACEIRAS!$AA:$AA,K2,BAGACEIRAS!$G:$G)</f>
        <v>3</v>
      </c>
      <c r="L4" s="4">
        <f>SUMIF(BAGACEIRAS!$AA:$AA,L2,BAGACEIRAS!$G:$G)</f>
        <v>8</v>
      </c>
      <c r="M4" s="4">
        <f>SUMIF(BAGACEIRAS!$AA:$AA,M2,BAGACEIRAS!$G:$G)</f>
        <v>6</v>
      </c>
      <c r="N4" s="4">
        <f>SUMIF(BAGACEIRAS!$AA:$AA,N2,BAGACEIRAS!$G:$G)</f>
        <v>5</v>
      </c>
      <c r="O4" s="4">
        <f>SUMIF(BAGACEIRAS!$AA:$AA,O2,BAGACEIRAS!$G:$G)</f>
        <v>0</v>
      </c>
      <c r="P4" s="4">
        <f>SUMIF(BAGACEIRAS!$AA:$AA,P2,BAGACEIRAS!$G:$G)</f>
        <v>0</v>
      </c>
      <c r="Q4" s="4">
        <f>SUMIF(BAGACEIRAS!$AA:$AA,Q2,BAGACEIRAS!$G:$G)</f>
        <v>0</v>
      </c>
      <c r="R4" s="4">
        <f>SUMIF(BAGACEIRAS!$AA:$AA,R2,BAGACEIRAS!$G:$G)</f>
        <v>0</v>
      </c>
      <c r="S4" s="4">
        <f>SUMIF(BAGACEIRAS!$AA:$AA,S2,BAGACEIRAS!$G:$G)</f>
        <v>0</v>
      </c>
      <c r="T4" s="4">
        <f>SUMIF(BAGACEIRAS!$AA:$AA,T2,BAGACEIRAS!$G:$G)</f>
        <v>0</v>
      </c>
      <c r="U4" s="4">
        <f>SUMIF(BAGACEIRAS!$AA:$AA,U2,BAGACEIRAS!$G:$G)</f>
        <v>0</v>
      </c>
      <c r="V4" s="4">
        <f>SUMIF(BAGACEIRAS!$AA:$AA,V2,BAGACEIRAS!$G:$G)</f>
        <v>0</v>
      </c>
      <c r="W4" s="4">
        <f>SUMIF(BAGACEIRAS!$AA:$AA,W2,BAGACEIRAS!$G:$G)</f>
        <v>0</v>
      </c>
      <c r="X4" s="4">
        <f>SUMIF(BAGACEIRAS!$AA:$AA,X2,BAGACEIRAS!$G:$G)</f>
        <v>0</v>
      </c>
      <c r="Y4" s="4">
        <f>SUMIF(BAGACEIRAS!$AA:$AA,Y2,BAGACEIRAS!$G:$G)</f>
        <v>0</v>
      </c>
      <c r="Z4" s="4">
        <f>SUMIF(BAGACEIRAS!$AA:$AA,Z2,BAGACEIRAS!$G:$G)</f>
        <v>0</v>
      </c>
      <c r="AA4" s="4">
        <f>SUMIF(BAGACEIRAS!$AA:$AA,AA2,BAGACEIRAS!$G:$G)</f>
        <v>0</v>
      </c>
      <c r="AB4" s="4">
        <f>SUMIF(BAGACEIRAS!$AA:$AA,AB2,BAGACEIRAS!$G:$G)</f>
        <v>0</v>
      </c>
      <c r="AC4" s="4">
        <f>SUMIF(BAGACEIRAS!$AA:$AA,AC2,BAGACEIRAS!$G:$G)</f>
        <v>0</v>
      </c>
      <c r="AD4" s="4">
        <f>SUMIF(BAGACEIRAS!$AA:$AA,AD2,BAGACEIRAS!$G:$G)</f>
        <v>0</v>
      </c>
      <c r="AE4" s="4">
        <f>SUMIF(BAGACEIRAS!$AA:$AA,AE2,BAGACEIRAS!$G:$G)</f>
        <v>0</v>
      </c>
      <c r="AF4" s="4">
        <f>SUMIF(BAGACEIRAS!$AA:$AA,AF2,BAGACEIRAS!$G:$G)</f>
        <v>0</v>
      </c>
      <c r="AG4" s="4">
        <f>SUMIF(BAGACEIRAS!$AA:$AA,AG2,BAGACEIRAS!$G:$G)</f>
        <v>0</v>
      </c>
      <c r="AH4" s="4">
        <f>SUMIF(BAGACEIRAS!$AA:$AA,AH2,BAGACEIRAS!$G:$G)</f>
        <v>0</v>
      </c>
      <c r="AI4" s="4">
        <f>SUMIF(BAGACEIRAS!$AA:$AA,AI2,BAGACEIRAS!$G:$G)</f>
        <v>0</v>
      </c>
      <c r="AJ4" s="4">
        <f>SUMIF(BAGACEIRAS!$AA:$AA,AJ2,BAGACEIRAS!$G:$G)</f>
        <v>0</v>
      </c>
      <c r="AK4" s="4">
        <f>SUMIF(BAGACEIRAS!$AA:$AA,AK2,BAGACEIRAS!$G:$G)</f>
        <v>0</v>
      </c>
    </row>
    <row r="5" spans="2:37" ht="17.25" x14ac:dyDescent="0.3">
      <c r="B5" s="5" t="s">
        <v>25</v>
      </c>
      <c r="C5" s="4">
        <f>SUMIF(BAGACEIRAS!$AB:$AB,C2,BAGACEIRAS!$G:$G)</f>
        <v>0</v>
      </c>
      <c r="D5" s="4">
        <f>SUMIF(BAGACEIRAS!$AB:$AB,D2,BAGACEIRAS!$G:$G)</f>
        <v>0</v>
      </c>
      <c r="E5" s="4">
        <f>SUMIF(BAGACEIRAS!$AB:$AB,E2,BAGACEIRAS!$G:$G)</f>
        <v>0</v>
      </c>
      <c r="F5" s="4">
        <f>SUMIF(BAGACEIRAS!$AB:$AB,F2,BAGACEIRAS!$G:$G)</f>
        <v>0</v>
      </c>
      <c r="G5" s="4">
        <f>SUMIF(BAGACEIRAS!$AB:$AB,G2,BAGACEIRAS!$G:$G)</f>
        <v>0</v>
      </c>
      <c r="H5" s="4">
        <f>SUMIF(BAGACEIRAS!$AB:$AB,H2,BAGACEIRAS!$G:$G)</f>
        <v>0</v>
      </c>
      <c r="I5" s="4">
        <f>SUMIF(BAGACEIRAS!$AB:$AB,I2,BAGACEIRAS!$G:$G)</f>
        <v>0</v>
      </c>
      <c r="J5" s="4">
        <f>SUMIF(BAGACEIRAS!$AB:$AB,J2,BAGACEIRAS!$G:$G)</f>
        <v>0</v>
      </c>
      <c r="K5" s="4">
        <f>SUMIF(BAGACEIRAS!$AB:$AB,K2,BAGACEIRAS!$G:$G)</f>
        <v>0</v>
      </c>
      <c r="L5" s="4">
        <f>SUMIF(BAGACEIRAS!$AB:$AB,L2,BAGACEIRAS!$G:$G)</f>
        <v>0</v>
      </c>
      <c r="M5" s="4">
        <f>SUMIF(BAGACEIRAS!$AB:$AB,M2,BAGACEIRAS!$G:$G)</f>
        <v>0</v>
      </c>
      <c r="N5" s="4">
        <f>SUMIF(BAGACEIRAS!$AB:$AB,N2,BAGACEIRAS!$G:$G)</f>
        <v>6</v>
      </c>
      <c r="O5" s="4">
        <f>SUMIF(BAGACEIRAS!$AB:$AB,O2,BAGACEIRAS!$G:$G)</f>
        <v>5</v>
      </c>
      <c r="P5" s="4">
        <f>SUMIF(BAGACEIRAS!$AB:$AB,P2,BAGACEIRAS!$G:$G)</f>
        <v>0</v>
      </c>
      <c r="Q5" s="4">
        <f>SUMIF(BAGACEIRAS!$AB:$AB,Q2,BAGACEIRAS!$G:$G)</f>
        <v>0</v>
      </c>
      <c r="R5" s="4">
        <f>SUMIF(BAGACEIRAS!$AB:$AB,R2,BAGACEIRAS!$G:$G)</f>
        <v>0</v>
      </c>
      <c r="S5" s="4">
        <f>SUMIF(BAGACEIRAS!$AB:$AB,S2,BAGACEIRAS!$G:$G)</f>
        <v>0</v>
      </c>
      <c r="T5" s="4">
        <f>SUMIF(BAGACEIRAS!$AB:$AB,T2,BAGACEIRAS!$G:$G)</f>
        <v>0</v>
      </c>
      <c r="U5" s="4">
        <f>SUMIF(BAGACEIRAS!$AB:$AB,U2,BAGACEIRAS!$G:$G)</f>
        <v>0</v>
      </c>
      <c r="V5" s="4">
        <f>SUMIF(BAGACEIRAS!$AB:$AB,V2,BAGACEIRAS!$G:$G)</f>
        <v>0</v>
      </c>
      <c r="W5" s="4">
        <f>SUMIF(BAGACEIRAS!$AB:$AB,W2,BAGACEIRAS!$G:$G)</f>
        <v>0</v>
      </c>
      <c r="X5" s="4">
        <f>SUMIF(BAGACEIRAS!$AB:$AB,X2,BAGACEIRAS!$G:$G)</f>
        <v>0</v>
      </c>
      <c r="Y5" s="4">
        <f>SUMIF(BAGACEIRAS!$AB:$AB,Y2,BAGACEIRAS!$G:$G)</f>
        <v>0</v>
      </c>
      <c r="Z5" s="4">
        <f>SUMIF(BAGACEIRAS!$AB:$AB,Z2,BAGACEIRAS!$G:$G)</f>
        <v>0</v>
      </c>
      <c r="AA5" s="4">
        <f>SUMIF(BAGACEIRAS!$AB:$AB,AA2,BAGACEIRAS!$G:$G)</f>
        <v>0</v>
      </c>
      <c r="AB5" s="4">
        <f>SUMIF(BAGACEIRAS!$AB:$AB,AB2,BAGACEIRAS!$G:$G)</f>
        <v>0</v>
      </c>
      <c r="AC5" s="4">
        <f>SUMIF(BAGACEIRAS!$AB:$AB,AC2,BAGACEIRAS!$G:$G)</f>
        <v>0</v>
      </c>
      <c r="AD5" s="4">
        <f>SUMIF(BAGACEIRAS!$AB:$AB,AD2,BAGACEIRAS!$G:$G)</f>
        <v>0</v>
      </c>
      <c r="AE5" s="4">
        <f>SUMIF(BAGACEIRAS!$AB:$AB,AE2,BAGACEIRAS!$G:$G)</f>
        <v>0</v>
      </c>
      <c r="AF5" s="4">
        <f>SUMIF(BAGACEIRAS!$AB:$AB,AF2,BAGACEIRAS!$G:$G)</f>
        <v>0</v>
      </c>
      <c r="AG5" s="4">
        <f>SUMIF(BAGACEIRAS!$AB:$AB,AG2,BAGACEIRAS!$G:$G)</f>
        <v>0</v>
      </c>
      <c r="AH5" s="4">
        <f>SUMIF(BAGACEIRAS!$AB:$AB,AH2,BAGACEIRAS!$G:$G)</f>
        <v>0</v>
      </c>
      <c r="AI5" s="4">
        <f>SUMIF(BAGACEIRAS!$AB:$AB,AI2,BAGACEIRAS!$G:$G)</f>
        <v>0</v>
      </c>
      <c r="AJ5" s="4">
        <f>SUMIF(BAGACEIRAS!$AB:$AB,AJ2,BAGACEIRAS!$G:$G)</f>
        <v>0</v>
      </c>
      <c r="AK5" s="4">
        <f>SUMIF(BAGACEIRAS!$AB:$AB,AK2,BAGACEIRAS!$G:$G)</f>
        <v>0</v>
      </c>
    </row>
    <row r="6" spans="2:37" ht="17.25" x14ac:dyDescent="0.3">
      <c r="B6" s="5" t="s">
        <v>26</v>
      </c>
      <c r="C6" s="4">
        <f>SUMIF(BAGACEIRAS!$AC:$AC,C2,BAGACEIRAS!$G:$G)</f>
        <v>0</v>
      </c>
      <c r="D6" s="4">
        <f>SUMIF(BAGACEIRAS!$AC:$AC,D2,BAGACEIRAS!$G:$G)</f>
        <v>0</v>
      </c>
      <c r="E6" s="4">
        <f>SUMIF(BAGACEIRAS!$AC:$AC,E2,BAGACEIRAS!$G:$G)</f>
        <v>4</v>
      </c>
      <c r="F6" s="4">
        <f>SUMIF(BAGACEIRAS!$AC:$AC,F2,BAGACEIRAS!$G:$G)</f>
        <v>6</v>
      </c>
      <c r="G6" s="4">
        <f>SUMIF(BAGACEIRAS!$AC:$AC,G2,BAGACEIRAS!$G:$G)</f>
        <v>8</v>
      </c>
      <c r="H6" s="4">
        <f>SUMIF(BAGACEIRAS!$AC:$AC,H2,BAGACEIRAS!$G:$G)</f>
        <v>10</v>
      </c>
      <c r="I6" s="4">
        <f>SUMIF(BAGACEIRAS!$AC:$AC,I2,BAGACEIRAS!$G:$G)</f>
        <v>10</v>
      </c>
      <c r="J6" s="4">
        <f>SUMIF(BAGACEIRAS!$AC:$AC,J2,BAGACEIRAS!$G:$G)</f>
        <v>10</v>
      </c>
      <c r="K6" s="4">
        <f>SUMIF(BAGACEIRAS!$AC:$AC,K2,BAGACEIRAS!$G:$G)</f>
        <v>10</v>
      </c>
      <c r="L6" s="4">
        <f>SUMIF(BAGACEIRAS!$AC:$AC,L2,BAGACEIRAS!$G:$G)</f>
        <v>3</v>
      </c>
      <c r="M6" s="4">
        <f>SUMIF(BAGACEIRAS!$AC:$AC,M2,BAGACEIRAS!$G:$G)</f>
        <v>8</v>
      </c>
      <c r="N6" s="4">
        <f>SUMIF(BAGACEIRAS!$AC:$AC,N2,BAGACEIRAS!$G:$G)</f>
        <v>0</v>
      </c>
      <c r="O6" s="4">
        <f>SUMIF(BAGACEIRAS!$AC:$AC,O2,BAGACEIRAS!$G:$G)</f>
        <v>6</v>
      </c>
      <c r="P6" s="4">
        <f>SUMIF(BAGACEIRAS!$AC:$AC,P2,BAGACEIRAS!$G:$G)</f>
        <v>5</v>
      </c>
      <c r="Q6" s="4">
        <f>SUMIF(BAGACEIRAS!$AC:$AC,Q2,BAGACEIRAS!$G:$G)</f>
        <v>0</v>
      </c>
      <c r="R6" s="4">
        <f>SUMIF(BAGACEIRAS!$AC:$AC,R2,BAGACEIRAS!$G:$G)</f>
        <v>0</v>
      </c>
      <c r="S6" s="4">
        <f>SUMIF(BAGACEIRAS!$AC:$AC,S2,BAGACEIRAS!$G:$G)</f>
        <v>0</v>
      </c>
      <c r="T6" s="4">
        <f>SUMIF(BAGACEIRAS!$AC:$AC,T2,BAGACEIRAS!$G:$G)</f>
        <v>0</v>
      </c>
      <c r="U6" s="4">
        <f>SUMIF(BAGACEIRAS!$AC:$AC,U2,BAGACEIRAS!$G:$G)</f>
        <v>0</v>
      </c>
      <c r="V6" s="4">
        <f>SUMIF(BAGACEIRAS!$AC:$AC,V2,BAGACEIRAS!$G:$G)</f>
        <v>0</v>
      </c>
      <c r="W6" s="4">
        <f>SUMIF(BAGACEIRAS!$AC:$AC,W2,BAGACEIRAS!$G:$G)</f>
        <v>0</v>
      </c>
      <c r="X6" s="4">
        <f>SUMIF(BAGACEIRAS!$AC:$AC,X2,BAGACEIRAS!$G:$G)</f>
        <v>0</v>
      </c>
      <c r="Y6" s="4">
        <f>SUMIF(BAGACEIRAS!$AC:$AC,Y2,BAGACEIRAS!$G:$G)</f>
        <v>0</v>
      </c>
      <c r="Z6" s="4">
        <f>SUMIF(BAGACEIRAS!$AC:$AC,Z2,BAGACEIRAS!$G:$G)</f>
        <v>0</v>
      </c>
      <c r="AA6" s="4">
        <f>SUMIF(BAGACEIRAS!$AC:$AC,AA2,BAGACEIRAS!$G:$G)</f>
        <v>0</v>
      </c>
      <c r="AB6" s="4">
        <f>SUMIF(BAGACEIRAS!$AC:$AC,AB2,BAGACEIRAS!$G:$G)</f>
        <v>0</v>
      </c>
      <c r="AC6" s="4">
        <f>SUMIF(BAGACEIRAS!$AC:$AC,AC2,BAGACEIRAS!$G:$G)</f>
        <v>0</v>
      </c>
      <c r="AD6" s="4">
        <f>SUMIF(BAGACEIRAS!$AC:$AC,AD2,BAGACEIRAS!$G:$G)</f>
        <v>0</v>
      </c>
      <c r="AE6" s="4">
        <f>SUMIF(BAGACEIRAS!$AC:$AC,AE2,BAGACEIRAS!$G:$G)</f>
        <v>0</v>
      </c>
      <c r="AF6" s="4">
        <f>SUMIF(BAGACEIRAS!$AC:$AC,AF2,BAGACEIRAS!$G:$G)</f>
        <v>0</v>
      </c>
      <c r="AG6" s="4">
        <f>SUMIF(BAGACEIRAS!$AC:$AC,AG2,BAGACEIRAS!$G:$G)</f>
        <v>0</v>
      </c>
      <c r="AH6" s="4">
        <f>SUMIF(BAGACEIRAS!$AC:$AC,AH2,BAGACEIRAS!$G:$G)</f>
        <v>0</v>
      </c>
      <c r="AI6" s="4">
        <f>SUMIF(BAGACEIRAS!$AC:$AC,AI2,BAGACEIRAS!$G:$G)</f>
        <v>0</v>
      </c>
      <c r="AJ6" s="4">
        <f>SUMIF(BAGACEIRAS!$AC:$AC,AJ2,BAGACEIRAS!$G:$G)</f>
        <v>0</v>
      </c>
      <c r="AK6" s="4">
        <f>SUMIF(BAGACEIRAS!$AC:$AC,AK2,BAGACEIRAS!$G:$G)</f>
        <v>0</v>
      </c>
    </row>
    <row r="7" spans="2:37" ht="17.25" x14ac:dyDescent="0.3">
      <c r="B7" s="5" t="s">
        <v>27</v>
      </c>
      <c r="C7" s="4">
        <f>SUMIF(BAGACEIRAS!$AD:$AD,C2,BAGACEIRAS!$G:$G)</f>
        <v>0</v>
      </c>
      <c r="D7" s="4">
        <f>SUMIF(BAGACEIRAS!$AD:$AD,D2,BAGACEIRAS!$G:$G)</f>
        <v>0</v>
      </c>
      <c r="E7" s="4">
        <f>SUMIF(BAGACEIRAS!$AD:$AD,E2,BAGACEIRAS!$G:$G)</f>
        <v>0</v>
      </c>
      <c r="F7" s="4">
        <f>SUMIF(BAGACEIRAS!$AD:$AD,F2,BAGACEIRAS!$G:$G)</f>
        <v>4</v>
      </c>
      <c r="G7" s="4">
        <f>SUMIF(BAGACEIRAS!$AD:$AD,G2,BAGACEIRAS!$G:$G)</f>
        <v>6</v>
      </c>
      <c r="H7" s="4">
        <f>SUMIF(BAGACEIRAS!$AD:$AD,H2,BAGACEIRAS!$G:$G)</f>
        <v>8</v>
      </c>
      <c r="I7" s="4">
        <f>SUMIF(BAGACEIRAS!$AD:$AD,I2,BAGACEIRAS!$G:$G)</f>
        <v>10</v>
      </c>
      <c r="J7" s="4">
        <f>SUMIF(BAGACEIRAS!$AD:$AD,J2,BAGACEIRAS!$G:$G)</f>
        <v>10</v>
      </c>
      <c r="K7" s="4">
        <f>SUMIF(BAGACEIRAS!$AD:$AD,K2,BAGACEIRAS!$G:$G)</f>
        <v>15</v>
      </c>
      <c r="L7" s="4">
        <f>SUMIF(BAGACEIRAS!$AD:$AD,L2,BAGACEIRAS!$G:$G)</f>
        <v>12</v>
      </c>
      <c r="M7" s="4">
        <f>SUMIF(BAGACEIRAS!$AD:$AD,M2,BAGACEIRAS!$G:$G)</f>
        <v>3</v>
      </c>
      <c r="N7" s="4">
        <f>SUMIF(BAGACEIRAS!$AD:$AD,N2,BAGACEIRAS!$G:$G)</f>
        <v>8</v>
      </c>
      <c r="O7" s="4">
        <f>SUMIF(BAGACEIRAS!$AD:$AD,O2,BAGACEIRAS!$G:$G)</f>
        <v>0</v>
      </c>
      <c r="P7" s="4">
        <f>SUMIF(BAGACEIRAS!$AD:$AD,P2,BAGACEIRAS!$G:$G)</f>
        <v>6</v>
      </c>
      <c r="Q7" s="4">
        <f>SUMIF(BAGACEIRAS!$AD:$AD,Q2,BAGACEIRAS!$G:$G)</f>
        <v>5</v>
      </c>
      <c r="R7" s="4">
        <f>SUMIF(BAGACEIRAS!$AD:$AD,R2,BAGACEIRAS!$G:$G)</f>
        <v>0</v>
      </c>
      <c r="S7" s="4">
        <f>SUMIF(BAGACEIRAS!$AD:$AD,S2,BAGACEIRAS!$G:$G)</f>
        <v>0</v>
      </c>
      <c r="T7" s="4">
        <f>SUMIF(BAGACEIRAS!$AD:$AD,T2,BAGACEIRAS!$G:$G)</f>
        <v>0</v>
      </c>
      <c r="U7" s="4">
        <f>SUMIF(BAGACEIRAS!$AD:$AD,U2,BAGACEIRAS!$G:$G)</f>
        <v>0</v>
      </c>
      <c r="V7" s="4">
        <f>SUMIF(BAGACEIRAS!$AD:$AD,V2,BAGACEIRAS!$G:$G)</f>
        <v>0</v>
      </c>
      <c r="W7" s="4">
        <f>SUMIF(BAGACEIRAS!$AD:$AD,W2,BAGACEIRAS!$G:$G)</f>
        <v>0</v>
      </c>
      <c r="X7" s="4">
        <f>SUMIF(BAGACEIRAS!$AD:$AD,X2,BAGACEIRAS!$G:$G)</f>
        <v>0</v>
      </c>
      <c r="Y7" s="4">
        <f>SUMIF(BAGACEIRAS!$AD:$AD,Y2,BAGACEIRAS!$G:$G)</f>
        <v>0</v>
      </c>
      <c r="Z7" s="4">
        <f>SUMIF(BAGACEIRAS!$AD:$AD,Z2,BAGACEIRAS!$G:$G)</f>
        <v>0</v>
      </c>
      <c r="AA7" s="4">
        <f>SUMIF(BAGACEIRAS!$AD:$AD,AA2,BAGACEIRAS!$G:$G)</f>
        <v>0</v>
      </c>
      <c r="AB7" s="4">
        <f>SUMIF(BAGACEIRAS!$AD:$AD,AB2,BAGACEIRAS!$G:$G)</f>
        <v>0</v>
      </c>
      <c r="AC7" s="4">
        <f>SUMIF(BAGACEIRAS!$AD:$AD,AC2,BAGACEIRAS!$G:$G)</f>
        <v>0</v>
      </c>
      <c r="AD7" s="4">
        <f>SUMIF(BAGACEIRAS!$AD:$AD,AD2,BAGACEIRAS!$G:$G)</f>
        <v>0</v>
      </c>
      <c r="AE7" s="4">
        <f>SUMIF(BAGACEIRAS!$AD:$AD,AE2,BAGACEIRAS!$G:$G)</f>
        <v>0</v>
      </c>
      <c r="AF7" s="4">
        <f>SUMIF(BAGACEIRAS!$AD:$AD,AF2,BAGACEIRAS!$G:$G)</f>
        <v>0</v>
      </c>
      <c r="AG7" s="4">
        <f>SUMIF(BAGACEIRAS!$AD:$AD,AG2,BAGACEIRAS!$G:$G)</f>
        <v>0</v>
      </c>
      <c r="AH7" s="4">
        <f>SUMIF(BAGACEIRAS!$AD:$AD,AH2,BAGACEIRAS!$G:$G)</f>
        <v>0</v>
      </c>
      <c r="AI7" s="4">
        <f>SUMIF(BAGACEIRAS!$AD:$AD,AI2,BAGACEIRAS!$G:$G)</f>
        <v>0</v>
      </c>
      <c r="AJ7" s="4">
        <f>SUMIF(BAGACEIRAS!$AD:$AD,AJ2,BAGACEIRAS!$G:$G)</f>
        <v>0</v>
      </c>
      <c r="AK7" s="4">
        <f>SUMIF(BAGACEIRAS!$AD:$AD,AK2,BAGACEIRAS!$G:$G)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BAGACEIRAS</vt:lpstr>
      <vt:lpstr>PENTES</vt:lpstr>
      <vt:lpstr>RODETES NOVOS</vt:lpstr>
      <vt:lpstr>REFORMA DIVERSAS</vt:lpstr>
      <vt:lpstr>PERIFÉRICOS</vt:lpstr>
      <vt:lpstr>CAMISAS</vt:lpstr>
      <vt:lpstr>EIXOS</vt:lpstr>
      <vt:lpstr>VI DIVERSOS</vt:lpstr>
      <vt:lpstr>Manganês</vt:lpstr>
      <vt:lpstr>PLANEJADO BAGACEIRA</vt:lpstr>
      <vt:lpstr>BAGACEIRAS!Area_de_impressao</vt:lpstr>
      <vt:lpstr>'VI DIVERSOS'!Area_de_impressao</vt:lpstr>
      <vt:lpstr>BAGACEIRAS!Titulos_de_impressao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Eduardo Dilena</dc:creator>
  <cp:lastModifiedBy>Marcelo Eduardo Dilena</cp:lastModifiedBy>
  <cp:lastPrinted>2026-07-03T10:42:28Z</cp:lastPrinted>
  <dcterms:created xsi:type="dcterms:W3CDTF">2026-04-23T13:37:28Z</dcterms:created>
  <dcterms:modified xsi:type="dcterms:W3CDTF">2026-07-27T17:03:20Z</dcterms:modified>
</cp:coreProperties>
</file>