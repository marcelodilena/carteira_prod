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85AE9000-F142-4859-A5E2-883E3F28E669}" xr6:coauthVersionLast="47" xr6:coauthVersionMax="47" xr10:uidLastSave="{00000000-0000-0000-0000-000000000000}"/>
  <bookViews>
    <workbookView xWindow="-120" yWindow="-120" windowWidth="21840" windowHeight="13140" firstSheet="2" activeTab="5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ROLOS" sheetId="14" r:id="rId6"/>
    <sheet name="CAMISAS" sheetId="7" r:id="rId7"/>
    <sheet name="EIXOS" sheetId="12" r:id="rId8"/>
    <sheet name="VI DIVERSOS" sheetId="10" r:id="rId9"/>
    <sheet name="Manganês" sheetId="13" r:id="rId10"/>
    <sheet name="PLANEJADO BAGACEIRA" sheetId="5" state="hidden" r:id="rId11"/>
  </sheets>
  <definedNames>
    <definedName name="_xlnm._FilterDatabase" localSheetId="9" hidden="1">Manganês!$A$1:$M$115</definedName>
    <definedName name="_xlnm._FilterDatabase" localSheetId="5" hidden="1">ROLOS!$A$2:$AH$30</definedName>
    <definedName name="_xlnm._FilterDatabase" localSheetId="8" hidden="1">'VI DIVERSOS'!$A$1:$O$60</definedName>
    <definedName name="_xlnm.Print_Area" localSheetId="0">Tabela1[#All]</definedName>
    <definedName name="_xlnm.Print_Area" localSheetId="8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19" i="14" l="1"/>
  <c r="AG18" i="14"/>
  <c r="AG17" i="14"/>
  <c r="AG16" i="14"/>
  <c r="AG15" i="14"/>
  <c r="AG14" i="14"/>
  <c r="AG13" i="14"/>
  <c r="AG12" i="14"/>
  <c r="AG11" i="14"/>
  <c r="AG10" i="14"/>
  <c r="AG9" i="14"/>
  <c r="AG8" i="14"/>
  <c r="AG7" i="14"/>
  <c r="AG6" i="14"/>
  <c r="AG5" i="14"/>
  <c r="AG4" i="14"/>
  <c r="AG3" i="14"/>
  <c r="L146" i="2"/>
  <c r="M146" i="2" s="1"/>
  <c r="L147" i="2"/>
  <c r="M147" i="2" s="1"/>
  <c r="L148" i="2"/>
  <c r="M148" i="2" s="1"/>
  <c r="L149" i="2"/>
  <c r="M149" i="2" s="1"/>
  <c r="L150" i="2"/>
  <c r="M150" i="2" s="1"/>
  <c r="X146" i="2"/>
  <c r="X147" i="2"/>
  <c r="X148" i="2"/>
  <c r="X149" i="2"/>
  <c r="X150" i="2"/>
  <c r="L145" i="2"/>
  <c r="M145" i="2" s="1"/>
  <c r="X145" i="2"/>
  <c r="L86" i="6"/>
  <c r="M86" i="6" s="1"/>
  <c r="L87" i="6"/>
  <c r="M87" i="6" s="1"/>
  <c r="X86" i="6"/>
  <c r="X87" i="6"/>
  <c r="L85" i="6"/>
  <c r="M85" i="6" s="1"/>
  <c r="X85" i="6"/>
  <c r="L82" i="6"/>
  <c r="M82" i="6" s="1"/>
  <c r="L83" i="6"/>
  <c r="M83" i="6" s="1"/>
  <c r="L84" i="6"/>
  <c r="M84" i="6" s="1"/>
  <c r="X82" i="6"/>
  <c r="X83" i="6"/>
  <c r="X84" i="6"/>
  <c r="L81" i="6"/>
  <c r="M81" i="6" s="1"/>
  <c r="X81" i="6"/>
  <c r="N215" i="8"/>
  <c r="O215" i="8" s="1"/>
  <c r="N216" i="8"/>
  <c r="O216" i="8" s="1"/>
  <c r="N217" i="8"/>
  <c r="O217" i="8" s="1"/>
  <c r="N218" i="8"/>
  <c r="O218" i="8" s="1"/>
  <c r="N219" i="8"/>
  <c r="O219" i="8" s="1"/>
  <c r="N220" i="8"/>
  <c r="O220" i="8" s="1"/>
  <c r="N221" i="8"/>
  <c r="O221" i="8" s="1"/>
  <c r="N222" i="8"/>
  <c r="O222" i="8" s="1"/>
  <c r="L75" i="6"/>
  <c r="M75" i="6" s="1"/>
  <c r="L76" i="6"/>
  <c r="M76" i="6" s="1"/>
  <c r="L77" i="6"/>
  <c r="M77" i="6" s="1"/>
  <c r="L78" i="6"/>
  <c r="M78" i="6" s="1"/>
  <c r="L79" i="6"/>
  <c r="M79" i="6" s="1"/>
  <c r="L80" i="6"/>
  <c r="M80" i="6" s="1"/>
  <c r="X75" i="6"/>
  <c r="X76" i="6"/>
  <c r="X77" i="6"/>
  <c r="X78" i="6"/>
  <c r="X79" i="6"/>
  <c r="X80" i="6"/>
  <c r="L139" i="2"/>
  <c r="M139" i="2" s="1"/>
  <c r="L140" i="2"/>
  <c r="M140" i="2" s="1"/>
  <c r="L141" i="2"/>
  <c r="M141" i="2" s="1"/>
  <c r="L142" i="2"/>
  <c r="M142" i="2" s="1"/>
  <c r="L143" i="2"/>
  <c r="M143" i="2" s="1"/>
  <c r="L144" i="2"/>
  <c r="M144" i="2" s="1"/>
  <c r="X139" i="2"/>
  <c r="X140" i="2"/>
  <c r="X141" i="2"/>
  <c r="X142" i="2"/>
  <c r="X143" i="2"/>
  <c r="X144" i="2"/>
  <c r="L133" i="2"/>
  <c r="M133" i="2" s="1"/>
  <c r="L134" i="2"/>
  <c r="M134" i="2" s="1"/>
  <c r="L135" i="2"/>
  <c r="M135" i="2" s="1"/>
  <c r="L136" i="2"/>
  <c r="M136" i="2" s="1"/>
  <c r="L137" i="2"/>
  <c r="M137" i="2" s="1"/>
  <c r="L138" i="2"/>
  <c r="M138" i="2" s="1"/>
  <c r="X133" i="2"/>
  <c r="X134" i="2"/>
  <c r="X135" i="2"/>
  <c r="X136" i="2"/>
  <c r="X137" i="2"/>
  <c r="X138" i="2"/>
  <c r="L65" i="6"/>
  <c r="M65" i="6" s="1"/>
  <c r="L66" i="6"/>
  <c r="M66" i="6" s="1"/>
  <c r="L67" i="6"/>
  <c r="M67" i="6" s="1"/>
  <c r="L68" i="6"/>
  <c r="M68" i="6" s="1"/>
  <c r="L69" i="6"/>
  <c r="M69" i="6" s="1"/>
  <c r="L70" i="6"/>
  <c r="M70" i="6" s="1"/>
  <c r="L71" i="6"/>
  <c r="M71" i="6" s="1"/>
  <c r="L72" i="6"/>
  <c r="M72" i="6" s="1"/>
  <c r="L73" i="6"/>
  <c r="M73" i="6" s="1"/>
  <c r="L74" i="6"/>
  <c r="M74" i="6" s="1"/>
  <c r="X65" i="6"/>
  <c r="X66" i="6"/>
  <c r="X67" i="6"/>
  <c r="X68" i="6"/>
  <c r="X69" i="6"/>
  <c r="X70" i="6"/>
  <c r="X71" i="6"/>
  <c r="X72" i="6"/>
  <c r="X73" i="6"/>
  <c r="X74" i="6"/>
  <c r="L128" i="2"/>
  <c r="M128" i="2" s="1"/>
  <c r="L129" i="2"/>
  <c r="M129" i="2" s="1"/>
  <c r="L130" i="2"/>
  <c r="M130" i="2" s="1"/>
  <c r="L131" i="2"/>
  <c r="M131" i="2" s="1"/>
  <c r="L132" i="2"/>
  <c r="M132" i="2" s="1"/>
  <c r="X128" i="2"/>
  <c r="X129" i="2"/>
  <c r="X130" i="2"/>
  <c r="X131" i="2"/>
  <c r="X132" i="2"/>
  <c r="L127" i="2"/>
  <c r="M127" i="2" s="1"/>
  <c r="X127" i="2"/>
  <c r="L61" i="6"/>
  <c r="M61" i="6" s="1"/>
  <c r="L62" i="6"/>
  <c r="M62" i="6" s="1"/>
  <c r="L63" i="6"/>
  <c r="M63" i="6" s="1"/>
  <c r="L64" i="6"/>
  <c r="M64" i="6" s="1"/>
  <c r="X61" i="6"/>
  <c r="X62" i="6"/>
  <c r="X63" i="6"/>
  <c r="X64" i="6"/>
  <c r="L60" i="6"/>
  <c r="M60" i="6" s="1"/>
  <c r="X60" i="6"/>
  <c r="L57" i="6"/>
  <c r="M57" i="6" s="1"/>
  <c r="L58" i="6"/>
  <c r="M58" i="6" s="1"/>
  <c r="L59" i="6"/>
  <c r="M59" i="6" s="1"/>
  <c r="X57" i="6"/>
  <c r="X58" i="6"/>
  <c r="X59" i="6"/>
  <c r="L154" i="9"/>
  <c r="M154" i="9" s="1"/>
  <c r="L153" i="9"/>
  <c r="M153" i="9" s="1"/>
  <c r="L151" i="9"/>
  <c r="M151" i="9" s="1"/>
  <c r="L152" i="9"/>
  <c r="M152" i="9" s="1"/>
  <c r="L149" i="9"/>
  <c r="M149" i="9" s="1"/>
  <c r="L150" i="9"/>
  <c r="M150" i="9" s="1"/>
  <c r="L148" i="9"/>
  <c r="M148" i="9" s="1"/>
  <c r="L122" i="2"/>
  <c r="M122" i="2" s="1"/>
  <c r="L123" i="2"/>
  <c r="M123" i="2" s="1"/>
  <c r="L124" i="2"/>
  <c r="M124" i="2" s="1"/>
  <c r="L125" i="2"/>
  <c r="M125" i="2" s="1"/>
  <c r="L126" i="2"/>
  <c r="M126" i="2" s="1"/>
  <c r="X122" i="2"/>
  <c r="X123" i="2"/>
  <c r="X124" i="2"/>
  <c r="X125" i="2"/>
  <c r="X126" i="2"/>
  <c r="L121" i="2"/>
  <c r="M121" i="2" s="1"/>
  <c r="X121" i="2"/>
  <c r="N205" i="8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<sst xmlns="http://schemas.openxmlformats.org/spreadsheetml/2006/main" count="15748" uniqueCount="778">
  <si>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</si>
  <si>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</si>
  <si>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</si>
  <si>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</si>
  <si>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</si>
  <si>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</si>
  <si>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</si>
  <si>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</si>
  <si>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</si>
  <si>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</si>
  <si>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</si>
  <si>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</si>
  <si>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</si>
  <si>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</si>
  <si>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</si>
  <si>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</si>
  <si>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</si>
  <si>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</si>
  <si>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</si>
  <si>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</si>
  <si>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</si>
  <si>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</si>
  <si>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</si>
  <si>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</si>
  <si>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</si>
  <si>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</si>
  <si>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</si>
  <si>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</si>
  <si>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</si>
  <si>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</si>
  <si>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</si>
  <si>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</si>
  <si>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</si>
  <si>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</si>
  <si>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</si>
  <si>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</si>
  <si>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</si>
  <si>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</si>
  <si>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</si>
  <si>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</si>
  <si>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</si>
  <si>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</si>
  <si>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</si>
  <si>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</si>
  <si>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</si>
  <si>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</si>
  <si>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</si>
  <si>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</si>
  <si>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</si>
  <si>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</si>
  <si>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</si>
  <si>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</si>
  <si>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</si>
  <si>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</si>
  <si>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</si>
  <si>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</si>
  <si>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</si>
  <si>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</si>
  <si>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</si>
  <si>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</si>
  <si>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</si>
  <si>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</si>
  <si>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</si>
  <si>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</si>
  <si>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</si>
  <si>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</si>
  <si>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</si>
  <si>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</si>
  <si>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</si>
  <si>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</si>
  <si>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</si>
  <si>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</si>
  <si>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</si>
  <si>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</si>
  <si>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</si>
  <si>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</si>
  <si>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</si>
  <si>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</si>
  <si>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</si>
  <si>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</si>
  <si>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</si>
  <si>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</si>
  <si>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</si>
  <si>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</si>
  <si>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</si>
  <si>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</si>
  <si>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</si>
  <si>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</si>
  <si>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</si>
  <si>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</si>
  <si>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</si>
  <si>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</si>
  <si>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</si>
  <si>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</si>
  <si>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</si>
  <si>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</si>
  <si>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</si>
  <si>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</si>
  <si>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</si>
  <si>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</si>
  <si>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</si>
  <si>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</si>
  <si>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</si>
  <si>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</si>
  <si>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</si>
  <si>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</si>
  <si>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</si>
  <si>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</si>
  <si>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</si>
  <si>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</si>
  <si>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</si>
  <si>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</si>
  <si>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</si>
  <si>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</si>
  <si>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</si>
  <si>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</si>
  <si>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</si>
  <si>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</si>
  <si>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</si>
  <si>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</si>
  <si>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</si>
  <si>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</si>
  <si>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</si>
  <si>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</si>
  <si>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</si>
  <si>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</si>
  <si>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</si>
  <si>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</si>
  <si>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</si>
  <si>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</si>
  <si>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</si>
  <si>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</si>
  <si>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</si>
  <si>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</si>
  <si>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</si>
  <si>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</si>
  <si>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</si>
  <si>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</si>
  <si>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</si>
  <si>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</si>
  <si>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</si>
  <si>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</si>
  <si>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</si>
  <si>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</si>
  <si>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</si>
  <si>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</si>
  <si>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</si>
  <si>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</si>
  <si>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</si>
  <si>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</si>
  <si>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</si>
  <si>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</si>
  <si>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</si>
  <si>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</si>
  <si>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</si>
  <si>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</si>
  <si>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</si>
  <si>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</si>
  <si>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</si>
  <si>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</si>
  <si>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</si>
  <si>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</si>
  <si>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</si>
  <si>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</si>
  <si>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</si>
  <si>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</si>
  <si>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</si>
  <si>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</si>
  <si>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</si>
  <si>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</si>
  <si>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</si>
  <si>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</si>
  <si>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</si>
  <si>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</si>
  <si>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</si>
  <si>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</si>
  <si>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</si>
  <si>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</si>
  <si>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</si>
  <si>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</si>
  <si>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</si>
  <si>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</si>
  <si>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</si>
  <si>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</si>
  <si>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</si>
  <si>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</si>
  <si>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</si>
  <si>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</si>
  <si>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</si>
  <si>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</si>
  <si>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</si>
  <si>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</si>
  <si>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</si>
  <si>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</si>
  <si>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</si>
  <si>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</si>
  <si>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</si>
  <si>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</si>
  <si>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</si>
  <si>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</si>
  <si>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</si>
  <si>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</si>
  <si>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</si>
  <si>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</si>
  <si>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</si>
  <si>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</si>
  <si>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</si>
  <si>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</si>
  <si>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</si>
  <si>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</si>
  <si>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</si>
  <si>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</si>
  <si>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</si>
  <si>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</si>
  <si>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</si>
  <si>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</si>
  <si>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</si>
  <si>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</si>
  <si>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</si>
  <si>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</si>
  <si>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</si>
  <si>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</si>
  <si>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</si>
  <si>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</si>
  <si>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</si>
  <si>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</si>
  <si>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</si>
  <si>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</si>
  <si>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</si>
  <si>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</si>
  <si>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</si>
  <si>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</si>
  <si>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</si>
  <si>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</si>
  <si>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</si>
  <si>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</si>
  <si>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</si>
  <si>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</si>
  <si>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</si>
  <si>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</si>
  <si>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</si>
  <si>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</si>
  <si>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</si>
  <si>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</si>
  <si>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</si>
  <si>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</si>
  <si>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</si>
  <si>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</si>
  <si>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</si>
  <si>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</si>
  <si>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</si>
  <si>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</si>
  <si>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</si>
  <si>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</si>
  <si>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</si>
  <si>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</si>
  <si>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</si>
  <si>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</si>
  <si>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</si>
  <si>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</si>
  <si>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</si>
  <si>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</si>
  <si>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</si>
  <si>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</si>
  <si>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</si>
  <si>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</si>
  <si>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</si>
  <si>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</si>
  <si>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</si>
  <si>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</si>
  <si>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</si>
  <si>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</si>
  <si>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</si>
  <si>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</si>
  <si>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</si>
  <si>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</si>
  <si>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</si>
  <si>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</si>
  <si>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</si>
  <si>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</si>
  <si>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</si>
  <si>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</si>
  <si>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</si>
  <si>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</si>
  <si>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</si>
  <si>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</si>
  <si>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</si>
  <si>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</si>
  <si>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</si>
  <si>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</si>
  <si>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</si>
  <si>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</si>
  <si>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</si>
  <si>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</si>
  <si>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</si>
  <si>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</si>
  <si>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</si>
  <si>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</si>
  <si>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</si>
  <si>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</si>
  <si>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</si>
  <si>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</si>
  <si>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</si>
  <si>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</si>
  <si>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</si>
  <si>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</si>
  <si>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</si>
  <si>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</si>
  <si>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</si>
  <si>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</si>
  <si>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</si>
  <si>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</si>
  <si>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</si>
  <si>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</si>
  <si>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</si>
  <si>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</si>
  <si>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</si>
  <si>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</si>
  <si>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</si>
  <si>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</si>
  <si>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</si>
  <si>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</si>
  <si>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</si>
  <si>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</si>
  <si>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</si>
  <si>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</si>
  <si>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</si>
  <si>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</si>
  <si>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</si>
  <si>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</si>
  <si>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</si>
  <si>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</si>
  <si>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</si>
  <si>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</si>
  <si>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</si>
  <si>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</si>
  <si>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</si>
  <si>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</si>
  <si>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</si>
  <si>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</si>
  <si>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</si>
  <si>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</si>
  <si>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</si>
  <si>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</si>
  <si>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</si>
  <si>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</si>
  <si>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</si>
  <si>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</si>
  <si>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</si>
  <si>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</si>
  <si>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</si>
  <si>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</si>
  <si>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</si>
  <si>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</si>
  <si>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</si>
  <si>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</si>
  <si>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</si>
  <si>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</si>
  <si>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</si>
  <si>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</si>
  <si>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</si>
  <si>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</si>
  <si>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</si>
  <si>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</si>
  <si>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</si>
  <si>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</si>
  <si>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</si>
  <si>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</si>
  <si>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</si>
  <si>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</si>
  <si>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</si>
  <si>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</si>
  <si>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</si>
  <si>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</si>
  <si>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</si>
  <si>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</si>
  <si>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</si>
  <si>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</si>
  <si>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</si>
  <si>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</si>
  <si>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</si>
  <si>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</si>
  <si>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</si>
  <si>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</si>
  <si>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</si>
  <si>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</si>
  <si>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</si>
  <si>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</si>
  <si>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</si>
  <si>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</si>
  <si>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</si>
  <si>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</si>
  <si>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</si>
  <si>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</si>
  <si>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</si>
  <si>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</si>
  <si>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</si>
  <si>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</si>
  <si>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</si>
  <si>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</si>
  <si>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</si>
  <si>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</si>
  <si>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</si>
  <si>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</si>
  <si>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</si>
  <si>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</si>
  <si>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</si>
  <si>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</si>
  <si>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</si>
  <si>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</si>
  <si>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</si>
  <si>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</si>
  <si>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</si>
  <si>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</si>
  <si>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</si>
  <si>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</si>
  <si>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</si>
  <si>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</si>
  <si>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</si>
  <si>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</si>
  <si>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</si>
  <si>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</si>
  <si>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</si>
  <si>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</si>
  <si>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</si>
  <si>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</si>
  <si>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</si>
  <si>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</si>
  <si>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</si>
  <si>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</si>
  <si>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</si>
  <si>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</si>
  <si>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</si>
  <si>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</si>
  <si>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</si>
  <si>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</si>
  <si>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</si>
  <si>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</si>
  <si>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</si>
  <si>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</si>
  <si>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</si>
  <si>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</si>
  <si>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</si>
  <si>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</si>
  <si>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</si>
  <si>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</si>
  <si>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</si>
  <si>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</si>
  <si>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</si>
  <si>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</si>
  <si>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</si>
  <si>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</si>
  <si>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</si>
  <si>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</si>
  <si>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</si>
  <si>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</si>
  <si>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</si>
  <si>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</si>
  <si>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</si>
  <si>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</si>
  <si>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</si>
  <si>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</si>
  <si>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</si>
  <si>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</si>
  <si>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</si>
  <si>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</si>
  <si>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</si>
  <si>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</si>
  <si>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</si>
  <si>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</si>
  <si>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</si>
  <si>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</si>
  <si>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</si>
  <si>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</si>
  <si>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</si>
  <si>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</si>
  <si>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</si>
  <si>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</si>
  <si>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</si>
  <si>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</si>
  <si>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</si>
  <si>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</si>
  <si>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</si>
  <si>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</si>
  <si>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</si>
  <si>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</si>
  <si>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</si>
  <si>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</si>
  <si>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</si>
  <si>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</si>
  <si>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</si>
  <si>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</si>
  <si>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</si>
  <si>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</si>
  <si>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</si>
  <si>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</si>
  <si>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</si>
  <si>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</si>
  <si>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</si>
  <si>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</si>
  <si>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</si>
  <si>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</si>
  <si>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</si>
  <si>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</si>
  <si>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</si>
  <si>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</si>
  <si>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</si>
  <si>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</si>
  <si>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</si>
  <si>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</si>
  <si>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</si>
  <si>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</si>
  <si>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</si>
  <si>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</si>
  <si>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</si>
  <si>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</si>
  <si>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</si>
  <si>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</si>
  <si>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</si>
  <si>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</si>
  <si>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</si>
  <si>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</si>
  <si>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</si>
  <si>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</si>
  <si>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</si>
  <si>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</si>
  <si>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</si>
  <si>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</si>
  <si>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</si>
  <si>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</si>
  <si>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</si>
  <si>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</si>
  <si>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</si>
  <si>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</si>
  <si>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</si>
  <si>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</si>
  <si>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</si>
  <si>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</si>
  <si>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</si>
  <si>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</si>
  <si>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</si>
  <si>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</si>
  <si>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</si>
  <si>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</si>
  <si>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</si>
  <si>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</si>
  <si>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</si>
  <si>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</si>
  <si>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</si>
  <si>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</si>
  <si>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</si>
  <si>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</si>
  <si>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</si>
  <si>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</si>
  <si>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</si>
  <si>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</si>
  <si>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</si>
  <si>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</si>
  <si>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</si>
  <si>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</si>
  <si>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</si>
  <si>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</si>
  <si>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</si>
  <si>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</si>
  <si>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</si>
  <si>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</si>
  <si>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</si>
  <si>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</si>
  <si>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</si>
  <si>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</si>
  <si>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</si>
  <si>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</si>
  <si>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</si>
  <si>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</si>
  <si>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</si>
  <si>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</si>
  <si>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</si>
  <si>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</si>
  <si>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</si>
  <si>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</si>
  <si>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</si>
  <si>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</si>
  <si>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</si>
  <si>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</si>
  <si>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</si>
  <si>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</si>
  <si>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</si>
  <si>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</si>
  <si>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</si>
  <si>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</si>
  <si>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</si>
  <si>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</si>
  <si>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</si>
  <si>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</si>
  <si>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</si>
  <si>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</si>
  <si>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</si>
  <si>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</si>
  <si>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</si>
  <si>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</si>
  <si>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</si>
  <si>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</si>
  <si>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</si>
  <si>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</si>
  <si>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</si>
  <si>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</si>
  <si>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</si>
  <si>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</si>
  <si>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</si>
  <si>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</si>
  <si>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</si>
  <si>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</si>
  <si>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</si>
  <si>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</si>
  <si>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</si>
  <si>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</si>
  <si>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</si>
  <si>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</si>
  <si>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</si>
  <si>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</si>
  <si>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</si>
  <si>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</si>
  <si>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</si>
  <si>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</si>
  <si>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</si>
  <si>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</si>
  <si>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</si>
  <si>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</si>
  <si>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</si>
  <si>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</si>
  <si>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</si>
  <si>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</si>
  <si>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</si>
  <si>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</si>
  <si>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</si>
  <si>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</si>
  <si>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</si>
  <si>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</si>
  <si>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</si>
  <si>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</si>
  <si>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</si>
  <si>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</si>
  <si>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</si>
  <si>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</si>
  <si>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</si>
  <si>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</si>
  <si>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</si>
  <si>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</si>
  <si>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</si>
  <si>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</si>
  <si>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</si>
  <si>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</si>
  <si>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</si>
  <si>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</si>
  <si>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</si>
  <si>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</si>
  <si>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</si>
  <si>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</si>
  <si>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</si>
  <si>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</si>
  <si>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</si>
  <si>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</si>
  <si>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</si>
  <si>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</si>
  <si>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</si>
  <si>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</si>
  <si>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</si>
  <si>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</si>
  <si>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</si>
  <si>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</si>
  <si>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</si>
  <si>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</si>
  <si>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</si>
  <si>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</si>
  <si>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</si>
  <si>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</si>
  <si>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</si>
  <si>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</si>
  <si>
    <t>Uberaba</t>
  </si>
  <si>
    <t>BAGACEIRA 2000</t>
  </si>
  <si>
    <t>BAGACEIRA 1700</t>
  </si>
  <si>
    <t>Munhão Inox - 1700</t>
  </si>
  <si>
    <t>CJ. VEDAÇÃO INFERIOR - 2000</t>
  </si>
  <si>
    <t>CJ. VEDAÇÃO INFERIOR - 1700</t>
  </si>
  <si>
    <t>Sai.</t>
  </si>
  <si>
    <t>PIV-78</t>
  </si>
  <si>
    <t>PVI</t>
  </si>
  <si>
    <t>Broq</t>
  </si>
  <si>
    <t>Manutentção Rolo Superior-58</t>
  </si>
  <si>
    <t>Manutentção Rolo Superior-19</t>
  </si>
  <si>
    <t>Manutentção Rolo Superior-18</t>
  </si>
  <si>
    <t>Manutentção Rolo Superior-04</t>
  </si>
  <si>
    <t>Manutentção Rolo Superior-12</t>
  </si>
  <si>
    <t>Manutentção Rolo Superior-62</t>
  </si>
  <si>
    <t>São Francisco</t>
  </si>
  <si>
    <t>RODETE MD Z15 Ø1055 66"</t>
  </si>
  <si>
    <t>RODETE Z15 MD Ø1070 66"</t>
  </si>
  <si>
    <t>Santo Antônio</t>
  </si>
  <si>
    <t>RODETE Z15 Ø1197mm 60"</t>
  </si>
  <si>
    <t>RODETE Z10 Ø1152mm 78"</t>
  </si>
  <si>
    <t>RODETE Z10 Ø1414mm 78"</t>
  </si>
  <si>
    <t>PARALISADA</t>
  </si>
  <si>
    <t>AG. CHAPA</t>
  </si>
  <si>
    <t>SOL. 66489</t>
  </si>
  <si>
    <t>SOL. 66496</t>
  </si>
  <si>
    <t>BOQUILHA EM USINAGEM - FERRARI - PED. 26817</t>
  </si>
  <si>
    <t>BAGACEIRA 66"</t>
  </si>
  <si>
    <t>RODETE RP Z-21 Ø2030 90"</t>
  </si>
  <si>
    <t>RODETE RP Z-21 Ø1810 90"</t>
  </si>
  <si>
    <t>RODETE RP Z-20 Ø1870 84"</t>
  </si>
  <si>
    <t>RODETE RP Z-20 Ø1795 84"</t>
  </si>
  <si>
    <t>RODETE RP Z-20 Ø1730 84"</t>
  </si>
  <si>
    <t>RODETE Z-15 Ø1475 84"</t>
  </si>
  <si>
    <t>Bela Vista</t>
  </si>
  <si>
    <t>RODETE Z-15 Ø1530 84"</t>
  </si>
  <si>
    <t>RODETE RP Z-21 Ø1945 84"</t>
  </si>
  <si>
    <t>RODETE RP Z-21 Ø1660 78"</t>
  </si>
  <si>
    <t>RODETE RP Z-15 Ø1340 78"</t>
  </si>
  <si>
    <t>RODETE RP Z-20 Ø1720 78"</t>
  </si>
  <si>
    <t xml:space="preserve"> </t>
  </si>
  <si>
    <t>Salto Botelho</t>
  </si>
  <si>
    <t>RODETE MDA Z-22 Ø1440 78"</t>
  </si>
  <si>
    <t>RODETE RP Z15 Ø1040 - 54"</t>
  </si>
  <si>
    <t>RODETE MDA Z15 Ø1040 - 54"</t>
  </si>
  <si>
    <t>RODETE MDA Z15 Ø1235 - 78"</t>
  </si>
  <si>
    <t>RODETE MDA Z15 Ø1285 - 78"</t>
  </si>
  <si>
    <t>RODETE MDA Z15 Ø995 - 78"</t>
  </si>
  <si>
    <t>São José Estiva</t>
  </si>
  <si>
    <t>ROLOS</t>
  </si>
  <si>
    <t>CAMISA</t>
  </si>
  <si>
    <t>EIXOS</t>
  </si>
  <si>
    <t>Qtd</t>
  </si>
  <si>
    <t>Bitola</t>
  </si>
  <si>
    <t>Posição</t>
  </si>
  <si>
    <t>Data Final</t>
  </si>
  <si>
    <t>Fundido</t>
  </si>
  <si>
    <t>Prazo Camisa</t>
  </si>
  <si>
    <t>Status Camisa</t>
  </si>
  <si>
    <t>Prazo Eixo</t>
  </si>
  <si>
    <t>Status Eixo</t>
  </si>
  <si>
    <t>SANTA LUZIA</t>
  </si>
  <si>
    <t>ROLO INFERIOR ENTRADA DRENAGEM</t>
  </si>
  <si>
    <t>Refrisada</t>
  </si>
  <si>
    <t>121</t>
  </si>
  <si>
    <t>Soldar</t>
  </si>
  <si>
    <t>Ag. PÇ Cliente</t>
  </si>
  <si>
    <t>Laudar</t>
  </si>
  <si>
    <t>ROLO INFERIOR SAIDA</t>
  </si>
  <si>
    <t>103</t>
  </si>
  <si>
    <t>128</t>
  </si>
  <si>
    <t>127</t>
  </si>
  <si>
    <t>ROLO SUPERIOR DRENAGEM</t>
  </si>
  <si>
    <t>Em Usinagem</t>
  </si>
  <si>
    <t>ROLO INFERIOR ENTRADA</t>
  </si>
  <si>
    <t>125</t>
  </si>
  <si>
    <t>ROLO SUPERIOR</t>
  </si>
  <si>
    <t>119</t>
  </si>
  <si>
    <t>Furar</t>
  </si>
  <si>
    <t>Encam</t>
  </si>
  <si>
    <t>110</t>
  </si>
  <si>
    <t>111</t>
  </si>
  <si>
    <t>109</t>
  </si>
  <si>
    <t>115</t>
  </si>
  <si>
    <t>114</t>
  </si>
  <si>
    <t>129</t>
  </si>
  <si>
    <t>123</t>
  </si>
  <si>
    <t>BELA VISTA</t>
  </si>
  <si>
    <t>03B</t>
  </si>
  <si>
    <t>Ag. Fundido</t>
  </si>
  <si>
    <t>10B</t>
  </si>
  <si>
    <t>14B</t>
  </si>
  <si>
    <t>03C</t>
  </si>
  <si>
    <t>Aberto</t>
  </si>
  <si>
    <t>Semi concluido</t>
  </si>
  <si>
    <t>Reforma Eixo Moenda</t>
  </si>
  <si>
    <t>Descrição Eixo</t>
  </si>
  <si>
    <t>Descrição Camisa</t>
  </si>
  <si>
    <t>Camisa Moenda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</si>
</sst>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dd/mm/yy;@"/>
    <numFmt numFmtId="165" formatCode="##0"/>
    <numFmt numFmtId="166" formatCode="d/m;@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  <font>
      <sz val="10"/>
      <color theme="1"/>
      <name val="Aptos Narrow"/>
      <family val="2"/>
    </font>
    <font>
      <b/>
      <sz val="10"/>
      <name val="Aptos Narrow"/>
      <family val="2"/>
    </font>
    <font>
      <b/>
      <sz val="10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0" xfId="0" applyFont="1"/>
    <xf numFmtId="0" fontId="28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166" fontId="28" fillId="0" borderId="7" xfId="0" applyNumberFormat="1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29" fillId="0" borderId="0" xfId="0" applyFont="1"/>
    <xf numFmtId="0" fontId="16" fillId="0" borderId="6" xfId="0" applyFont="1" applyBorder="1" applyAlignment="1">
      <alignment horizontal="left" vertical="center" wrapText="1"/>
    </xf>
    <xf numFmtId="0" fontId="16" fillId="0" borderId="6" xfId="0" applyFont="1" applyBorder="1" applyAlignment="1">
      <alignment horizontal="center" vertical="center" wrapText="1"/>
    </xf>
    <xf numFmtId="166" fontId="16" fillId="0" borderId="7" xfId="0" applyNumberFormat="1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164" fontId="27" fillId="0" borderId="0" xfId="0" applyNumberFormat="1" applyFont="1" applyAlignment="1">
      <alignment horizontal="center"/>
    </xf>
    <xf numFmtId="0" fontId="16" fillId="0" borderId="8" xfId="0" applyFont="1" applyBorder="1" applyAlignment="1">
      <alignment horizontal="center" vertical="center" wrapText="1"/>
    </xf>
    <xf numFmtId="0" fontId="16" fillId="5" borderId="0" xfId="0" applyFont="1" applyFill="1" applyAlignment="1">
      <alignment horizontal="center" vertical="center" wrapText="1"/>
    </xf>
    <xf numFmtId="0" fontId="16" fillId="4" borderId="6" xfId="0" applyFont="1" applyFill="1" applyBorder="1" applyAlignment="1">
      <alignment horizontal="left" vertical="center" wrapText="1"/>
    </xf>
    <xf numFmtId="0" fontId="16" fillId="4" borderId="6" xfId="0" applyFont="1" applyFill="1" applyBorder="1" applyAlignment="1">
      <alignment horizontal="center" vertical="center" wrapText="1"/>
    </xf>
    <xf numFmtId="0" fontId="16" fillId="6" borderId="6" xfId="0" applyFont="1" applyFill="1" applyBorder="1" applyAlignment="1">
      <alignment horizontal="center" vertical="center" wrapText="1"/>
    </xf>
    <xf numFmtId="164" fontId="18" fillId="4" borderId="6" xfId="0" applyNumberFormat="1" applyFont="1" applyFill="1" applyBorder="1" applyAlignment="1">
      <alignment horizontal="center" vertical="center" wrapText="1"/>
    </xf>
    <xf numFmtId="166" fontId="27" fillId="0" borderId="0" xfId="0" applyNumberFormat="1" applyFont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6" fontId="27" fillId="0" borderId="0" xfId="0" applyNumberFormat="1" applyFont="1"/>
    <xf numFmtId="0" fontId="29" fillId="8" borderId="0" xfId="0" applyFont="1" applyFill="1" applyAlignment="1">
      <alignment horizontal="center"/>
    </xf>
    <xf numFmtId="0" fontId="29" fillId="8" borderId="0" xfId="0" applyFont="1" applyFill="1" applyAlignment="1">
      <alignment horizontal="center"/>
    </xf>
    <xf numFmtId="0" fontId="29" fillId="9" borderId="0" xfId="0" applyFont="1" applyFill="1" applyAlignment="1">
      <alignment horizontal="center"/>
    </xf>
    <xf numFmtId="0" fontId="28" fillId="0" borderId="0" xfId="0" applyFont="1"/>
    <xf numFmtId="0" fontId="27" fillId="10" borderId="0" xfId="0" applyFont="1" applyFill="1" applyAlignment="1">
      <alignment horizont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50" totalsRowShown="0" headerRowDxfId="224" dataDxfId="223">
  <autoFilter ref="A1:AD150" xr:uid="{0B979512-8F08-4F92-A755-B1320B33B48D}"/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22" totalsRowShown="0" headerRowDxfId="192" dataDxfId="191">
  <autoFilter ref="A1:W222" xr:uid="{71E71FAB-CF6D-4765-90BA-ABDE8C3299DB}"/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87" totalsRowShown="0" headerRowDxfId="167" dataDxfId="166">
  <autoFilter ref="A1:Y87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7" totalsRowShown="0" headerRowDxfId="140" dataDxfId="139">
  <autoFilter ref="A1:U97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54" totalsRowShown="0" headerRowDxfId="117" dataDxfId="116">
  <autoFilter ref="A1:R154" xr:uid="{8F2F252D-0322-4579-B9EF-622E98B5994C}">
    <filterColumn colId="0">
      <filters>
        <filter val="2362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63" totalsRowShown="0" headerRowDxfId="97" dataDxfId="96">
  <autoFilter ref="A1:AB263" xr:uid="{08F50CE1-35A6-4ABA-9594-79B9C39908E8}">
    <filterColumn colId="2">
      <filters>
        <filter val="Ipiranga Passos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67" totalsRowShown="0" headerRowDxfId="67" dataDxfId="66">
  <autoFilter ref="A1:W167" xr:uid="{08F50CE1-35A6-4ABA-9594-79B9C39908E8}">
    <filterColumn colId="2">
      <filters>
        <filter val="Sta Terezinha Iguatemi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50"/>
  <sheetViews>
    <sheetView view="pageBreakPreview" topLeftCell="A79" zoomScaleNormal="100" zoomScaleSheetLayoutView="100" workbookViewId="0">
      <selection activeCell="K145" sqref="K145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-33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2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2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-26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-26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-26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-33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-33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-33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-33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-26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-26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-26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-19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-26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-33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-33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-33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-26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-19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-12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-12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-36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-36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-36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-36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-36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-36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-12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-33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-26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-19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-26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-19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-26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2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-12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-5</v>
      </c>
      <c r="M39" s="37" t="str">
        <f t="shared" ca="1" si="1"/>
        <v>ATRASADO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-5</v>
      </c>
      <c r="M40" s="37" t="str">
        <f t="shared" ca="1" si="1"/>
        <v>ATRASADO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-5</v>
      </c>
      <c r="M41" s="37" t="str">
        <f t="shared" ca="1" si="1"/>
        <v>ATRASADO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-5</v>
      </c>
      <c r="M42" s="37" t="str">
        <f t="shared" ca="1" si="1"/>
        <v>ATRASADO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-5</v>
      </c>
      <c r="M43" s="37" t="str">
        <f t="shared" ca="1" si="1"/>
        <v>ATRASADO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-5</v>
      </c>
      <c r="M44" s="37" t="str">
        <f t="shared" ca="1" si="1"/>
        <v>ATRASADO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-12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-5</v>
      </c>
      <c r="M46" s="37" t="str">
        <f t="shared" ca="1" si="1"/>
        <v>ATRASADO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-12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-5</v>
      </c>
      <c r="M48" s="37" t="str">
        <f t="shared" ca="1" si="1"/>
        <v>ATRASADO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-12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-12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-5</v>
      </c>
      <c r="M51" s="37" t="str">
        <f t="shared" ca="1" si="1"/>
        <v>ATRASADO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-5</v>
      </c>
      <c r="M52" s="37" t="str">
        <f t="shared" ca="1" si="1"/>
        <v>ATRASADO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-5</v>
      </c>
      <c r="M53" s="37" t="str">
        <f t="shared" ca="1" si="1"/>
        <v>ATRASADO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-5</v>
      </c>
      <c r="M54" s="37" t="str">
        <f t="shared" ca="1" si="1"/>
        <v>ATRASADO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2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2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2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2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2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-12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-12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-12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-12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-12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-12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-12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2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2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9</v>
      </c>
      <c r="M69" s="37" t="str">
        <f t="shared" ca="1" si="3"/>
        <v>ATENÇÃO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9</v>
      </c>
      <c r="M70" s="37" t="str">
        <f t="shared" ca="1" si="3"/>
        <v>ATENÇÃO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9</v>
      </c>
      <c r="M71" s="37" t="str">
        <f t="shared" ca="1" si="3"/>
        <v>ATENÇÃO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9</v>
      </c>
      <c r="M72" s="37" t="str">
        <f t="shared" ca="1" si="3"/>
        <v>ATENÇÃO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9</v>
      </c>
      <c r="M73" s="37" t="str">
        <f t="shared" ca="1" si="3"/>
        <v>ATENÇÃO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9</v>
      </c>
      <c r="M74" s="37" t="str">
        <f t="shared" ca="1" si="3"/>
        <v>ATENÇÃO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13</v>
      </c>
      <c r="M75" s="37" t="str">
        <f t="shared" ca="1" si="3"/>
        <v>ATENÇÃO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13</v>
      </c>
      <c r="M76" s="37" t="str">
        <f t="shared" ca="1" si="3"/>
        <v>ATENÇÃO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13</v>
      </c>
      <c r="M77" s="37" t="str">
        <f t="shared" ca="1" si="3"/>
        <v>ATENÇÃO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-11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49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-11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20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20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49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64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64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64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64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64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64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35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35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35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35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35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110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110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110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110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110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110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110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110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110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110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110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110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110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110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110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79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79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79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79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79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140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140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140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140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140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140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  <row r="121" spans="1:30" x14ac:dyDescent="0.25">
      <c r="A121" s="13">
        <v>2368</v>
      </c>
      <c r="B121" s="13">
        <v>1</v>
      </c>
      <c r="C121" s="13">
        <v>27469</v>
      </c>
      <c r="D121" s="13">
        <v>1</v>
      </c>
      <c r="E121" s="13" t="s">
        <v>678</v>
      </c>
      <c r="F121" s="13" t="s">
        <v>679</v>
      </c>
      <c r="G121" s="13">
        <v>1</v>
      </c>
      <c r="H121" s="14">
        <v>46297</v>
      </c>
      <c r="J121" s="14">
        <v>46329</v>
      </c>
      <c r="K121" s="14"/>
      <c r="L121" s="37">
        <f ca="1">Tabela1[[#This Row],[Prazo
Entrega]]-TODAY()</f>
        <v>83</v>
      </c>
      <c r="M121" s="37" t="str">
        <f ca="1">IF(L121&lt;0,"ATRASADO",IF(L121&lt;=15,"ATENÇÃO","NO PRAZO"))</f>
        <v>NO PRAZO</v>
      </c>
      <c r="N121" s="8" t="s">
        <v>32</v>
      </c>
      <c r="O121" s="38">
        <v>46290</v>
      </c>
      <c r="P121" s="14" t="s">
        <v>58</v>
      </c>
      <c r="Q121" s="8" t="s">
        <v>388</v>
      </c>
      <c r="R121" s="8" t="s">
        <v>18</v>
      </c>
      <c r="S121" s="8" t="s">
        <v>389</v>
      </c>
      <c r="T121" s="8" t="s">
        <v>67</v>
      </c>
      <c r="U121" s="8" t="s">
        <v>495</v>
      </c>
      <c r="V121" s="8" t="s">
        <v>468</v>
      </c>
      <c r="W121" s="8" t="s">
        <v>372</v>
      </c>
      <c r="X121" s="8" t="str">
        <f>IF(I121="","AG. FUNDIDO",IF(Q121="AG","AG. USINAGEM","EM USINAGEM"))</f>
        <v>AG. FUNDIDO</v>
      </c>
      <c r="Z121" s="40"/>
      <c r="AA121" s="41"/>
      <c r="AB121" s="41"/>
      <c r="AC121" s="41"/>
      <c r="AD121" s="42"/>
    </row>
    <row r="122" spans="1:30" x14ac:dyDescent="0.25">
      <c r="A122" s="13">
        <v>2368</v>
      </c>
      <c r="B122" s="13">
        <v>2</v>
      </c>
      <c r="C122" s="13">
        <v>27469</v>
      </c>
      <c r="D122" s="13">
        <v>2</v>
      </c>
      <c r="E122" s="13" t="s">
        <v>678</v>
      </c>
      <c r="F122" s="13" t="s">
        <v>679</v>
      </c>
      <c r="G122" s="13">
        <v>1</v>
      </c>
      <c r="H122" s="14">
        <v>46297</v>
      </c>
      <c r="J122" s="14">
        <v>46329</v>
      </c>
      <c r="K122" s="14"/>
      <c r="L122" s="37">
        <f ca="1">Tabela1[[#This Row],[Prazo
Entrega]]-TODAY()</f>
        <v>83</v>
      </c>
      <c r="M122" s="37" t="str">
        <f t="shared" ref="M122:M126" ca="1" si="9">IF(L122&lt;0,"ATRASADO",IF(L122&lt;=15,"ATENÇÃO","NO PRAZO"))</f>
        <v>NO PRAZO</v>
      </c>
      <c r="N122" s="8" t="s">
        <v>32</v>
      </c>
      <c r="O122" s="38">
        <v>46290</v>
      </c>
      <c r="P122" s="14" t="s">
        <v>58</v>
      </c>
      <c r="Q122" s="8" t="s">
        <v>388</v>
      </c>
      <c r="R122" s="8" t="s">
        <v>18</v>
      </c>
      <c r="S122" s="8" t="s">
        <v>389</v>
      </c>
      <c r="T122" s="8" t="s">
        <v>67</v>
      </c>
      <c r="U122" s="8" t="s">
        <v>495</v>
      </c>
      <c r="V122" s="8" t="s">
        <v>468</v>
      </c>
      <c r="W122" s="8" t="s">
        <v>372</v>
      </c>
      <c r="X122" s="8" t="str">
        <f t="shared" ref="X122:X126" si="10">IF(I122="","AG. FUNDIDO",IF(Q122="AG","AG. USINAGEM","EM USINAGEM"))</f>
        <v>AG. FUNDIDO</v>
      </c>
      <c r="Z122" s="40"/>
      <c r="AA122" s="41"/>
      <c r="AB122" s="41"/>
      <c r="AC122" s="41"/>
      <c r="AD122" s="42"/>
    </row>
    <row r="123" spans="1:30" x14ac:dyDescent="0.25">
      <c r="A123" s="13">
        <v>2368</v>
      </c>
      <c r="B123" s="13">
        <v>3</v>
      </c>
      <c r="C123" s="13">
        <v>27469</v>
      </c>
      <c r="D123" s="13">
        <v>3</v>
      </c>
      <c r="E123" s="13" t="s">
        <v>678</v>
      </c>
      <c r="F123" s="13" t="s">
        <v>680</v>
      </c>
      <c r="G123" s="13">
        <v>1</v>
      </c>
      <c r="H123" s="14">
        <v>46297</v>
      </c>
      <c r="J123" s="14">
        <v>46329</v>
      </c>
      <c r="K123" s="14"/>
      <c r="L123" s="37">
        <f ca="1">Tabela1[[#This Row],[Prazo
Entrega]]-TODAY()</f>
        <v>83</v>
      </c>
      <c r="M123" s="37" t="str">
        <f t="shared" ca="1" si="9"/>
        <v>NO PRAZO</v>
      </c>
      <c r="N123" s="8" t="s">
        <v>32</v>
      </c>
      <c r="O123" s="38">
        <v>46290</v>
      </c>
      <c r="P123" s="14" t="s">
        <v>58</v>
      </c>
      <c r="Q123" s="8" t="s">
        <v>388</v>
      </c>
      <c r="R123" s="8" t="s">
        <v>18</v>
      </c>
      <c r="S123" s="8" t="s">
        <v>389</v>
      </c>
      <c r="T123" s="8" t="s">
        <v>67</v>
      </c>
      <c r="U123" s="8" t="s">
        <v>495</v>
      </c>
      <c r="V123" s="8" t="s">
        <v>468</v>
      </c>
      <c r="W123" s="8" t="s">
        <v>372</v>
      </c>
      <c r="X123" s="8" t="str">
        <f t="shared" si="10"/>
        <v>AG. FUNDIDO</v>
      </c>
      <c r="Z123" s="40"/>
      <c r="AA123" s="41"/>
      <c r="AB123" s="41"/>
      <c r="AC123" s="41"/>
      <c r="AD123" s="42"/>
    </row>
    <row r="124" spans="1:30" x14ac:dyDescent="0.25">
      <c r="A124" s="13">
        <v>2368</v>
      </c>
      <c r="B124" s="13">
        <v>4</v>
      </c>
      <c r="C124" s="13">
        <v>27469</v>
      </c>
      <c r="D124" s="13">
        <v>4</v>
      </c>
      <c r="E124" s="13" t="s">
        <v>678</v>
      </c>
      <c r="F124" s="13" t="s">
        <v>680</v>
      </c>
      <c r="G124" s="13">
        <v>1</v>
      </c>
      <c r="H124" s="14">
        <v>46297</v>
      </c>
      <c r="J124" s="14">
        <v>46329</v>
      </c>
      <c r="K124" s="14"/>
      <c r="L124" s="37">
        <f ca="1">Tabela1[[#This Row],[Prazo
Entrega]]-TODAY()</f>
        <v>83</v>
      </c>
      <c r="M124" s="37" t="str">
        <f t="shared" ca="1" si="9"/>
        <v>NO PRAZO</v>
      </c>
      <c r="N124" s="8" t="s">
        <v>32</v>
      </c>
      <c r="O124" s="38">
        <v>46290</v>
      </c>
      <c r="P124" s="14" t="s">
        <v>58</v>
      </c>
      <c r="Q124" s="8" t="s">
        <v>388</v>
      </c>
      <c r="R124" s="8" t="s">
        <v>18</v>
      </c>
      <c r="S124" s="8" t="s">
        <v>389</v>
      </c>
      <c r="T124" s="8" t="s">
        <v>67</v>
      </c>
      <c r="U124" s="8" t="s">
        <v>495</v>
      </c>
      <c r="V124" s="8" t="s">
        <v>468</v>
      </c>
      <c r="W124" s="8" t="s">
        <v>372</v>
      </c>
      <c r="X124" s="8" t="str">
        <f t="shared" si="10"/>
        <v>AG. FUNDIDO</v>
      </c>
      <c r="Z124" s="40"/>
      <c r="AA124" s="41"/>
      <c r="AB124" s="41"/>
      <c r="AC124" s="41"/>
      <c r="AD124" s="42"/>
    </row>
    <row r="125" spans="1:30" x14ac:dyDescent="0.25">
      <c r="A125" s="13">
        <v>2368</v>
      </c>
      <c r="B125" s="13">
        <v>5</v>
      </c>
      <c r="C125" s="13">
        <v>27469</v>
      </c>
      <c r="D125" s="13">
        <v>5</v>
      </c>
      <c r="E125" s="13" t="s">
        <v>678</v>
      </c>
      <c r="F125" s="13" t="s">
        <v>680</v>
      </c>
      <c r="G125" s="13">
        <v>1</v>
      </c>
      <c r="H125" s="14">
        <v>46297</v>
      </c>
      <c r="J125" s="14">
        <v>46329</v>
      </c>
      <c r="K125" s="14"/>
      <c r="L125" s="37">
        <f ca="1">Tabela1[[#This Row],[Prazo
Entrega]]-TODAY()</f>
        <v>83</v>
      </c>
      <c r="M125" s="37" t="str">
        <f t="shared" ca="1" si="9"/>
        <v>NO PRAZO</v>
      </c>
      <c r="N125" s="8" t="s">
        <v>32</v>
      </c>
      <c r="O125" s="38">
        <v>46290</v>
      </c>
      <c r="P125" s="14" t="s">
        <v>58</v>
      </c>
      <c r="Q125" s="8" t="s">
        <v>388</v>
      </c>
      <c r="R125" s="8" t="s">
        <v>18</v>
      </c>
      <c r="S125" s="8" t="s">
        <v>389</v>
      </c>
      <c r="T125" s="8" t="s">
        <v>67</v>
      </c>
      <c r="U125" s="8" t="s">
        <v>495</v>
      </c>
      <c r="V125" s="8" t="s">
        <v>468</v>
      </c>
      <c r="W125" s="8" t="s">
        <v>372</v>
      </c>
      <c r="X125" s="8" t="str">
        <f t="shared" si="10"/>
        <v>AG. FUNDIDO</v>
      </c>
      <c r="Z125" s="40"/>
      <c r="AA125" s="41"/>
      <c r="AB125" s="41"/>
      <c r="AC125" s="41"/>
      <c r="AD125" s="42"/>
    </row>
    <row r="126" spans="1:30" x14ac:dyDescent="0.25">
      <c r="A126" s="13">
        <v>2368</v>
      </c>
      <c r="B126" s="13">
        <v>6</v>
      </c>
      <c r="C126" s="13">
        <v>27469</v>
      </c>
      <c r="D126" s="13">
        <v>6</v>
      </c>
      <c r="E126" s="13" t="s">
        <v>678</v>
      </c>
      <c r="F126" s="13" t="s">
        <v>680</v>
      </c>
      <c r="G126" s="13">
        <v>1</v>
      </c>
      <c r="H126" s="14">
        <v>46297</v>
      </c>
      <c r="J126" s="14">
        <v>46329</v>
      </c>
      <c r="K126" s="14"/>
      <c r="L126" s="37">
        <f ca="1">Tabela1[[#This Row],[Prazo
Entrega]]-TODAY()</f>
        <v>83</v>
      </c>
      <c r="M126" s="37" t="str">
        <f t="shared" ca="1" si="9"/>
        <v>NO PRAZO</v>
      </c>
      <c r="N126" s="8" t="s">
        <v>32</v>
      </c>
      <c r="O126" s="38">
        <v>46290</v>
      </c>
      <c r="P126" s="14" t="s">
        <v>58</v>
      </c>
      <c r="Q126" s="8" t="s">
        <v>388</v>
      </c>
      <c r="R126" s="8" t="s">
        <v>18</v>
      </c>
      <c r="S126" s="8" t="s">
        <v>389</v>
      </c>
      <c r="T126" s="8" t="s">
        <v>67</v>
      </c>
      <c r="U126" s="8" t="s">
        <v>495</v>
      </c>
      <c r="V126" s="8" t="s">
        <v>468</v>
      </c>
      <c r="W126" s="8" t="s">
        <v>372</v>
      </c>
      <c r="X126" s="8" t="str">
        <f t="shared" si="10"/>
        <v>AG. FUNDIDO</v>
      </c>
      <c r="Z126" s="40"/>
      <c r="AA126" s="41"/>
      <c r="AB126" s="41"/>
      <c r="AC126" s="41"/>
      <c r="AD126" s="42"/>
    </row>
    <row r="127" spans="1:30" x14ac:dyDescent="0.25">
      <c r="A127" s="13">
        <v>2394</v>
      </c>
      <c r="B127" s="13">
        <v>1</v>
      </c>
      <c r="C127" s="13">
        <v>212088</v>
      </c>
      <c r="D127" s="13">
        <v>1</v>
      </c>
      <c r="E127" s="13" t="s">
        <v>33</v>
      </c>
      <c r="F127" s="13" t="s">
        <v>706</v>
      </c>
      <c r="G127" s="13">
        <v>1</v>
      </c>
      <c r="H127" s="14">
        <v>46287</v>
      </c>
      <c r="J127" s="14">
        <v>46287</v>
      </c>
      <c r="K127" s="14"/>
      <c r="L127" s="37">
        <f ca="1">Tabela1[[#This Row],[Prazo
Entrega]]-TODAY()</f>
        <v>41</v>
      </c>
      <c r="M127" s="37" t="str">
        <f ca="1">IF(L127&lt;0,"ATRASADO",IF(L127&lt;=15,"ATENÇÃO","NO PRAZO"))</f>
        <v>NO PRAZO</v>
      </c>
      <c r="N127" s="8" t="s">
        <v>34</v>
      </c>
      <c r="O127" s="38" t="s">
        <v>63</v>
      </c>
      <c r="P127" s="38" t="s">
        <v>63</v>
      </c>
      <c r="Q127" s="38" t="s">
        <v>63</v>
      </c>
      <c r="R127" s="38" t="s">
        <v>63</v>
      </c>
      <c r="S127" s="38" t="s">
        <v>63</v>
      </c>
      <c r="T127" s="38" t="s">
        <v>63</v>
      </c>
      <c r="U127" s="38" t="s">
        <v>63</v>
      </c>
      <c r="V127" s="38" t="s">
        <v>63</v>
      </c>
      <c r="W127" s="38" t="s">
        <v>63</v>
      </c>
      <c r="X127" s="8" t="str">
        <f>IF(I127="","AG. FUNDIDO",IF(Q127="AG","AG. USINAGEM","EM USINAGEM"))</f>
        <v>AG. FUNDIDO</v>
      </c>
      <c r="Z127" s="40"/>
      <c r="AA127" s="41"/>
      <c r="AB127" s="41"/>
      <c r="AC127" s="41"/>
      <c r="AD127" s="42"/>
    </row>
    <row r="128" spans="1:30" x14ac:dyDescent="0.25">
      <c r="A128" s="13">
        <v>2394</v>
      </c>
      <c r="B128" s="13">
        <v>2</v>
      </c>
      <c r="C128" s="13">
        <v>212089</v>
      </c>
      <c r="D128" s="13">
        <v>2</v>
      </c>
      <c r="E128" s="13" t="s">
        <v>33</v>
      </c>
      <c r="F128" s="13" t="s">
        <v>706</v>
      </c>
      <c r="G128" s="13">
        <v>1</v>
      </c>
      <c r="H128" s="14">
        <v>46287</v>
      </c>
      <c r="J128" s="14">
        <v>46287</v>
      </c>
      <c r="K128" s="14"/>
      <c r="L128" s="37">
        <f ca="1">Tabela1[[#This Row],[Prazo
Entrega]]-TODAY()</f>
        <v>41</v>
      </c>
      <c r="M128" s="37" t="str">
        <f t="shared" ref="M128:M132" ca="1" si="11">IF(L128&lt;0,"ATRASADO",IF(L128&lt;=15,"ATENÇÃO","NO PRAZO"))</f>
        <v>NO PRAZO</v>
      </c>
      <c r="N128" s="8" t="s">
        <v>34</v>
      </c>
      <c r="O128" s="38" t="s">
        <v>63</v>
      </c>
      <c r="P128" s="38" t="s">
        <v>63</v>
      </c>
      <c r="Q128" s="38" t="s">
        <v>63</v>
      </c>
      <c r="R128" s="38" t="s">
        <v>63</v>
      </c>
      <c r="S128" s="38" t="s">
        <v>63</v>
      </c>
      <c r="T128" s="38" t="s">
        <v>63</v>
      </c>
      <c r="U128" s="38" t="s">
        <v>63</v>
      </c>
      <c r="V128" s="38" t="s">
        <v>63</v>
      </c>
      <c r="W128" s="38" t="s">
        <v>63</v>
      </c>
      <c r="X128" s="8" t="str">
        <f t="shared" ref="X128:X132" si="12">IF(I128="","AG. FUNDIDO",IF(Q128="AG","AG. USINAGEM","EM USINAGEM"))</f>
        <v>AG. FUNDIDO</v>
      </c>
      <c r="Z128" s="40"/>
      <c r="AA128" s="41"/>
      <c r="AB128" s="41"/>
      <c r="AC128" s="41"/>
      <c r="AD128" s="42"/>
    </row>
    <row r="129" spans="1:30" x14ac:dyDescent="0.25">
      <c r="A129" s="13">
        <v>2394</v>
      </c>
      <c r="B129" s="13">
        <v>3</v>
      </c>
      <c r="C129" s="13">
        <v>212090</v>
      </c>
      <c r="D129" s="13">
        <v>3</v>
      </c>
      <c r="E129" s="13" t="s">
        <v>33</v>
      </c>
      <c r="F129" s="13" t="s">
        <v>706</v>
      </c>
      <c r="G129" s="13">
        <v>1</v>
      </c>
      <c r="H129" s="14">
        <v>46287</v>
      </c>
      <c r="J129" s="14">
        <v>46287</v>
      </c>
      <c r="K129" s="14"/>
      <c r="L129" s="37">
        <f ca="1">Tabela1[[#This Row],[Prazo
Entrega]]-TODAY()</f>
        <v>41</v>
      </c>
      <c r="M129" s="37" t="str">
        <f t="shared" ca="1" si="11"/>
        <v>NO PRAZO</v>
      </c>
      <c r="N129" s="8" t="s">
        <v>34</v>
      </c>
      <c r="O129" s="38" t="s">
        <v>63</v>
      </c>
      <c r="P129" s="38" t="s">
        <v>63</v>
      </c>
      <c r="Q129" s="38" t="s">
        <v>63</v>
      </c>
      <c r="R129" s="38" t="s">
        <v>63</v>
      </c>
      <c r="S129" s="38" t="s">
        <v>63</v>
      </c>
      <c r="T129" s="38" t="s">
        <v>63</v>
      </c>
      <c r="U129" s="38" t="s">
        <v>63</v>
      </c>
      <c r="V129" s="38" t="s">
        <v>63</v>
      </c>
      <c r="W129" s="38" t="s">
        <v>63</v>
      </c>
      <c r="X129" s="8" t="str">
        <f t="shared" si="12"/>
        <v>AG. FUNDIDO</v>
      </c>
      <c r="Z129" s="40"/>
      <c r="AA129" s="41"/>
      <c r="AB129" s="41"/>
      <c r="AC129" s="41"/>
      <c r="AD129" s="42"/>
    </row>
    <row r="130" spans="1:30" x14ac:dyDescent="0.25">
      <c r="A130" s="13">
        <v>2394</v>
      </c>
      <c r="B130" s="13">
        <v>4</v>
      </c>
      <c r="C130" s="13">
        <v>212091</v>
      </c>
      <c r="D130" s="13">
        <v>4</v>
      </c>
      <c r="E130" s="13" t="s">
        <v>33</v>
      </c>
      <c r="F130" s="13" t="s">
        <v>706</v>
      </c>
      <c r="G130" s="13">
        <v>1</v>
      </c>
      <c r="H130" s="14">
        <v>46287</v>
      </c>
      <c r="J130" s="14">
        <v>46287</v>
      </c>
      <c r="K130" s="14"/>
      <c r="L130" s="37">
        <f ca="1">Tabela1[[#This Row],[Prazo
Entrega]]-TODAY()</f>
        <v>41</v>
      </c>
      <c r="M130" s="37" t="str">
        <f t="shared" ca="1" si="11"/>
        <v>NO PRAZO</v>
      </c>
      <c r="N130" s="8" t="s">
        <v>34</v>
      </c>
      <c r="O130" s="38" t="s">
        <v>63</v>
      </c>
      <c r="P130" s="38" t="s">
        <v>63</v>
      </c>
      <c r="Q130" s="38" t="s">
        <v>63</v>
      </c>
      <c r="R130" s="38" t="s">
        <v>63</v>
      </c>
      <c r="S130" s="38" t="s">
        <v>63</v>
      </c>
      <c r="T130" s="38" t="s">
        <v>63</v>
      </c>
      <c r="U130" s="38" t="s">
        <v>63</v>
      </c>
      <c r="V130" s="38" t="s">
        <v>63</v>
      </c>
      <c r="W130" s="38" t="s">
        <v>63</v>
      </c>
      <c r="X130" s="8" t="str">
        <f t="shared" si="12"/>
        <v>AG. FUNDIDO</v>
      </c>
      <c r="Z130" s="40"/>
      <c r="AA130" s="41"/>
      <c r="AB130" s="41"/>
      <c r="AC130" s="41"/>
      <c r="AD130" s="42"/>
    </row>
    <row r="131" spans="1:30" x14ac:dyDescent="0.25">
      <c r="A131" s="13">
        <v>2394</v>
      </c>
      <c r="B131" s="13">
        <v>5</v>
      </c>
      <c r="C131" s="13">
        <v>212092</v>
      </c>
      <c r="D131" s="13">
        <v>5</v>
      </c>
      <c r="E131" s="13" t="s">
        <v>33</v>
      </c>
      <c r="F131" s="13" t="s">
        <v>706</v>
      </c>
      <c r="G131" s="13">
        <v>1</v>
      </c>
      <c r="H131" s="14">
        <v>46287</v>
      </c>
      <c r="J131" s="14">
        <v>46287</v>
      </c>
      <c r="K131" s="14"/>
      <c r="L131" s="37">
        <f ca="1">Tabela1[[#This Row],[Prazo
Entrega]]-TODAY()</f>
        <v>41</v>
      </c>
      <c r="M131" s="37" t="str">
        <f t="shared" ca="1" si="11"/>
        <v>NO PRAZO</v>
      </c>
      <c r="N131" s="8" t="s">
        <v>34</v>
      </c>
      <c r="O131" s="38" t="s">
        <v>63</v>
      </c>
      <c r="P131" s="38" t="s">
        <v>63</v>
      </c>
      <c r="Q131" s="38" t="s">
        <v>63</v>
      </c>
      <c r="R131" s="38" t="s">
        <v>63</v>
      </c>
      <c r="S131" s="38" t="s">
        <v>63</v>
      </c>
      <c r="T131" s="38" t="s">
        <v>63</v>
      </c>
      <c r="U131" s="38" t="s">
        <v>63</v>
      </c>
      <c r="V131" s="38" t="s">
        <v>63</v>
      </c>
      <c r="W131" s="38" t="s">
        <v>63</v>
      </c>
      <c r="X131" s="8" t="str">
        <f t="shared" si="12"/>
        <v>AG. FUNDIDO</v>
      </c>
      <c r="Z131" s="40"/>
      <c r="AA131" s="41"/>
      <c r="AB131" s="41"/>
      <c r="AC131" s="41"/>
      <c r="AD131" s="42"/>
    </row>
    <row r="132" spans="1:30" x14ac:dyDescent="0.25">
      <c r="A132" s="13">
        <v>2394</v>
      </c>
      <c r="B132" s="13">
        <v>6</v>
      </c>
      <c r="C132" s="13">
        <v>212093</v>
      </c>
      <c r="D132" s="13">
        <v>6</v>
      </c>
      <c r="E132" s="13" t="s">
        <v>33</v>
      </c>
      <c r="F132" s="13" t="s">
        <v>706</v>
      </c>
      <c r="G132" s="13">
        <v>1</v>
      </c>
      <c r="H132" s="14">
        <v>46287</v>
      </c>
      <c r="J132" s="14">
        <v>46287</v>
      </c>
      <c r="K132" s="14"/>
      <c r="L132" s="37">
        <f ca="1">Tabela1[[#This Row],[Prazo
Entrega]]-TODAY()</f>
        <v>41</v>
      </c>
      <c r="M132" s="37" t="str">
        <f t="shared" ca="1" si="11"/>
        <v>NO PRAZO</v>
      </c>
      <c r="N132" s="8" t="s">
        <v>34</v>
      </c>
      <c r="O132" s="38" t="s">
        <v>63</v>
      </c>
      <c r="P132" s="38" t="s">
        <v>63</v>
      </c>
      <c r="Q132" s="38" t="s">
        <v>63</v>
      </c>
      <c r="R132" s="38" t="s">
        <v>63</v>
      </c>
      <c r="S132" s="38" t="s">
        <v>63</v>
      </c>
      <c r="T132" s="38" t="s">
        <v>63</v>
      </c>
      <c r="U132" s="38" t="s">
        <v>63</v>
      </c>
      <c r="V132" s="38" t="s">
        <v>63</v>
      </c>
      <c r="W132" s="38" t="s">
        <v>63</v>
      </c>
      <c r="X132" s="8" t="str">
        <f t="shared" si="12"/>
        <v>AG. FUNDIDO</v>
      </c>
      <c r="Z132" s="40"/>
      <c r="AA132" s="41"/>
      <c r="AB132" s="41"/>
      <c r="AC132" s="41"/>
      <c r="AD132" s="42"/>
    </row>
    <row r="133" spans="1:30" x14ac:dyDescent="0.25">
      <c r="A133" s="12">
        <v>2375</v>
      </c>
      <c r="B133" s="12">
        <v>2</v>
      </c>
      <c r="C133" s="12">
        <v>143126</v>
      </c>
      <c r="D133" s="12">
        <v>0</v>
      </c>
      <c r="E133" s="12" t="s">
        <v>713</v>
      </c>
      <c r="F133" s="13" t="s">
        <v>9</v>
      </c>
      <c r="G133" s="13">
        <v>1</v>
      </c>
      <c r="H133" s="14">
        <v>46325</v>
      </c>
      <c r="J133" s="14">
        <v>46371</v>
      </c>
      <c r="K133" s="14"/>
      <c r="L133" s="37">
        <f ca="1">Tabela1[[#This Row],[Prazo
Entrega]]-TODAY()</f>
        <v>125</v>
      </c>
      <c r="M133" s="37" t="str">
        <f t="shared" ref="M133:M138" ca="1" si="13">IF(L133&lt;0,"ATRASADO",IF(L133&lt;=15,"ATENÇÃO","NO PRAZO"))</f>
        <v>NO PRAZO</v>
      </c>
      <c r="N133" s="8" t="s">
        <v>32</v>
      </c>
      <c r="O133" s="38">
        <v>46290</v>
      </c>
      <c r="P133" s="14" t="s">
        <v>58</v>
      </c>
      <c r="Q133" s="8" t="s">
        <v>388</v>
      </c>
      <c r="R133" s="8" t="s">
        <v>18</v>
      </c>
      <c r="S133" s="8" t="s">
        <v>67</v>
      </c>
      <c r="T133" s="8" t="s">
        <v>495</v>
      </c>
      <c r="U133" s="8" t="s">
        <v>468</v>
      </c>
      <c r="V133" s="8" t="s">
        <v>372</v>
      </c>
      <c r="W133" s="8" t="s">
        <v>63</v>
      </c>
      <c r="X133" s="8" t="str">
        <f t="shared" ref="X133:X138" si="14">IF(I133="","AG. FUNDIDO",IF(Q133="AG","AG. USINAGEM","EM USINAGEM"))</f>
        <v>AG. FUNDIDO</v>
      </c>
      <c r="Z133" s="40"/>
      <c r="AA133" s="41"/>
      <c r="AB133" s="41"/>
      <c r="AC133" s="41"/>
      <c r="AD133" s="42"/>
    </row>
    <row r="134" spans="1:30" x14ac:dyDescent="0.25">
      <c r="A134" s="12">
        <v>2375</v>
      </c>
      <c r="B134" s="12">
        <v>3</v>
      </c>
      <c r="C134" s="12">
        <v>143127</v>
      </c>
      <c r="D134" s="12">
        <v>0</v>
      </c>
      <c r="E134" s="12" t="s">
        <v>713</v>
      </c>
      <c r="F134" s="13" t="s">
        <v>9</v>
      </c>
      <c r="G134" s="13">
        <v>1</v>
      </c>
      <c r="H134" s="14">
        <v>46325</v>
      </c>
      <c r="J134" s="14">
        <v>46371</v>
      </c>
      <c r="K134" s="14"/>
      <c r="L134" s="37">
        <f ca="1">Tabela1[[#This Row],[Prazo
Entrega]]-TODAY()</f>
        <v>125</v>
      </c>
      <c r="M134" s="37" t="str">
        <f t="shared" ca="1" si="13"/>
        <v>NO PRAZO</v>
      </c>
      <c r="N134" s="8" t="s">
        <v>32</v>
      </c>
      <c r="O134" s="38">
        <v>46290</v>
      </c>
      <c r="P134" s="14" t="s">
        <v>58</v>
      </c>
      <c r="Q134" s="8" t="s">
        <v>388</v>
      </c>
      <c r="R134" s="8" t="s">
        <v>18</v>
      </c>
      <c r="S134" s="8" t="s">
        <v>67</v>
      </c>
      <c r="T134" s="8" t="s">
        <v>495</v>
      </c>
      <c r="U134" s="8" t="s">
        <v>468</v>
      </c>
      <c r="V134" s="8" t="s">
        <v>372</v>
      </c>
      <c r="W134" s="8" t="s">
        <v>63</v>
      </c>
      <c r="X134" s="8" t="str">
        <f t="shared" si="14"/>
        <v>AG. FUNDIDO</v>
      </c>
      <c r="Z134" s="40"/>
      <c r="AA134" s="41"/>
      <c r="AB134" s="41"/>
      <c r="AC134" s="41"/>
      <c r="AD134" s="42"/>
    </row>
    <row r="135" spans="1:30" x14ac:dyDescent="0.25">
      <c r="A135" s="12">
        <v>2375</v>
      </c>
      <c r="B135" s="12">
        <v>12</v>
      </c>
      <c r="C135" s="12">
        <v>143128</v>
      </c>
      <c r="D135" s="12">
        <v>0</v>
      </c>
      <c r="E135" s="12" t="s">
        <v>713</v>
      </c>
      <c r="F135" s="13" t="s">
        <v>11</v>
      </c>
      <c r="G135" s="13">
        <v>1</v>
      </c>
      <c r="H135" s="14">
        <v>46325</v>
      </c>
      <c r="J135" s="14">
        <v>46371</v>
      </c>
      <c r="K135" s="14"/>
      <c r="L135" s="37">
        <f ca="1">Tabela1[[#This Row],[Prazo
Entrega]]-TODAY()</f>
        <v>125</v>
      </c>
      <c r="M135" s="37" t="str">
        <f t="shared" ca="1" si="13"/>
        <v>NO PRAZO</v>
      </c>
      <c r="N135" s="8" t="s">
        <v>32</v>
      </c>
      <c r="O135" s="38">
        <v>46290</v>
      </c>
      <c r="P135" s="14" t="s">
        <v>58</v>
      </c>
      <c r="Q135" s="8" t="s">
        <v>388</v>
      </c>
      <c r="R135" s="8" t="s">
        <v>18</v>
      </c>
      <c r="S135" s="8" t="s">
        <v>67</v>
      </c>
      <c r="T135" s="8" t="s">
        <v>495</v>
      </c>
      <c r="U135" s="8" t="s">
        <v>468</v>
      </c>
      <c r="V135" s="8" t="s">
        <v>372</v>
      </c>
      <c r="W135" s="8" t="s">
        <v>63</v>
      </c>
      <c r="X135" s="8" t="str">
        <f t="shared" si="14"/>
        <v>AG. FUNDIDO</v>
      </c>
      <c r="Z135" s="40"/>
      <c r="AA135" s="41"/>
      <c r="AB135" s="41"/>
      <c r="AC135" s="41"/>
      <c r="AD135" s="42"/>
    </row>
    <row r="136" spans="1:30" x14ac:dyDescent="0.25">
      <c r="A136" s="12">
        <v>2375</v>
      </c>
      <c r="B136" s="12">
        <v>13</v>
      </c>
      <c r="C136" s="12">
        <v>143129</v>
      </c>
      <c r="D136" s="12">
        <v>0</v>
      </c>
      <c r="E136" s="12" t="s">
        <v>713</v>
      </c>
      <c r="F136" s="13" t="s">
        <v>11</v>
      </c>
      <c r="G136" s="13">
        <v>1</v>
      </c>
      <c r="H136" s="14">
        <v>46325</v>
      </c>
      <c r="J136" s="14">
        <v>46371</v>
      </c>
      <c r="K136" s="14"/>
      <c r="L136" s="37">
        <f ca="1">Tabela1[[#This Row],[Prazo
Entrega]]-TODAY()</f>
        <v>125</v>
      </c>
      <c r="M136" s="37" t="str">
        <f t="shared" ca="1" si="13"/>
        <v>NO PRAZO</v>
      </c>
      <c r="N136" s="8" t="s">
        <v>32</v>
      </c>
      <c r="O136" s="38">
        <v>46290</v>
      </c>
      <c r="P136" s="14" t="s">
        <v>58</v>
      </c>
      <c r="Q136" s="8" t="s">
        <v>388</v>
      </c>
      <c r="R136" s="8" t="s">
        <v>18</v>
      </c>
      <c r="S136" s="8" t="s">
        <v>67</v>
      </c>
      <c r="T136" s="8" t="s">
        <v>495</v>
      </c>
      <c r="U136" s="8" t="s">
        <v>468</v>
      </c>
      <c r="V136" s="8" t="s">
        <v>372</v>
      </c>
      <c r="W136" s="8" t="s">
        <v>63</v>
      </c>
      <c r="X136" s="8" t="str">
        <f t="shared" si="14"/>
        <v>AG. FUNDIDO</v>
      </c>
      <c r="Z136" s="40"/>
      <c r="AA136" s="41"/>
      <c r="AB136" s="41"/>
      <c r="AC136" s="41"/>
      <c r="AD136" s="42"/>
    </row>
    <row r="137" spans="1:30" x14ac:dyDescent="0.25">
      <c r="A137" s="12">
        <v>2375</v>
      </c>
      <c r="B137" s="12">
        <v>14</v>
      </c>
      <c r="C137" s="12">
        <v>143130</v>
      </c>
      <c r="D137" s="12">
        <v>0</v>
      </c>
      <c r="E137" s="12" t="s">
        <v>713</v>
      </c>
      <c r="F137" s="13" t="s">
        <v>11</v>
      </c>
      <c r="G137" s="13">
        <v>1</v>
      </c>
      <c r="H137" s="14">
        <v>46325</v>
      </c>
      <c r="J137" s="14">
        <v>46371</v>
      </c>
      <c r="K137" s="14"/>
      <c r="L137" s="37">
        <f ca="1">Tabela1[[#This Row],[Prazo
Entrega]]-TODAY()</f>
        <v>125</v>
      </c>
      <c r="M137" s="37" t="str">
        <f t="shared" ca="1" si="13"/>
        <v>NO PRAZO</v>
      </c>
      <c r="N137" s="8" t="s">
        <v>32</v>
      </c>
      <c r="O137" s="38">
        <v>46290</v>
      </c>
      <c r="P137" s="14" t="s">
        <v>58</v>
      </c>
      <c r="Q137" s="8" t="s">
        <v>388</v>
      </c>
      <c r="R137" s="8" t="s">
        <v>18</v>
      </c>
      <c r="S137" s="8" t="s">
        <v>67</v>
      </c>
      <c r="T137" s="8" t="s">
        <v>495</v>
      </c>
      <c r="U137" s="8" t="s">
        <v>468</v>
      </c>
      <c r="V137" s="8" t="s">
        <v>372</v>
      </c>
      <c r="W137" s="8" t="s">
        <v>63</v>
      </c>
      <c r="X137" s="8" t="str">
        <f t="shared" si="14"/>
        <v>AG. FUNDIDO</v>
      </c>
      <c r="Z137" s="40"/>
      <c r="AA137" s="41"/>
      <c r="AB137" s="41"/>
      <c r="AC137" s="41"/>
      <c r="AD137" s="42"/>
    </row>
    <row r="138" spans="1:30" x14ac:dyDescent="0.25">
      <c r="A138" s="12">
        <v>2375</v>
      </c>
      <c r="B138" s="12">
        <v>15</v>
      </c>
      <c r="C138" s="12">
        <v>143131</v>
      </c>
      <c r="D138" s="12">
        <v>0</v>
      </c>
      <c r="E138" s="12" t="s">
        <v>713</v>
      </c>
      <c r="F138" s="13" t="s">
        <v>11</v>
      </c>
      <c r="G138" s="13">
        <v>1</v>
      </c>
      <c r="H138" s="14">
        <v>46325</v>
      </c>
      <c r="J138" s="14">
        <v>46371</v>
      </c>
      <c r="K138" s="14"/>
      <c r="L138" s="37">
        <f ca="1">Tabela1[[#This Row],[Prazo
Entrega]]-TODAY()</f>
        <v>125</v>
      </c>
      <c r="M138" s="37" t="str">
        <f t="shared" ca="1" si="13"/>
        <v>NO PRAZO</v>
      </c>
      <c r="N138" s="8" t="s">
        <v>32</v>
      </c>
      <c r="O138" s="38">
        <v>46290</v>
      </c>
      <c r="P138" s="14" t="s">
        <v>58</v>
      </c>
      <c r="Q138" s="8" t="s">
        <v>388</v>
      </c>
      <c r="R138" s="8" t="s">
        <v>18</v>
      </c>
      <c r="S138" s="8" t="s">
        <v>67</v>
      </c>
      <c r="T138" s="8" t="s">
        <v>495</v>
      </c>
      <c r="U138" s="8" t="s">
        <v>468</v>
      </c>
      <c r="V138" s="8" t="s">
        <v>372</v>
      </c>
      <c r="W138" s="8" t="s">
        <v>63</v>
      </c>
      <c r="X138" s="8" t="str">
        <f t="shared" si="14"/>
        <v>AG. FUNDIDO</v>
      </c>
      <c r="Z138" s="40"/>
      <c r="AA138" s="41"/>
      <c r="AB138" s="41"/>
      <c r="AC138" s="41"/>
      <c r="AD138" s="42"/>
    </row>
    <row r="139" spans="1:30" x14ac:dyDescent="0.25">
      <c r="A139" s="12">
        <v>2393</v>
      </c>
      <c r="B139" s="12">
        <v>4</v>
      </c>
      <c r="C139" s="12">
        <v>157170</v>
      </c>
      <c r="D139" s="12">
        <v>0</v>
      </c>
      <c r="E139" s="13" t="s">
        <v>598</v>
      </c>
      <c r="F139" s="12" t="s">
        <v>11</v>
      </c>
      <c r="G139" s="13">
        <v>1</v>
      </c>
      <c r="H139" s="14">
        <v>46325</v>
      </c>
      <c r="J139" s="14">
        <v>46371</v>
      </c>
      <c r="K139" s="14"/>
      <c r="L139" s="37">
        <f ca="1">Tabela1[[#This Row],[Prazo
Entrega]]-TODAY()</f>
        <v>125</v>
      </c>
      <c r="M139" s="37" t="str">
        <f t="shared" ref="M139:M144" ca="1" si="15">IF(L139&lt;0,"ATRASADO",IF(L139&lt;=15,"ATENÇÃO","NO PRAZO"))</f>
        <v>NO PRAZO</v>
      </c>
      <c r="N139" s="8" t="s">
        <v>32</v>
      </c>
      <c r="O139" s="38">
        <v>46290</v>
      </c>
      <c r="P139" s="14" t="s">
        <v>58</v>
      </c>
      <c r="Q139" s="8" t="s">
        <v>388</v>
      </c>
      <c r="R139" s="8" t="s">
        <v>18</v>
      </c>
      <c r="S139" s="8" t="s">
        <v>67</v>
      </c>
      <c r="T139" s="8" t="s">
        <v>495</v>
      </c>
      <c r="U139" s="8" t="s">
        <v>468</v>
      </c>
      <c r="V139" s="8" t="s">
        <v>372</v>
      </c>
      <c r="W139" s="8" t="s">
        <v>63</v>
      </c>
      <c r="X139" s="8" t="str">
        <f t="shared" ref="X139:X144" si="16">IF(I139="","AG. FUNDIDO",IF(Q139="AG","AG. USINAGEM","EM USINAGEM"))</f>
        <v>AG. FUNDIDO</v>
      </c>
      <c r="Z139" s="40"/>
      <c r="AA139" s="41"/>
      <c r="AB139" s="41"/>
      <c r="AC139" s="41"/>
      <c r="AD139" s="42"/>
    </row>
    <row r="140" spans="1:30" x14ac:dyDescent="0.25">
      <c r="A140" s="12">
        <v>2393</v>
      </c>
      <c r="B140" s="12">
        <v>5</v>
      </c>
      <c r="C140" s="12">
        <v>157171</v>
      </c>
      <c r="D140" s="12">
        <v>0</v>
      </c>
      <c r="E140" s="13" t="s">
        <v>598</v>
      </c>
      <c r="F140" s="12" t="s">
        <v>11</v>
      </c>
      <c r="G140" s="13">
        <v>1</v>
      </c>
      <c r="H140" s="14">
        <v>46325</v>
      </c>
      <c r="J140" s="14">
        <v>46371</v>
      </c>
      <c r="K140" s="14"/>
      <c r="L140" s="37">
        <f ca="1">Tabela1[[#This Row],[Prazo
Entrega]]-TODAY()</f>
        <v>125</v>
      </c>
      <c r="M140" s="37" t="str">
        <f t="shared" ca="1" si="15"/>
        <v>NO PRAZO</v>
      </c>
      <c r="N140" s="8" t="s">
        <v>32</v>
      </c>
      <c r="O140" s="38">
        <v>46290</v>
      </c>
      <c r="P140" s="14" t="s">
        <v>58</v>
      </c>
      <c r="Q140" s="8" t="s">
        <v>388</v>
      </c>
      <c r="R140" s="8" t="s">
        <v>18</v>
      </c>
      <c r="S140" s="8" t="s">
        <v>67</v>
      </c>
      <c r="T140" s="8" t="s">
        <v>495</v>
      </c>
      <c r="U140" s="8" t="s">
        <v>468</v>
      </c>
      <c r="V140" s="8" t="s">
        <v>372</v>
      </c>
      <c r="W140" s="8" t="s">
        <v>63</v>
      </c>
      <c r="X140" s="8" t="str">
        <f t="shared" si="16"/>
        <v>AG. FUNDIDO</v>
      </c>
      <c r="Z140" s="40"/>
      <c r="AA140" s="41"/>
      <c r="AB140" s="41"/>
      <c r="AC140" s="41"/>
      <c r="AD140" s="42"/>
    </row>
    <row r="141" spans="1:30" x14ac:dyDescent="0.25">
      <c r="A141" s="12">
        <v>2393</v>
      </c>
      <c r="B141" s="12">
        <v>16</v>
      </c>
      <c r="C141" s="12">
        <v>157172</v>
      </c>
      <c r="D141" s="12">
        <v>0</v>
      </c>
      <c r="E141" s="13" t="s">
        <v>598</v>
      </c>
      <c r="F141" s="12" t="s">
        <v>8</v>
      </c>
      <c r="G141" s="13">
        <v>1</v>
      </c>
      <c r="H141" s="14">
        <v>46325</v>
      </c>
      <c r="J141" s="14">
        <v>46371</v>
      </c>
      <c r="K141" s="14"/>
      <c r="L141" s="37">
        <f ca="1">Tabela1[[#This Row],[Prazo
Entrega]]-TODAY()</f>
        <v>125</v>
      </c>
      <c r="M141" s="37" t="str">
        <f t="shared" ca="1" si="15"/>
        <v>NO PRAZO</v>
      </c>
      <c r="N141" s="8" t="s">
        <v>32</v>
      </c>
      <c r="O141" s="38">
        <v>46290</v>
      </c>
      <c r="P141" s="14" t="s">
        <v>58</v>
      </c>
      <c r="Q141" s="8" t="s">
        <v>388</v>
      </c>
      <c r="R141" s="8" t="s">
        <v>18</v>
      </c>
      <c r="S141" s="8" t="s">
        <v>67</v>
      </c>
      <c r="T141" s="8" t="s">
        <v>495</v>
      </c>
      <c r="U141" s="8" t="s">
        <v>468</v>
      </c>
      <c r="V141" s="8" t="s">
        <v>372</v>
      </c>
      <c r="W141" s="8" t="s">
        <v>63</v>
      </c>
      <c r="X141" s="8" t="str">
        <f t="shared" si="16"/>
        <v>AG. FUNDIDO</v>
      </c>
      <c r="Z141" s="40"/>
      <c r="AA141" s="41"/>
      <c r="AB141" s="41"/>
      <c r="AC141" s="41"/>
      <c r="AD141" s="42"/>
    </row>
    <row r="142" spans="1:30" x14ac:dyDescent="0.25">
      <c r="A142" s="12">
        <v>2393</v>
      </c>
      <c r="B142" s="12">
        <v>17</v>
      </c>
      <c r="C142" s="12">
        <v>157173</v>
      </c>
      <c r="D142" s="12">
        <v>0</v>
      </c>
      <c r="E142" s="13" t="s">
        <v>598</v>
      </c>
      <c r="F142" s="12" t="s">
        <v>8</v>
      </c>
      <c r="G142" s="13">
        <v>1</v>
      </c>
      <c r="H142" s="14">
        <v>46325</v>
      </c>
      <c r="J142" s="14">
        <v>46371</v>
      </c>
      <c r="K142" s="14"/>
      <c r="L142" s="37">
        <f ca="1">Tabela1[[#This Row],[Prazo
Entrega]]-TODAY()</f>
        <v>125</v>
      </c>
      <c r="M142" s="37" t="str">
        <f t="shared" ca="1" si="15"/>
        <v>NO PRAZO</v>
      </c>
      <c r="N142" s="8" t="s">
        <v>32</v>
      </c>
      <c r="O142" s="38">
        <v>46290</v>
      </c>
      <c r="P142" s="14" t="s">
        <v>58</v>
      </c>
      <c r="Q142" s="8" t="s">
        <v>388</v>
      </c>
      <c r="R142" s="8" t="s">
        <v>18</v>
      </c>
      <c r="S142" s="8" t="s">
        <v>67</v>
      </c>
      <c r="T142" s="8" t="s">
        <v>495</v>
      </c>
      <c r="U142" s="8" t="s">
        <v>468</v>
      </c>
      <c r="V142" s="8" t="s">
        <v>372</v>
      </c>
      <c r="W142" s="8" t="s">
        <v>63</v>
      </c>
      <c r="X142" s="8" t="str">
        <f t="shared" si="16"/>
        <v>AG. FUNDIDO</v>
      </c>
      <c r="Z142" s="40"/>
      <c r="AA142" s="41"/>
      <c r="AB142" s="41"/>
      <c r="AC142" s="41"/>
      <c r="AD142" s="42"/>
    </row>
    <row r="143" spans="1:30" x14ac:dyDescent="0.25">
      <c r="A143" s="12">
        <v>2393</v>
      </c>
      <c r="B143" s="12">
        <v>18</v>
      </c>
      <c r="C143" s="12">
        <v>157174</v>
      </c>
      <c r="D143" s="12">
        <v>0</v>
      </c>
      <c r="E143" s="13" t="s">
        <v>598</v>
      </c>
      <c r="F143" s="12" t="s">
        <v>8</v>
      </c>
      <c r="G143" s="13">
        <v>1</v>
      </c>
      <c r="H143" s="14">
        <v>46325</v>
      </c>
      <c r="J143" s="14">
        <v>46371</v>
      </c>
      <c r="K143" s="14"/>
      <c r="L143" s="37">
        <f ca="1">Tabela1[[#This Row],[Prazo
Entrega]]-TODAY()</f>
        <v>125</v>
      </c>
      <c r="M143" s="37" t="str">
        <f t="shared" ca="1" si="15"/>
        <v>NO PRAZO</v>
      </c>
      <c r="N143" s="8" t="s">
        <v>32</v>
      </c>
      <c r="O143" s="38">
        <v>46290</v>
      </c>
      <c r="P143" s="14" t="s">
        <v>58</v>
      </c>
      <c r="Q143" s="8" t="s">
        <v>388</v>
      </c>
      <c r="R143" s="8" t="s">
        <v>18</v>
      </c>
      <c r="S143" s="8" t="s">
        <v>67</v>
      </c>
      <c r="T143" s="8" t="s">
        <v>495</v>
      </c>
      <c r="U143" s="8" t="s">
        <v>468</v>
      </c>
      <c r="V143" s="8" t="s">
        <v>372</v>
      </c>
      <c r="W143" s="8" t="s">
        <v>63</v>
      </c>
      <c r="X143" s="8" t="str">
        <f t="shared" si="16"/>
        <v>AG. FUNDIDO</v>
      </c>
      <c r="Z143" s="40"/>
      <c r="AA143" s="41"/>
      <c r="AB143" s="41"/>
      <c r="AC143" s="41"/>
      <c r="AD143" s="42"/>
    </row>
    <row r="144" spans="1:30" x14ac:dyDescent="0.25">
      <c r="A144" s="12">
        <v>2393</v>
      </c>
      <c r="B144" s="12">
        <v>19</v>
      </c>
      <c r="C144" s="12">
        <v>157175</v>
      </c>
      <c r="D144" s="12">
        <v>0</v>
      </c>
      <c r="E144" s="13" t="s">
        <v>598</v>
      </c>
      <c r="F144" s="12" t="s">
        <v>8</v>
      </c>
      <c r="G144" s="13">
        <v>1</v>
      </c>
      <c r="H144" s="14">
        <v>46325</v>
      </c>
      <c r="J144" s="14">
        <v>46371</v>
      </c>
      <c r="K144" s="14"/>
      <c r="L144" s="37">
        <f ca="1">Tabela1[[#This Row],[Prazo
Entrega]]-TODAY()</f>
        <v>125</v>
      </c>
      <c r="M144" s="37" t="str">
        <f t="shared" ca="1" si="15"/>
        <v>NO PRAZO</v>
      </c>
      <c r="N144" s="8" t="s">
        <v>32</v>
      </c>
      <c r="O144" s="38">
        <v>46290</v>
      </c>
      <c r="P144" s="14" t="s">
        <v>58</v>
      </c>
      <c r="Q144" s="8" t="s">
        <v>388</v>
      </c>
      <c r="R144" s="8" t="s">
        <v>18</v>
      </c>
      <c r="S144" s="8" t="s">
        <v>67</v>
      </c>
      <c r="T144" s="8" t="s">
        <v>495</v>
      </c>
      <c r="U144" s="8" t="s">
        <v>468</v>
      </c>
      <c r="V144" s="8" t="s">
        <v>372</v>
      </c>
      <c r="W144" s="8" t="s">
        <v>63</v>
      </c>
      <c r="X144" s="8" t="str">
        <f t="shared" si="16"/>
        <v>AG. FUNDIDO</v>
      </c>
      <c r="Z144" s="40"/>
      <c r="AA144" s="41"/>
      <c r="AB144" s="41"/>
      <c r="AC144" s="41"/>
      <c r="AD144" s="42"/>
    </row>
    <row r="145" spans="1:30" x14ac:dyDescent="0.25">
      <c r="A145" s="13">
        <v>2398</v>
      </c>
      <c r="B145" s="13">
        <v>1</v>
      </c>
      <c r="C145" s="13">
        <v>27693</v>
      </c>
      <c r="D145" s="13">
        <v>1</v>
      </c>
      <c r="E145" s="13" t="s">
        <v>727</v>
      </c>
      <c r="F145" s="12" t="s">
        <v>122</v>
      </c>
      <c r="G145" s="13">
        <v>1</v>
      </c>
      <c r="H145" s="14">
        <v>46325</v>
      </c>
      <c r="J145" s="14">
        <v>46371</v>
      </c>
      <c r="K145" s="14"/>
      <c r="L145" s="37">
        <f ca="1">Tabela1[[#This Row],[Prazo
Entrega]]-TODAY()</f>
        <v>125</v>
      </c>
      <c r="M145" s="37" t="str">
        <f ca="1">IF(L145&lt;0,"ATRASADO",IF(L145&lt;=15,"ATENÇÃO","NO PRAZO"))</f>
        <v>NO PRAZO</v>
      </c>
      <c r="N145" s="8" t="s">
        <v>32</v>
      </c>
      <c r="O145" s="38">
        <v>46290</v>
      </c>
      <c r="P145" s="14" t="s">
        <v>58</v>
      </c>
      <c r="Q145" s="8" t="s">
        <v>388</v>
      </c>
      <c r="R145" s="8" t="s">
        <v>18</v>
      </c>
      <c r="S145" s="8" t="s">
        <v>67</v>
      </c>
      <c r="T145" s="8" t="s">
        <v>495</v>
      </c>
      <c r="U145" s="8" t="s">
        <v>468</v>
      </c>
      <c r="V145" s="8" t="s">
        <v>372</v>
      </c>
      <c r="W145" s="8" t="s">
        <v>63</v>
      </c>
      <c r="X145" s="8" t="str">
        <f>IF(I145="","AG. FUNDIDO",IF(Q145="AG","AG. USINAGEM","EM USINAGEM"))</f>
        <v>AG. FUNDIDO</v>
      </c>
      <c r="Z145" s="40"/>
      <c r="AA145" s="41"/>
      <c r="AB145" s="41"/>
      <c r="AC145" s="41"/>
      <c r="AD145" s="42"/>
    </row>
    <row r="146" spans="1:30" x14ac:dyDescent="0.25">
      <c r="A146" s="13">
        <v>2398</v>
      </c>
      <c r="B146" s="13">
        <v>2</v>
      </c>
      <c r="C146" s="13">
        <v>27693</v>
      </c>
      <c r="D146" s="13">
        <v>2</v>
      </c>
      <c r="E146" s="13" t="s">
        <v>727</v>
      </c>
      <c r="F146" s="12" t="s">
        <v>122</v>
      </c>
      <c r="G146" s="13">
        <v>1</v>
      </c>
      <c r="H146" s="14">
        <v>46325</v>
      </c>
      <c r="J146" s="14">
        <v>46371</v>
      </c>
      <c r="K146" s="14"/>
      <c r="L146" s="37">
        <f ca="1">Tabela1[[#This Row],[Prazo
Entrega]]-TODAY()</f>
        <v>125</v>
      </c>
      <c r="M146" s="37" t="str">
        <f t="shared" ref="M146:M150" ca="1" si="17">IF(L146&lt;0,"ATRASADO",IF(L146&lt;=15,"ATENÇÃO","NO PRAZO"))</f>
        <v>NO PRAZO</v>
      </c>
      <c r="N146" s="8" t="s">
        <v>32</v>
      </c>
      <c r="O146" s="38">
        <v>46290</v>
      </c>
      <c r="P146" s="14" t="s">
        <v>58</v>
      </c>
      <c r="Q146" s="8" t="s">
        <v>388</v>
      </c>
      <c r="R146" s="8" t="s">
        <v>18</v>
      </c>
      <c r="S146" s="8" t="s">
        <v>67</v>
      </c>
      <c r="T146" s="8" t="s">
        <v>495</v>
      </c>
      <c r="U146" s="8" t="s">
        <v>468</v>
      </c>
      <c r="V146" s="8" t="s">
        <v>372</v>
      </c>
      <c r="W146" s="8" t="s">
        <v>63</v>
      </c>
      <c r="X146" s="8" t="str">
        <f t="shared" ref="X146:X150" si="18">IF(I146="","AG. FUNDIDO",IF(Q146="AG","AG. USINAGEM","EM USINAGEM"))</f>
        <v>AG. FUNDIDO</v>
      </c>
      <c r="Z146" s="40"/>
      <c r="AA146" s="41"/>
      <c r="AB146" s="41"/>
      <c r="AC146" s="41"/>
      <c r="AD146" s="42"/>
    </row>
    <row r="147" spans="1:30" x14ac:dyDescent="0.25">
      <c r="A147" s="13">
        <v>2398</v>
      </c>
      <c r="B147" s="13">
        <v>3</v>
      </c>
      <c r="C147" s="13">
        <v>27693</v>
      </c>
      <c r="D147" s="13">
        <v>3</v>
      </c>
      <c r="E147" s="13" t="s">
        <v>727</v>
      </c>
      <c r="F147" s="12" t="s">
        <v>122</v>
      </c>
      <c r="G147" s="13">
        <v>1</v>
      </c>
      <c r="H147" s="14">
        <v>46325</v>
      </c>
      <c r="J147" s="14">
        <v>46371</v>
      </c>
      <c r="K147" s="14"/>
      <c r="L147" s="37">
        <f ca="1">Tabela1[[#This Row],[Prazo
Entrega]]-TODAY()</f>
        <v>125</v>
      </c>
      <c r="M147" s="37" t="str">
        <f t="shared" ca="1" si="17"/>
        <v>NO PRAZO</v>
      </c>
      <c r="N147" s="8" t="s">
        <v>32</v>
      </c>
      <c r="O147" s="38">
        <v>46290</v>
      </c>
      <c r="P147" s="14" t="s">
        <v>58</v>
      </c>
      <c r="Q147" s="8" t="s">
        <v>388</v>
      </c>
      <c r="R147" s="8" t="s">
        <v>18</v>
      </c>
      <c r="S147" s="8" t="s">
        <v>67</v>
      </c>
      <c r="T147" s="8" t="s">
        <v>495</v>
      </c>
      <c r="U147" s="8" t="s">
        <v>468</v>
      </c>
      <c r="V147" s="8" t="s">
        <v>372</v>
      </c>
      <c r="W147" s="8" t="s">
        <v>63</v>
      </c>
      <c r="X147" s="8" t="str">
        <f t="shared" si="18"/>
        <v>AG. FUNDIDO</v>
      </c>
      <c r="Z147" s="40"/>
      <c r="AA147" s="41"/>
      <c r="AB147" s="41"/>
      <c r="AC147" s="41"/>
      <c r="AD147" s="42"/>
    </row>
    <row r="148" spans="1:30" x14ac:dyDescent="0.25">
      <c r="A148" s="13">
        <v>2398</v>
      </c>
      <c r="B148" s="13">
        <v>10</v>
      </c>
      <c r="C148" s="13">
        <v>27693</v>
      </c>
      <c r="D148" s="13">
        <v>10</v>
      </c>
      <c r="E148" s="13" t="s">
        <v>727</v>
      </c>
      <c r="F148" s="12" t="s">
        <v>90</v>
      </c>
      <c r="G148" s="13">
        <v>1</v>
      </c>
      <c r="H148" s="14">
        <v>46325</v>
      </c>
      <c r="J148" s="14">
        <v>46371</v>
      </c>
      <c r="K148" s="14"/>
      <c r="L148" s="37">
        <f ca="1">Tabela1[[#This Row],[Prazo
Entrega]]-TODAY()</f>
        <v>125</v>
      </c>
      <c r="M148" s="37" t="str">
        <f t="shared" ca="1" si="17"/>
        <v>NO PRAZO</v>
      </c>
      <c r="N148" s="8" t="s">
        <v>32</v>
      </c>
      <c r="O148" s="38">
        <v>46290</v>
      </c>
      <c r="P148" s="14" t="s">
        <v>58</v>
      </c>
      <c r="Q148" s="8" t="s">
        <v>388</v>
      </c>
      <c r="R148" s="8" t="s">
        <v>18</v>
      </c>
      <c r="S148" s="8" t="s">
        <v>67</v>
      </c>
      <c r="T148" s="8" t="s">
        <v>495</v>
      </c>
      <c r="U148" s="8" t="s">
        <v>468</v>
      </c>
      <c r="V148" s="8" t="s">
        <v>372</v>
      </c>
      <c r="W148" s="8" t="s">
        <v>63</v>
      </c>
      <c r="X148" s="8" t="str">
        <f t="shared" si="18"/>
        <v>AG. FUNDIDO</v>
      </c>
      <c r="Z148" s="40"/>
      <c r="AA148" s="41"/>
      <c r="AB148" s="41"/>
      <c r="AC148" s="41"/>
      <c r="AD148" s="42"/>
    </row>
    <row r="149" spans="1:30" x14ac:dyDescent="0.25">
      <c r="A149" s="13">
        <v>2398</v>
      </c>
      <c r="B149" s="13">
        <v>11</v>
      </c>
      <c r="C149" s="13">
        <v>27693</v>
      </c>
      <c r="D149" s="13">
        <v>11</v>
      </c>
      <c r="E149" s="13" t="s">
        <v>727</v>
      </c>
      <c r="F149" s="12" t="s">
        <v>90</v>
      </c>
      <c r="G149" s="13">
        <v>1</v>
      </c>
      <c r="H149" s="14">
        <v>46325</v>
      </c>
      <c r="J149" s="14">
        <v>46371</v>
      </c>
      <c r="K149" s="14"/>
      <c r="L149" s="37">
        <f ca="1">Tabela1[[#This Row],[Prazo
Entrega]]-TODAY()</f>
        <v>125</v>
      </c>
      <c r="M149" s="37" t="str">
        <f t="shared" ca="1" si="17"/>
        <v>NO PRAZO</v>
      </c>
      <c r="N149" s="8" t="s">
        <v>32</v>
      </c>
      <c r="O149" s="38">
        <v>46290</v>
      </c>
      <c r="P149" s="14" t="s">
        <v>58</v>
      </c>
      <c r="Q149" s="8" t="s">
        <v>388</v>
      </c>
      <c r="R149" s="8" t="s">
        <v>18</v>
      </c>
      <c r="S149" s="8" t="s">
        <v>67</v>
      </c>
      <c r="T149" s="8" t="s">
        <v>495</v>
      </c>
      <c r="U149" s="8" t="s">
        <v>468</v>
      </c>
      <c r="V149" s="8" t="s">
        <v>372</v>
      </c>
      <c r="W149" s="8" t="s">
        <v>63</v>
      </c>
      <c r="X149" s="8" t="str">
        <f t="shared" si="18"/>
        <v>AG. FUNDIDO</v>
      </c>
      <c r="Z149" s="40"/>
      <c r="AA149" s="41"/>
      <c r="AB149" s="41"/>
      <c r="AC149" s="41"/>
      <c r="AD149" s="42"/>
    </row>
    <row r="150" spans="1:30" x14ac:dyDescent="0.25">
      <c r="A150" s="13">
        <v>2398</v>
      </c>
      <c r="B150" s="13">
        <v>12</v>
      </c>
      <c r="C150" s="13">
        <v>27693</v>
      </c>
      <c r="D150" s="13">
        <v>12</v>
      </c>
      <c r="E150" s="13" t="s">
        <v>727</v>
      </c>
      <c r="F150" s="12" t="s">
        <v>90</v>
      </c>
      <c r="G150" s="13">
        <v>1</v>
      </c>
      <c r="H150" s="14">
        <v>46325</v>
      </c>
      <c r="J150" s="14">
        <v>46371</v>
      </c>
      <c r="K150" s="14"/>
      <c r="L150" s="37">
        <f ca="1">Tabela1[[#This Row],[Prazo
Entrega]]-TODAY()</f>
        <v>125</v>
      </c>
      <c r="M150" s="37" t="str">
        <f t="shared" ca="1" si="17"/>
        <v>NO PRAZO</v>
      </c>
      <c r="N150" s="8" t="s">
        <v>32</v>
      </c>
      <c r="O150" s="38">
        <v>46290</v>
      </c>
      <c r="P150" s="14" t="s">
        <v>58</v>
      </c>
      <c r="Q150" s="8" t="s">
        <v>388</v>
      </c>
      <c r="R150" s="8" t="s">
        <v>18</v>
      </c>
      <c r="S150" s="8" t="s">
        <v>67</v>
      </c>
      <c r="T150" s="8" t="s">
        <v>495</v>
      </c>
      <c r="U150" s="8" t="s">
        <v>468</v>
      </c>
      <c r="V150" s="8" t="s">
        <v>372</v>
      </c>
      <c r="W150" s="8" t="s">
        <v>63</v>
      </c>
      <c r="X150" s="8" t="str">
        <f t="shared" si="18"/>
        <v>AG. FUNDIDO</v>
      </c>
      <c r="Z150" s="40"/>
      <c r="AA150" s="41"/>
      <c r="AB150" s="41"/>
      <c r="AC150" s="41"/>
      <c r="AD15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22"/>
  <sheetViews>
    <sheetView topLeftCell="A191" workbookViewId="0">
      <selection activeCell="F219" sqref="F219:F222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2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2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2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2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2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20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20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20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20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20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20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20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20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20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20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20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20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30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30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30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30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30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30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30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30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30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30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30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30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30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30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30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40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40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40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40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40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40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40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40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40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40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40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40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40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40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40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20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20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20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50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50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50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50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50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50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50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50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50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79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79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79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79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79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79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79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79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79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79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79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79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79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79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79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79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79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79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79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79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79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79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79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79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79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79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79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79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79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79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79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79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79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79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79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79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79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79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79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79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-26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322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-26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322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-26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322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-26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322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-26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322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-13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322</v>
      </c>
      <c r="W137" s="8" t="s">
        <v>591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2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2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-13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322</v>
      </c>
      <c r="W140" s="8" t="s">
        <v>590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-13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322</v>
      </c>
      <c r="W141" s="8" t="s">
        <v>590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2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2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-13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-13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-13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-13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-13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-13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-13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-13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2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-13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322</v>
      </c>
      <c r="W153" s="8" t="s">
        <v>591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-13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322</v>
      </c>
      <c r="W154" s="8" t="s">
        <v>591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2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2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-5</v>
      </c>
      <c r="O157" s="8" t="str">
        <f t="shared" ref="O157:O163" ca="1" si="7">IF(N157&lt;0,"ATRASADO",IF(N157&lt;=15,"ATENÇÃO","NO PRAZO"))</f>
        <v>ATRASADO</v>
      </c>
      <c r="P157" s="8" t="s">
        <v>69</v>
      </c>
      <c r="Q157" s="96" t="s">
        <v>63</v>
      </c>
      <c r="R157" s="96" t="s">
        <v>63</v>
      </c>
      <c r="S157" s="96" t="s">
        <v>63</v>
      </c>
      <c r="T157" s="96" t="s">
        <v>63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-5</v>
      </c>
      <c r="O158" s="8" t="str">
        <f t="shared" ca="1" si="7"/>
        <v>ATRASADO</v>
      </c>
      <c r="P158" s="8" t="s">
        <v>69</v>
      </c>
      <c r="Q158" s="96" t="s">
        <v>63</v>
      </c>
      <c r="R158" s="96" t="s">
        <v>63</v>
      </c>
      <c r="S158" s="96" t="s">
        <v>63</v>
      </c>
      <c r="T158" s="96" t="s">
        <v>63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-5</v>
      </c>
      <c r="O159" s="8" t="str">
        <f t="shared" ca="1" si="7"/>
        <v>ATRASADO</v>
      </c>
      <c r="P159" s="8" t="s">
        <v>69</v>
      </c>
      <c r="Q159" s="96" t="s">
        <v>63</v>
      </c>
      <c r="R159" s="96" t="s">
        <v>63</v>
      </c>
      <c r="S159" s="96" t="s">
        <v>63</v>
      </c>
      <c r="T159" s="96" t="s">
        <v>63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-5</v>
      </c>
      <c r="O160" s="8" t="str">
        <f t="shared" ca="1" si="7"/>
        <v>ATRASADO</v>
      </c>
      <c r="P160" s="8" t="s">
        <v>69</v>
      </c>
      <c r="Q160" s="96" t="s">
        <v>63</v>
      </c>
      <c r="R160" s="96" t="s">
        <v>63</v>
      </c>
      <c r="S160" s="96" t="s">
        <v>63</v>
      </c>
      <c r="T160" s="96" t="s">
        <v>63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-5</v>
      </c>
      <c r="O161" s="8" t="str">
        <f t="shared" ca="1" si="7"/>
        <v>ATRASADO</v>
      </c>
      <c r="P161" s="8" t="s">
        <v>69</v>
      </c>
      <c r="Q161" s="96" t="s">
        <v>63</v>
      </c>
      <c r="R161" s="96" t="s">
        <v>63</v>
      </c>
      <c r="S161" s="96" t="s">
        <v>63</v>
      </c>
      <c r="T161" s="96" t="s">
        <v>63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-5</v>
      </c>
      <c r="O162" s="8" t="str">
        <f t="shared" ca="1" si="7"/>
        <v>ATRASADO</v>
      </c>
      <c r="P162" s="8" t="s">
        <v>69</v>
      </c>
      <c r="Q162" s="96" t="s">
        <v>63</v>
      </c>
      <c r="R162" s="96" t="s">
        <v>63</v>
      </c>
      <c r="S162" s="96" t="s">
        <v>63</v>
      </c>
      <c r="T162" s="96" t="s">
        <v>63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-5</v>
      </c>
      <c r="O163" s="8" t="str">
        <f t="shared" ca="1" si="7"/>
        <v>ATRASADO</v>
      </c>
      <c r="P163" s="8" t="s">
        <v>69</v>
      </c>
      <c r="Q163" s="96" t="s">
        <v>63</v>
      </c>
      <c r="R163" s="96" t="s">
        <v>63</v>
      </c>
      <c r="S163" s="96" t="s">
        <v>63</v>
      </c>
      <c r="T163" s="96" t="s">
        <v>63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2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2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2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2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140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140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140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140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140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140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140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140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140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140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140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140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140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140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140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140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140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140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140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140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140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140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140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140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140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140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140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140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140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140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140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x14ac:dyDescent="0.25">
      <c r="A199" s="8">
        <v>2367</v>
      </c>
      <c r="B199" s="8">
        <v>1</v>
      </c>
      <c r="C199" s="8" t="s">
        <v>597</v>
      </c>
      <c r="D199" s="8" t="s">
        <v>63</v>
      </c>
      <c r="E199" s="8" t="s">
        <v>594</v>
      </c>
      <c r="F199" s="114" t="s">
        <v>595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-6</v>
      </c>
      <c r="O199" s="8" t="str">
        <f ca="1">IF(N199&lt;0,"ATRASADO",IF(N199&lt;=15,"ATENÇÃO","NO PRAZO"))</f>
        <v>ATRASADO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591</v>
      </c>
    </row>
    <row r="200" spans="1:23" x14ac:dyDescent="0.25">
      <c r="A200" s="8">
        <v>2367</v>
      </c>
      <c r="B200" s="8">
        <v>2</v>
      </c>
      <c r="C200" s="8" t="s">
        <v>597</v>
      </c>
      <c r="D200" s="8" t="s">
        <v>63</v>
      </c>
      <c r="E200" s="8" t="s">
        <v>594</v>
      </c>
      <c r="F200" s="114" t="s">
        <v>595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-6</v>
      </c>
      <c r="O200" s="8" t="str">
        <f t="shared" ref="O200:O203" ca="1" si="10">IF(N200&lt;0,"ATRASADO",IF(N200&lt;=15,"ATENÇÃO","NO PRAZO"))</f>
        <v>ATRASADO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591</v>
      </c>
    </row>
    <row r="201" spans="1:23" x14ac:dyDescent="0.25">
      <c r="A201" s="8">
        <v>2367</v>
      </c>
      <c r="B201" s="8">
        <v>3</v>
      </c>
      <c r="C201" s="8" t="s">
        <v>597</v>
      </c>
      <c r="D201" s="8" t="s">
        <v>63</v>
      </c>
      <c r="E201" s="8" t="s">
        <v>594</v>
      </c>
      <c r="F201" s="114" t="s">
        <v>595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-6</v>
      </c>
      <c r="O201" s="8" t="str">
        <f t="shared" ca="1" si="10"/>
        <v>ATRASADO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591</v>
      </c>
    </row>
    <row r="202" spans="1:23" x14ac:dyDescent="0.25">
      <c r="A202" s="8">
        <v>2367</v>
      </c>
      <c r="B202" s="8">
        <v>4</v>
      </c>
      <c r="C202" s="8" t="s">
        <v>597</v>
      </c>
      <c r="D202" s="8" t="s">
        <v>63</v>
      </c>
      <c r="E202" s="8" t="s">
        <v>594</v>
      </c>
      <c r="F202" s="114" t="s">
        <v>596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-6</v>
      </c>
      <c r="O202" s="8" t="str">
        <f t="shared" ca="1" si="10"/>
        <v>ATRASADO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591</v>
      </c>
    </row>
    <row r="203" spans="1:23" x14ac:dyDescent="0.25">
      <c r="A203" s="8">
        <v>2367</v>
      </c>
      <c r="B203" s="8">
        <v>5</v>
      </c>
      <c r="C203" s="8" t="s">
        <v>597</v>
      </c>
      <c r="D203" s="8" t="s">
        <v>63</v>
      </c>
      <c r="E203" s="8" t="s">
        <v>594</v>
      </c>
      <c r="F203" s="114" t="s">
        <v>596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-6</v>
      </c>
      <c r="O203" s="8" t="str">
        <f t="shared" ca="1" si="10"/>
        <v>ATRASADO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591</v>
      </c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598</v>
      </c>
      <c r="F204" s="115" t="s">
        <v>599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-9</v>
      </c>
      <c r="O204" s="8" t="str">
        <f ca="1">IF(N204&lt;0,"ATRASADO",IF(N204&lt;=15,"ATENÇÃO","NO PRAZO"))</f>
        <v>ATRASADO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598</v>
      </c>
      <c r="F205" s="115" t="s">
        <v>599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-9</v>
      </c>
      <c r="O205" s="8" t="str">
        <f t="shared" ref="O205:O214" ca="1" si="11">IF(N205&lt;0,"ATRASADO",IF(N205&lt;=15,"ATENÇÃO","NO PRAZO"))</f>
        <v>ATRASADO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598</v>
      </c>
      <c r="F206" s="115" t="s">
        <v>599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-9</v>
      </c>
      <c r="O206" s="8" t="str">
        <f t="shared" ca="1" si="11"/>
        <v>ATRASADO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598</v>
      </c>
      <c r="F207" s="115" t="s">
        <v>600</v>
      </c>
      <c r="G207" s="8">
        <v>1</v>
      </c>
      <c r="H207" s="9">
        <v>46230</v>
      </c>
      <c r="I207" s="9">
        <v>46230</v>
      </c>
      <c r="J207" s="9">
        <v>46241</v>
      </c>
      <c r="K207" s="16"/>
      <c r="L207" s="9" t="s">
        <v>56</v>
      </c>
      <c r="M207" s="10" t="s">
        <v>56</v>
      </c>
      <c r="N207" s="10">
        <f ca="1">Tabela3[[#This Row],[Prazo
Entrega]]-TODAY()</f>
        <v>-5</v>
      </c>
      <c r="O207" s="8" t="str">
        <f t="shared" ca="1" si="11"/>
        <v>ATRASADO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598</v>
      </c>
      <c r="F208" s="115" t="s">
        <v>600</v>
      </c>
      <c r="G208" s="8">
        <v>1</v>
      </c>
      <c r="H208" s="9">
        <v>46230</v>
      </c>
      <c r="I208" s="9">
        <v>46230</v>
      </c>
      <c r="J208" s="9">
        <v>46241</v>
      </c>
      <c r="K208" s="16"/>
      <c r="L208" s="9" t="s">
        <v>56</v>
      </c>
      <c r="M208" s="10" t="s">
        <v>56</v>
      </c>
      <c r="N208" s="10">
        <f ca="1">Tabela3[[#This Row],[Prazo
Entrega]]-TODAY()</f>
        <v>-5</v>
      </c>
      <c r="O208" s="8" t="str">
        <f t="shared" ca="1" si="11"/>
        <v>ATRASADO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598</v>
      </c>
      <c r="F209" s="115" t="s">
        <v>600</v>
      </c>
      <c r="G209" s="8">
        <v>1</v>
      </c>
      <c r="H209" s="9">
        <v>46230</v>
      </c>
      <c r="I209" s="9">
        <v>46230</v>
      </c>
      <c r="J209" s="9">
        <v>46241</v>
      </c>
      <c r="K209" s="16"/>
      <c r="L209" s="9" t="s">
        <v>56</v>
      </c>
      <c r="M209" s="10" t="s">
        <v>56</v>
      </c>
      <c r="N209" s="10">
        <f ca="1">Tabela3[[#This Row],[Prazo
Entrega]]-TODAY()</f>
        <v>-5</v>
      </c>
      <c r="O209" s="8" t="str">
        <f t="shared" ca="1" si="11"/>
        <v>ATRASADO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598</v>
      </c>
      <c r="F210" s="115" t="s">
        <v>601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-9</v>
      </c>
      <c r="O210" s="8" t="str">
        <f t="shared" ca="1" si="11"/>
        <v>ATRASADO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598</v>
      </c>
      <c r="F211" s="115" t="s">
        <v>601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-9</v>
      </c>
      <c r="O211" s="8" t="str">
        <f t="shared" ca="1" si="11"/>
        <v>ATRASADO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598</v>
      </c>
      <c r="F212" s="115" t="s">
        <v>601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-9</v>
      </c>
      <c r="O212" s="8" t="str">
        <f t="shared" ca="1" si="11"/>
        <v>ATRASADO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598</v>
      </c>
      <c r="F213" s="115" t="s">
        <v>601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-9</v>
      </c>
      <c r="O213" s="8" t="str">
        <f t="shared" ca="1" si="11"/>
        <v>ATRASADO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598</v>
      </c>
      <c r="F214" s="115" t="s">
        <v>601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-9</v>
      </c>
      <c r="O214" s="8" t="str">
        <f t="shared" ca="1" si="11"/>
        <v>ATRASADO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  <row r="215" spans="1:23" x14ac:dyDescent="0.25">
      <c r="A215" s="12">
        <v>2393</v>
      </c>
      <c r="B215" s="12">
        <v>20</v>
      </c>
      <c r="C215" s="13">
        <v>157135</v>
      </c>
      <c r="D215" s="13">
        <v>0</v>
      </c>
      <c r="E215" s="8" t="s">
        <v>598</v>
      </c>
      <c r="F215" s="115" t="s">
        <v>599</v>
      </c>
      <c r="G215" s="8">
        <v>1</v>
      </c>
      <c r="H215" s="9">
        <v>46325</v>
      </c>
      <c r="I215" s="8"/>
      <c r="J215" s="9">
        <v>46386</v>
      </c>
      <c r="K215" s="16"/>
      <c r="L215" s="9" t="s">
        <v>58</v>
      </c>
      <c r="M215" s="10" t="s">
        <v>58</v>
      </c>
      <c r="N215" s="10">
        <f ca="1">Tabela3[[#This Row],[Prazo
Entrega]]-TODAY()</f>
        <v>140</v>
      </c>
      <c r="O215" s="8" t="str">
        <f t="shared" ref="O215:O222" ca="1" si="12">IF(N215&lt;0,"ATRASADO",IF(N215&lt;=15,"ATENÇÃO","NO PRAZO"))</f>
        <v>NO PRAZO</v>
      </c>
      <c r="P215" s="8" t="s">
        <v>32</v>
      </c>
      <c r="Q215" s="96" t="s">
        <v>488</v>
      </c>
      <c r="R215" s="96" t="s">
        <v>489</v>
      </c>
      <c r="S215" s="96" t="s">
        <v>227</v>
      </c>
      <c r="T215" s="96" t="s">
        <v>370</v>
      </c>
      <c r="U215" s="96"/>
      <c r="V215" s="8" t="s">
        <v>48</v>
      </c>
      <c r="W215" s="8"/>
    </row>
    <row r="216" spans="1:23" x14ac:dyDescent="0.25">
      <c r="A216" s="12">
        <v>2393</v>
      </c>
      <c r="B216" s="12">
        <v>21</v>
      </c>
      <c r="C216" s="13">
        <v>157135</v>
      </c>
      <c r="D216" s="13">
        <v>0</v>
      </c>
      <c r="E216" s="8" t="s">
        <v>598</v>
      </c>
      <c r="F216" s="115" t="s">
        <v>599</v>
      </c>
      <c r="G216" s="8">
        <v>1</v>
      </c>
      <c r="H216" s="9">
        <v>46325</v>
      </c>
      <c r="I216" s="8"/>
      <c r="J216" s="9">
        <v>46386</v>
      </c>
      <c r="K216" s="16"/>
      <c r="L216" s="9" t="s">
        <v>58</v>
      </c>
      <c r="M216" s="10" t="s">
        <v>58</v>
      </c>
      <c r="N216" s="10">
        <f ca="1">Tabela3[[#This Row],[Prazo
Entrega]]-TODAY()</f>
        <v>140</v>
      </c>
      <c r="O216" s="8" t="str">
        <f t="shared" ca="1" si="12"/>
        <v>NO PRAZO</v>
      </c>
      <c r="P216" s="8" t="s">
        <v>32</v>
      </c>
      <c r="Q216" s="96" t="s">
        <v>488</v>
      </c>
      <c r="R216" s="96" t="s">
        <v>489</v>
      </c>
      <c r="S216" s="96" t="s">
        <v>227</v>
      </c>
      <c r="T216" s="96" t="s">
        <v>370</v>
      </c>
      <c r="U216" s="96"/>
      <c r="V216" s="8" t="s">
        <v>48</v>
      </c>
      <c r="W216" s="8"/>
    </row>
    <row r="217" spans="1:23" x14ac:dyDescent="0.25">
      <c r="A217" s="12">
        <v>2393</v>
      </c>
      <c r="B217" s="12">
        <v>22</v>
      </c>
      <c r="C217" s="13">
        <v>157135</v>
      </c>
      <c r="D217" s="13">
        <v>0</v>
      </c>
      <c r="E217" s="8" t="s">
        <v>598</v>
      </c>
      <c r="F217" s="115" t="s">
        <v>599</v>
      </c>
      <c r="G217" s="8">
        <v>1</v>
      </c>
      <c r="H217" s="9">
        <v>46325</v>
      </c>
      <c r="I217" s="8"/>
      <c r="J217" s="9">
        <v>46386</v>
      </c>
      <c r="K217" s="16"/>
      <c r="L217" s="9" t="s">
        <v>58</v>
      </c>
      <c r="M217" s="10" t="s">
        <v>58</v>
      </c>
      <c r="N217" s="10">
        <f ca="1">Tabela3[[#This Row],[Prazo
Entrega]]-TODAY()</f>
        <v>140</v>
      </c>
      <c r="O217" s="8" t="str">
        <f t="shared" ca="1" si="12"/>
        <v>NO PRAZO</v>
      </c>
      <c r="P217" s="8" t="s">
        <v>32</v>
      </c>
      <c r="Q217" s="96" t="s">
        <v>488</v>
      </c>
      <c r="R217" s="96" t="s">
        <v>489</v>
      </c>
      <c r="S217" s="96" t="s">
        <v>227</v>
      </c>
      <c r="T217" s="96" t="s">
        <v>370</v>
      </c>
      <c r="U217" s="96"/>
      <c r="V217" s="8" t="s">
        <v>48</v>
      </c>
      <c r="W217" s="8"/>
    </row>
    <row r="218" spans="1:23" x14ac:dyDescent="0.25">
      <c r="A218" s="12">
        <v>2393</v>
      </c>
      <c r="B218" s="12">
        <v>23</v>
      </c>
      <c r="C218" s="13">
        <v>157135</v>
      </c>
      <c r="D218" s="13">
        <v>0</v>
      </c>
      <c r="E218" s="8" t="s">
        <v>598</v>
      </c>
      <c r="F218" s="115" t="s">
        <v>599</v>
      </c>
      <c r="G218" s="8">
        <v>1</v>
      </c>
      <c r="H218" s="9">
        <v>46325</v>
      </c>
      <c r="I218" s="8"/>
      <c r="J218" s="9">
        <v>46386</v>
      </c>
      <c r="K218" s="16"/>
      <c r="L218" s="9" t="s">
        <v>58</v>
      </c>
      <c r="M218" s="10" t="s">
        <v>58</v>
      </c>
      <c r="N218" s="10">
        <f ca="1">Tabela3[[#This Row],[Prazo
Entrega]]-TODAY()</f>
        <v>140</v>
      </c>
      <c r="O218" s="8" t="str">
        <f t="shared" ca="1" si="12"/>
        <v>NO PRAZO</v>
      </c>
      <c r="P218" s="8" t="s">
        <v>32</v>
      </c>
      <c r="Q218" s="96" t="s">
        <v>488</v>
      </c>
      <c r="R218" s="96" t="s">
        <v>489</v>
      </c>
      <c r="S218" s="96" t="s">
        <v>227</v>
      </c>
      <c r="T218" s="96" t="s">
        <v>370</v>
      </c>
      <c r="U218" s="96"/>
      <c r="V218" s="8" t="s">
        <v>48</v>
      </c>
      <c r="W218" s="8"/>
    </row>
    <row r="219" spans="1:23" x14ac:dyDescent="0.25">
      <c r="A219" s="12">
        <v>2393</v>
      </c>
      <c r="B219" s="12">
        <v>24</v>
      </c>
      <c r="C219" s="13">
        <v>157134</v>
      </c>
      <c r="D219" s="13">
        <v>0</v>
      </c>
      <c r="E219" s="8" t="s">
        <v>598</v>
      </c>
      <c r="F219" s="115" t="s">
        <v>600</v>
      </c>
      <c r="G219" s="8">
        <v>1</v>
      </c>
      <c r="H219" s="9">
        <v>46325</v>
      </c>
      <c r="I219" s="8"/>
      <c r="J219" s="9">
        <v>46386</v>
      </c>
      <c r="K219" s="16"/>
      <c r="L219" s="9" t="s">
        <v>58</v>
      </c>
      <c r="M219" s="10" t="s">
        <v>58</v>
      </c>
      <c r="N219" s="10">
        <f ca="1">Tabela3[[#This Row],[Prazo
Entrega]]-TODAY()</f>
        <v>140</v>
      </c>
      <c r="O219" s="8" t="str">
        <f t="shared" ca="1" si="12"/>
        <v>NO PRAZO</v>
      </c>
      <c r="P219" s="8" t="s">
        <v>32</v>
      </c>
      <c r="Q219" s="96" t="s">
        <v>488</v>
      </c>
      <c r="R219" s="96" t="s">
        <v>489</v>
      </c>
      <c r="S219" s="96" t="s">
        <v>227</v>
      </c>
      <c r="T219" s="96" t="s">
        <v>370</v>
      </c>
      <c r="U219" s="96"/>
      <c r="V219" s="8" t="s">
        <v>48</v>
      </c>
      <c r="W219" s="8"/>
    </row>
    <row r="220" spans="1:23" x14ac:dyDescent="0.25">
      <c r="A220" s="12">
        <v>2393</v>
      </c>
      <c r="B220" s="12">
        <v>25</v>
      </c>
      <c r="C220" s="13">
        <v>157134</v>
      </c>
      <c r="D220" s="13">
        <v>0</v>
      </c>
      <c r="E220" s="8" t="s">
        <v>598</v>
      </c>
      <c r="F220" s="115" t="s">
        <v>600</v>
      </c>
      <c r="G220" s="8">
        <v>1</v>
      </c>
      <c r="H220" s="9">
        <v>46325</v>
      </c>
      <c r="I220" s="8"/>
      <c r="J220" s="9">
        <v>46386</v>
      </c>
      <c r="K220" s="16"/>
      <c r="L220" s="9" t="s">
        <v>58</v>
      </c>
      <c r="M220" s="10" t="s">
        <v>58</v>
      </c>
      <c r="N220" s="10">
        <f ca="1">Tabela3[[#This Row],[Prazo
Entrega]]-TODAY()</f>
        <v>140</v>
      </c>
      <c r="O220" s="8" t="str">
        <f t="shared" ca="1" si="12"/>
        <v>NO PRAZO</v>
      </c>
      <c r="P220" s="8" t="s">
        <v>32</v>
      </c>
      <c r="Q220" s="96" t="s">
        <v>488</v>
      </c>
      <c r="R220" s="96" t="s">
        <v>489</v>
      </c>
      <c r="S220" s="96" t="s">
        <v>227</v>
      </c>
      <c r="T220" s="96" t="s">
        <v>370</v>
      </c>
      <c r="U220" s="96"/>
      <c r="V220" s="8" t="s">
        <v>48</v>
      </c>
      <c r="W220" s="8"/>
    </row>
    <row r="221" spans="1:23" x14ac:dyDescent="0.25">
      <c r="A221" s="12">
        <v>2393</v>
      </c>
      <c r="B221" s="12">
        <v>26</v>
      </c>
      <c r="C221" s="13">
        <v>157134</v>
      </c>
      <c r="D221" s="13">
        <v>0</v>
      </c>
      <c r="E221" s="8" t="s">
        <v>598</v>
      </c>
      <c r="F221" s="115" t="s">
        <v>600</v>
      </c>
      <c r="G221" s="8">
        <v>1</v>
      </c>
      <c r="H221" s="9">
        <v>46325</v>
      </c>
      <c r="I221" s="8"/>
      <c r="J221" s="9">
        <v>46386</v>
      </c>
      <c r="K221" s="16"/>
      <c r="L221" s="9" t="s">
        <v>58</v>
      </c>
      <c r="M221" s="10" t="s">
        <v>58</v>
      </c>
      <c r="N221" s="10">
        <f ca="1">Tabela3[[#This Row],[Prazo
Entrega]]-TODAY()</f>
        <v>140</v>
      </c>
      <c r="O221" s="8" t="str">
        <f t="shared" ca="1" si="12"/>
        <v>NO PRAZO</v>
      </c>
      <c r="P221" s="8" t="s">
        <v>32</v>
      </c>
      <c r="Q221" s="96" t="s">
        <v>488</v>
      </c>
      <c r="R221" s="96" t="s">
        <v>489</v>
      </c>
      <c r="S221" s="96" t="s">
        <v>227</v>
      </c>
      <c r="T221" s="96" t="s">
        <v>370</v>
      </c>
      <c r="U221" s="96"/>
      <c r="V221" s="8" t="s">
        <v>48</v>
      </c>
      <c r="W221" s="8"/>
    </row>
    <row r="222" spans="1:23" x14ac:dyDescent="0.25">
      <c r="A222" s="12">
        <v>2393</v>
      </c>
      <c r="B222" s="12">
        <v>27</v>
      </c>
      <c r="C222" s="13">
        <v>157134</v>
      </c>
      <c r="D222" s="13">
        <v>0</v>
      </c>
      <c r="E222" s="8" t="s">
        <v>598</v>
      </c>
      <c r="F222" s="115" t="s">
        <v>600</v>
      </c>
      <c r="G222" s="8">
        <v>1</v>
      </c>
      <c r="H222" s="9">
        <v>46325</v>
      </c>
      <c r="I222" s="8"/>
      <c r="J222" s="9">
        <v>46386</v>
      </c>
      <c r="K222" s="16"/>
      <c r="L222" s="9" t="s">
        <v>58</v>
      </c>
      <c r="M222" s="10" t="s">
        <v>58</v>
      </c>
      <c r="N222" s="10">
        <f ca="1">Tabela3[[#This Row],[Prazo
Entrega]]-TODAY()</f>
        <v>140</v>
      </c>
      <c r="O222" s="8" t="str">
        <f t="shared" ca="1" si="12"/>
        <v>NO PRAZO</v>
      </c>
      <c r="P222" s="8" t="s">
        <v>32</v>
      </c>
      <c r="Q222" s="96" t="s">
        <v>488</v>
      </c>
      <c r="R222" s="96" t="s">
        <v>489</v>
      </c>
      <c r="S222" s="96" t="s">
        <v>227</v>
      </c>
      <c r="T222" s="96" t="s">
        <v>370</v>
      </c>
      <c r="U222" s="96"/>
      <c r="V222" s="8" t="s">
        <v>48</v>
      </c>
      <c r="W222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62" workbookViewId="0">
      <selection activeCell="F82" sqref="F82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23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23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-7</v>
      </c>
      <c r="M4" s="11" t="str">
        <f t="shared" ca="1" si="0"/>
        <v>ATRASADO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-7</v>
      </c>
      <c r="M5" s="11" t="str">
        <f t="shared" ca="1" si="0"/>
        <v>ATRASADO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-7</v>
      </c>
      <c r="M6" s="11" t="str">
        <f t="shared" ca="1" si="0"/>
        <v>ATRASADO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49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-7</v>
      </c>
      <c r="M8" s="11" t="str">
        <f t="shared" ca="1" si="0"/>
        <v>ATRASADO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20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20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20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20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20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49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49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49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34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34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34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34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34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34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34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34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34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128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128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128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40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40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40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128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128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128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128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49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49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49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49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83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83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83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83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83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83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83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83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83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83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83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83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140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140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140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140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140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A57" s="12">
        <v>2372</v>
      </c>
      <c r="B57" s="12">
        <v>1</v>
      </c>
      <c r="C57" s="12">
        <v>144131</v>
      </c>
      <c r="D57" s="12">
        <v>0</v>
      </c>
      <c r="E57" s="6" t="s">
        <v>694</v>
      </c>
      <c r="F57" s="6" t="s">
        <v>695</v>
      </c>
      <c r="G57" s="12">
        <v>1</v>
      </c>
      <c r="H57" s="16">
        <v>46290</v>
      </c>
      <c r="I57" s="1"/>
      <c r="J57" s="16">
        <v>46321</v>
      </c>
      <c r="K57" s="1"/>
      <c r="L57" s="11">
        <f ca="1">Tabela13[[#This Row],[Data Prev.
Entrega]]-TODAY()</f>
        <v>75</v>
      </c>
      <c r="M57" s="11" t="str">
        <f t="shared" ref="M57:M59" ca="1" si="15">IF(L57&lt;0,"ATRASADO",IF(L57&lt;=15,"ATENÇÃO","NO PRAZO"))</f>
        <v>NO PRAZO</v>
      </c>
      <c r="N57" t="s">
        <v>32</v>
      </c>
      <c r="O57" s="29">
        <v>46285</v>
      </c>
      <c r="P57" s="1" t="s">
        <v>58</v>
      </c>
      <c r="Q57" s="1" t="s">
        <v>491</v>
      </c>
      <c r="R57" s="1" t="s">
        <v>493</v>
      </c>
      <c r="S57" s="1" t="s">
        <v>494</v>
      </c>
      <c r="T57" s="1" t="s">
        <v>220</v>
      </c>
      <c r="U57" s="1" t="s">
        <v>492</v>
      </c>
      <c r="V57" s="1" t="s">
        <v>227</v>
      </c>
      <c r="W57" s="1" t="s">
        <v>372</v>
      </c>
      <c r="X57" t="str">
        <f t="shared" ref="X57:X59" si="16">IF(I57="","AG. FUNDIDO",IF(W57="OK","LIBERADA","EM USINAGEM"))</f>
        <v>AG. FUNDIDO</v>
      </c>
    </row>
    <row r="58" spans="1:25" x14ac:dyDescent="0.25">
      <c r="A58" s="12">
        <v>2372</v>
      </c>
      <c r="B58" s="12">
        <v>2</v>
      </c>
      <c r="C58" s="12">
        <v>144131</v>
      </c>
      <c r="D58" s="12">
        <v>0</v>
      </c>
      <c r="E58" s="6" t="s">
        <v>694</v>
      </c>
      <c r="F58" s="6" t="s">
        <v>695</v>
      </c>
      <c r="G58" s="12">
        <v>1</v>
      </c>
      <c r="H58" s="16">
        <v>46290</v>
      </c>
      <c r="I58" s="1"/>
      <c r="J58" s="16">
        <v>46321</v>
      </c>
      <c r="K58" s="1"/>
      <c r="L58" s="11">
        <f ca="1">Tabela13[[#This Row],[Data Prev.
Entrega]]-TODAY()</f>
        <v>75</v>
      </c>
      <c r="M58" s="11" t="str">
        <f t="shared" ca="1" si="15"/>
        <v>NO PRAZO</v>
      </c>
      <c r="N58" t="s">
        <v>32</v>
      </c>
      <c r="O58" s="29">
        <v>46285</v>
      </c>
      <c r="P58" s="1" t="s">
        <v>58</v>
      </c>
      <c r="Q58" s="1" t="s">
        <v>491</v>
      </c>
      <c r="R58" s="1" t="s">
        <v>493</v>
      </c>
      <c r="S58" s="1" t="s">
        <v>494</v>
      </c>
      <c r="T58" s="1" t="s">
        <v>220</v>
      </c>
      <c r="U58" s="1" t="s">
        <v>492</v>
      </c>
      <c r="V58" s="1" t="s">
        <v>227</v>
      </c>
      <c r="W58" s="1" t="s">
        <v>372</v>
      </c>
      <c r="X58" t="str">
        <f t="shared" si="16"/>
        <v>AG. FUNDIDO</v>
      </c>
    </row>
    <row r="59" spans="1:25" x14ac:dyDescent="0.25">
      <c r="A59" s="12">
        <v>2372</v>
      </c>
      <c r="B59" s="12">
        <v>3</v>
      </c>
      <c r="C59" s="12">
        <v>144132</v>
      </c>
      <c r="D59" s="12">
        <v>0</v>
      </c>
      <c r="E59" s="6" t="s">
        <v>694</v>
      </c>
      <c r="F59" s="6" t="s">
        <v>696</v>
      </c>
      <c r="G59" s="12">
        <v>1</v>
      </c>
      <c r="H59" s="16">
        <v>46290</v>
      </c>
      <c r="I59" s="1"/>
      <c r="J59" s="16">
        <v>46321</v>
      </c>
      <c r="K59" s="1"/>
      <c r="L59" s="11">
        <f ca="1">Tabela13[[#This Row],[Data Prev.
Entrega]]-TODAY()</f>
        <v>75</v>
      </c>
      <c r="M59" s="11" t="str">
        <f t="shared" ca="1" si="15"/>
        <v>NO PRAZO</v>
      </c>
      <c r="N59" t="s">
        <v>32</v>
      </c>
      <c r="O59" s="29">
        <v>46285</v>
      </c>
      <c r="P59" s="1" t="s">
        <v>58</v>
      </c>
      <c r="Q59" s="1" t="s">
        <v>491</v>
      </c>
      <c r="R59" s="1" t="s">
        <v>493</v>
      </c>
      <c r="S59" s="1" t="s">
        <v>494</v>
      </c>
      <c r="T59" s="1" t="s">
        <v>220</v>
      </c>
      <c r="U59" s="1" t="s">
        <v>492</v>
      </c>
      <c r="V59" s="1" t="s">
        <v>227</v>
      </c>
      <c r="W59" s="1" t="s">
        <v>372</v>
      </c>
      <c r="X59" t="str">
        <f t="shared" si="16"/>
        <v>AG. FUNDIDO</v>
      </c>
    </row>
    <row r="60" spans="1:25" x14ac:dyDescent="0.25">
      <c r="A60" s="12">
        <v>2373</v>
      </c>
      <c r="B60" s="12">
        <v>1</v>
      </c>
      <c r="C60" s="12">
        <v>163061</v>
      </c>
      <c r="D60" s="12">
        <v>0</v>
      </c>
      <c r="E60" s="6" t="s">
        <v>697</v>
      </c>
      <c r="F60" s="6" t="s">
        <v>698</v>
      </c>
      <c r="G60" s="12">
        <v>1</v>
      </c>
      <c r="H60" s="16">
        <v>46293</v>
      </c>
      <c r="I60" s="1"/>
      <c r="J60" s="16">
        <v>46325</v>
      </c>
      <c r="K60" s="1"/>
      <c r="L60" s="11">
        <f ca="1">Tabela13[[#This Row],[Data Prev.
Entrega]]-TODAY()</f>
        <v>79</v>
      </c>
      <c r="M60" s="11" t="str">
        <f ca="1">IF(L60&lt;0,"ATRASADO",IF(L60&lt;=15,"ATENÇÃO","NO PRAZO"))</f>
        <v>NO PRAZO</v>
      </c>
      <c r="N60" t="s">
        <v>32</v>
      </c>
      <c r="O60" s="29">
        <v>46285</v>
      </c>
      <c r="P60" s="1" t="s">
        <v>58</v>
      </c>
      <c r="Q60" s="1" t="s">
        <v>491</v>
      </c>
      <c r="R60" s="1" t="s">
        <v>493</v>
      </c>
      <c r="S60" s="1" t="s">
        <v>494</v>
      </c>
      <c r="T60" s="1" t="s">
        <v>220</v>
      </c>
      <c r="U60" s="1" t="s">
        <v>492</v>
      </c>
      <c r="V60" s="1" t="s">
        <v>227</v>
      </c>
      <c r="W60" s="1" t="s">
        <v>372</v>
      </c>
      <c r="X60" t="str">
        <f>IF(I60="","AG. FUNDIDO",IF(W60="OK","LIBERADA","EM USINAGEM"))</f>
        <v>AG. FUNDIDO</v>
      </c>
    </row>
    <row r="61" spans="1:25" x14ac:dyDescent="0.25">
      <c r="A61" s="12">
        <v>2373</v>
      </c>
      <c r="B61" s="12">
        <v>2</v>
      </c>
      <c r="C61" s="12">
        <v>163061</v>
      </c>
      <c r="D61" s="12">
        <v>0</v>
      </c>
      <c r="E61" s="6" t="s">
        <v>697</v>
      </c>
      <c r="F61" s="6" t="s">
        <v>698</v>
      </c>
      <c r="G61" s="12">
        <v>1</v>
      </c>
      <c r="H61" s="16">
        <v>46293</v>
      </c>
      <c r="I61" s="1"/>
      <c r="J61" s="16">
        <v>46325</v>
      </c>
      <c r="K61" s="1"/>
      <c r="L61" s="11">
        <f ca="1">Tabela13[[#This Row],[Data Prev.
Entrega]]-TODAY()</f>
        <v>79</v>
      </c>
      <c r="M61" s="11" t="str">
        <f t="shared" ref="M61:M64" ca="1" si="17">IF(L61&lt;0,"ATRASADO",IF(L61&lt;=15,"ATENÇÃO","NO PRAZO"))</f>
        <v>NO PRAZO</v>
      </c>
      <c r="N61" t="s">
        <v>32</v>
      </c>
      <c r="O61" s="29">
        <v>46285</v>
      </c>
      <c r="P61" s="1" t="s">
        <v>58</v>
      </c>
      <c r="Q61" s="1" t="s">
        <v>491</v>
      </c>
      <c r="R61" s="1" t="s">
        <v>493</v>
      </c>
      <c r="S61" s="1" t="s">
        <v>494</v>
      </c>
      <c r="T61" s="1" t="s">
        <v>220</v>
      </c>
      <c r="U61" s="1" t="s">
        <v>492</v>
      </c>
      <c r="V61" s="1" t="s">
        <v>227</v>
      </c>
      <c r="W61" s="1" t="s">
        <v>372</v>
      </c>
      <c r="X61" t="str">
        <f t="shared" ref="X61:X64" si="18">IF(I61="","AG. FUNDIDO",IF(W61="OK","LIBERADA","EM USINAGEM"))</f>
        <v>AG. FUNDIDO</v>
      </c>
    </row>
    <row r="62" spans="1:25" x14ac:dyDescent="0.25">
      <c r="A62" s="12">
        <v>2373</v>
      </c>
      <c r="B62" s="12">
        <v>3</v>
      </c>
      <c r="C62" s="12">
        <v>163061</v>
      </c>
      <c r="D62" s="12">
        <v>0</v>
      </c>
      <c r="E62" s="6" t="s">
        <v>697</v>
      </c>
      <c r="F62" s="6" t="s">
        <v>698</v>
      </c>
      <c r="G62" s="12">
        <v>1</v>
      </c>
      <c r="H62" s="16">
        <v>46293</v>
      </c>
      <c r="I62" s="1"/>
      <c r="J62" s="16">
        <v>46325</v>
      </c>
      <c r="K62" s="1"/>
      <c r="L62" s="11">
        <f ca="1">Tabela13[[#This Row],[Data Prev.
Entrega]]-TODAY()</f>
        <v>79</v>
      </c>
      <c r="M62" s="11" t="str">
        <f t="shared" ca="1" si="17"/>
        <v>NO PRAZO</v>
      </c>
      <c r="N62" t="s">
        <v>32</v>
      </c>
      <c r="O62" s="29">
        <v>46285</v>
      </c>
      <c r="P62" s="1" t="s">
        <v>58</v>
      </c>
      <c r="Q62" s="1" t="s">
        <v>491</v>
      </c>
      <c r="R62" s="1" t="s">
        <v>493</v>
      </c>
      <c r="S62" s="1" t="s">
        <v>494</v>
      </c>
      <c r="T62" s="1" t="s">
        <v>220</v>
      </c>
      <c r="U62" s="1" t="s">
        <v>492</v>
      </c>
      <c r="V62" s="1" t="s">
        <v>227</v>
      </c>
      <c r="W62" s="1" t="s">
        <v>372</v>
      </c>
      <c r="X62" t="str">
        <f t="shared" si="18"/>
        <v>AG. FUNDIDO</v>
      </c>
    </row>
    <row r="63" spans="1:25" x14ac:dyDescent="0.25">
      <c r="A63" s="12">
        <v>2373</v>
      </c>
      <c r="B63" s="12">
        <v>4</v>
      </c>
      <c r="C63" s="12">
        <v>163062</v>
      </c>
      <c r="D63" s="12">
        <v>0</v>
      </c>
      <c r="E63" s="6" t="s">
        <v>697</v>
      </c>
      <c r="F63" s="6" t="s">
        <v>699</v>
      </c>
      <c r="G63" s="12">
        <v>1</v>
      </c>
      <c r="H63" s="16">
        <v>46293</v>
      </c>
      <c r="I63" s="1"/>
      <c r="J63" s="16">
        <v>46325</v>
      </c>
      <c r="K63" s="1"/>
      <c r="L63" s="11">
        <f ca="1">Tabela13[[#This Row],[Data Prev.
Entrega]]-TODAY()</f>
        <v>79</v>
      </c>
      <c r="M63" s="11" t="str">
        <f t="shared" ca="1" si="17"/>
        <v>NO PRAZO</v>
      </c>
      <c r="N63" t="s">
        <v>32</v>
      </c>
      <c r="O63" s="29">
        <v>46285</v>
      </c>
      <c r="P63" s="1" t="s">
        <v>58</v>
      </c>
      <c r="Q63" s="1" t="s">
        <v>491</v>
      </c>
      <c r="R63" s="1" t="s">
        <v>493</v>
      </c>
      <c r="S63" s="1" t="s">
        <v>494</v>
      </c>
      <c r="T63" s="1" t="s">
        <v>220</v>
      </c>
      <c r="U63" s="1" t="s">
        <v>492</v>
      </c>
      <c r="V63" s="1" t="s">
        <v>227</v>
      </c>
      <c r="W63" s="1" t="s">
        <v>372</v>
      </c>
      <c r="X63" t="str">
        <f t="shared" si="18"/>
        <v>AG. FUNDIDO</v>
      </c>
    </row>
    <row r="64" spans="1:25" x14ac:dyDescent="0.25">
      <c r="A64" s="12">
        <v>2373</v>
      </c>
      <c r="B64" s="12">
        <v>5</v>
      </c>
      <c r="C64" s="12">
        <v>163063</v>
      </c>
      <c r="D64" s="12">
        <v>0</v>
      </c>
      <c r="E64" s="6" t="s">
        <v>697</v>
      </c>
      <c r="F64" s="6" t="s">
        <v>700</v>
      </c>
      <c r="G64" s="12">
        <v>1</v>
      </c>
      <c r="H64" s="16">
        <v>46293</v>
      </c>
      <c r="I64" s="1"/>
      <c r="J64" s="16">
        <v>46325</v>
      </c>
      <c r="K64" s="1"/>
      <c r="L64" s="11">
        <f ca="1">Tabela13[[#This Row],[Data Prev.
Entrega]]-TODAY()</f>
        <v>79</v>
      </c>
      <c r="M64" s="11" t="str">
        <f t="shared" ca="1" si="17"/>
        <v>NO PRAZO</v>
      </c>
      <c r="N64" t="s">
        <v>32</v>
      </c>
      <c r="O64" s="29">
        <v>46285</v>
      </c>
      <c r="P64" s="1" t="s">
        <v>58</v>
      </c>
      <c r="Q64" s="1" t="s">
        <v>491</v>
      </c>
      <c r="R64" s="1" t="s">
        <v>493</v>
      </c>
      <c r="S64" s="1" t="s">
        <v>494</v>
      </c>
      <c r="T64" s="1" t="s">
        <v>220</v>
      </c>
      <c r="U64" s="1" t="s">
        <v>492</v>
      </c>
      <c r="V64" s="1" t="s">
        <v>227</v>
      </c>
      <c r="W64" s="1" t="s">
        <v>372</v>
      </c>
      <c r="X64" t="str">
        <f t="shared" si="18"/>
        <v>AG. FUNDIDO</v>
      </c>
    </row>
    <row r="65" spans="1:24" x14ac:dyDescent="0.25">
      <c r="A65" s="12">
        <v>2375</v>
      </c>
      <c r="B65" s="12">
        <v>4</v>
      </c>
      <c r="C65" s="13">
        <v>143132</v>
      </c>
      <c r="D65" s="13">
        <v>0</v>
      </c>
      <c r="E65" s="6" t="s">
        <v>713</v>
      </c>
      <c r="F65" s="6" t="s">
        <v>707</v>
      </c>
      <c r="G65" s="12">
        <v>1</v>
      </c>
      <c r="H65" s="16">
        <v>46325</v>
      </c>
      <c r="I65" s="1"/>
      <c r="J65" s="16">
        <v>46386</v>
      </c>
      <c r="K65" s="1"/>
      <c r="L65" s="11">
        <f ca="1">Tabela13[[#This Row],[Data Prev.
Entrega]]-TODAY()</f>
        <v>140</v>
      </c>
      <c r="M65" s="11" t="str">
        <f t="shared" ref="M65:M74" ca="1" si="19">IF(L65&lt;0,"ATRASADO",IF(L65&lt;=15,"ATENÇÃO","NO PRAZO"))</f>
        <v>NO PRAZO</v>
      </c>
      <c r="N65" t="s">
        <v>32</v>
      </c>
      <c r="O65" s="29">
        <v>46285</v>
      </c>
      <c r="P65" s="1" t="s">
        <v>58</v>
      </c>
      <c r="Q65" s="1" t="s">
        <v>491</v>
      </c>
      <c r="R65" s="1" t="s">
        <v>493</v>
      </c>
      <c r="S65" s="1" t="s">
        <v>494</v>
      </c>
      <c r="T65" s="1" t="s">
        <v>220</v>
      </c>
      <c r="U65" s="1" t="s">
        <v>492</v>
      </c>
      <c r="V65" s="1" t="s">
        <v>227</v>
      </c>
      <c r="W65" s="1" t="s">
        <v>372</v>
      </c>
      <c r="X65" t="str">
        <f t="shared" ref="X65:X74" si="20">IF(I65="","AG. FUNDIDO",IF(W65="OK","LIBERADA","EM USINAGEM"))</f>
        <v>AG. FUNDIDO</v>
      </c>
    </row>
    <row r="66" spans="1:24" x14ac:dyDescent="0.25">
      <c r="A66" s="12">
        <v>2375</v>
      </c>
      <c r="B66" s="12">
        <v>5</v>
      </c>
      <c r="C66" s="13">
        <v>143133</v>
      </c>
      <c r="D66" s="13">
        <v>0</v>
      </c>
      <c r="E66" s="6" t="s">
        <v>713</v>
      </c>
      <c r="F66" s="6" t="s">
        <v>708</v>
      </c>
      <c r="G66" s="12">
        <v>1</v>
      </c>
      <c r="H66" s="16">
        <v>46325</v>
      </c>
      <c r="I66" s="1"/>
      <c r="J66" s="16">
        <v>46386</v>
      </c>
      <c r="K66" s="1"/>
      <c r="L66" s="11">
        <f ca="1">Tabela13[[#This Row],[Data Prev.
Entrega]]-TODAY()</f>
        <v>140</v>
      </c>
      <c r="M66" s="11" t="str">
        <f t="shared" ca="1" si="19"/>
        <v>NO PRAZO</v>
      </c>
      <c r="N66" t="s">
        <v>32</v>
      </c>
      <c r="O66" s="29">
        <v>46285</v>
      </c>
      <c r="P66" s="1" t="s">
        <v>58</v>
      </c>
      <c r="Q66" s="1" t="s">
        <v>491</v>
      </c>
      <c r="R66" s="1" t="s">
        <v>493</v>
      </c>
      <c r="S66" s="1" t="s">
        <v>494</v>
      </c>
      <c r="T66" s="1" t="s">
        <v>220</v>
      </c>
      <c r="U66" s="1" t="s">
        <v>492</v>
      </c>
      <c r="V66" s="1" t="s">
        <v>227</v>
      </c>
      <c r="W66" s="1" t="s">
        <v>372</v>
      </c>
      <c r="X66" t="str">
        <f t="shared" si="20"/>
        <v>AG. FUNDIDO</v>
      </c>
    </row>
    <row r="67" spans="1:24" x14ac:dyDescent="0.25">
      <c r="A67" s="12">
        <v>2375</v>
      </c>
      <c r="B67" s="12">
        <v>16</v>
      </c>
      <c r="C67" s="13">
        <v>143134</v>
      </c>
      <c r="D67" s="13">
        <v>0</v>
      </c>
      <c r="E67" s="6" t="s">
        <v>713</v>
      </c>
      <c r="F67" s="6" t="s">
        <v>709</v>
      </c>
      <c r="G67" s="12">
        <v>1</v>
      </c>
      <c r="H67" s="16">
        <v>46325</v>
      </c>
      <c r="I67" s="1"/>
      <c r="J67" s="16">
        <v>46386</v>
      </c>
      <c r="K67" s="1"/>
      <c r="L67" s="11">
        <f ca="1">Tabela13[[#This Row],[Data Prev.
Entrega]]-TODAY()</f>
        <v>140</v>
      </c>
      <c r="M67" s="11" t="str">
        <f t="shared" ca="1" si="19"/>
        <v>NO PRAZO</v>
      </c>
      <c r="N67" t="s">
        <v>32</v>
      </c>
      <c r="O67" s="29">
        <v>46285</v>
      </c>
      <c r="P67" s="1" t="s">
        <v>58</v>
      </c>
      <c r="Q67" s="1" t="s">
        <v>491</v>
      </c>
      <c r="R67" s="1" t="s">
        <v>493</v>
      </c>
      <c r="S67" s="1" t="s">
        <v>494</v>
      </c>
      <c r="T67" s="1" t="s">
        <v>220</v>
      </c>
      <c r="U67" s="1" t="s">
        <v>492</v>
      </c>
      <c r="V67" s="1" t="s">
        <v>227</v>
      </c>
      <c r="W67" s="1" t="s">
        <v>372</v>
      </c>
      <c r="X67" t="str">
        <f t="shared" si="20"/>
        <v>AG. FUNDIDO</v>
      </c>
    </row>
    <row r="68" spans="1:24" x14ac:dyDescent="0.25">
      <c r="A68" s="12">
        <v>2375</v>
      </c>
      <c r="B68" s="12">
        <v>17</v>
      </c>
      <c r="C68" s="13">
        <v>143135</v>
      </c>
      <c r="D68" s="13">
        <v>0</v>
      </c>
      <c r="E68" s="6" t="s">
        <v>713</v>
      </c>
      <c r="F68" s="6" t="s">
        <v>710</v>
      </c>
      <c r="G68" s="12">
        <v>1</v>
      </c>
      <c r="H68" s="16">
        <v>46325</v>
      </c>
      <c r="I68" s="1"/>
      <c r="J68" s="16">
        <v>46386</v>
      </c>
      <c r="K68" s="1"/>
      <c r="L68" s="11">
        <f ca="1">Tabela13[[#This Row],[Data Prev.
Entrega]]-TODAY()</f>
        <v>140</v>
      </c>
      <c r="M68" s="11" t="str">
        <f t="shared" ca="1" si="19"/>
        <v>NO PRAZO</v>
      </c>
      <c r="N68" t="s">
        <v>32</v>
      </c>
      <c r="O68" s="29">
        <v>46285</v>
      </c>
      <c r="P68" s="1" t="s">
        <v>58</v>
      </c>
      <c r="Q68" s="1" t="s">
        <v>491</v>
      </c>
      <c r="R68" s="1" t="s">
        <v>493</v>
      </c>
      <c r="S68" s="1" t="s">
        <v>494</v>
      </c>
      <c r="T68" s="1" t="s">
        <v>220</v>
      </c>
      <c r="U68" s="1" t="s">
        <v>492</v>
      </c>
      <c r="V68" s="1" t="s">
        <v>227</v>
      </c>
      <c r="W68" s="1" t="s">
        <v>372</v>
      </c>
      <c r="X68" t="str">
        <f t="shared" si="20"/>
        <v>AG. FUNDIDO</v>
      </c>
    </row>
    <row r="69" spans="1:24" x14ac:dyDescent="0.25">
      <c r="A69" s="12">
        <v>2375</v>
      </c>
      <c r="B69" s="12">
        <v>18</v>
      </c>
      <c r="C69" s="13">
        <v>143136</v>
      </c>
      <c r="D69" s="13">
        <v>0</v>
      </c>
      <c r="E69" s="6" t="s">
        <v>713</v>
      </c>
      <c r="F69" s="6" t="s">
        <v>711</v>
      </c>
      <c r="G69" s="12">
        <v>1</v>
      </c>
      <c r="H69" s="16">
        <v>46325</v>
      </c>
      <c r="I69" s="1"/>
      <c r="J69" s="16">
        <v>46386</v>
      </c>
      <c r="K69" s="1"/>
      <c r="L69" s="11">
        <f ca="1">Tabela13[[#This Row],[Data Prev.
Entrega]]-TODAY()</f>
        <v>140</v>
      </c>
      <c r="M69" s="11" t="str">
        <f t="shared" ca="1" si="19"/>
        <v>NO PRAZO</v>
      </c>
      <c r="N69" t="s">
        <v>32</v>
      </c>
      <c r="O69" s="29">
        <v>46285</v>
      </c>
      <c r="P69" s="1" t="s">
        <v>58</v>
      </c>
      <c r="Q69" s="1" t="s">
        <v>491</v>
      </c>
      <c r="R69" s="1" t="s">
        <v>493</v>
      </c>
      <c r="S69" s="1" t="s">
        <v>494</v>
      </c>
      <c r="T69" s="1" t="s">
        <v>220</v>
      </c>
      <c r="U69" s="1" t="s">
        <v>492</v>
      </c>
      <c r="V69" s="1" t="s">
        <v>227</v>
      </c>
      <c r="W69" s="1" t="s">
        <v>372</v>
      </c>
      <c r="X69" t="str">
        <f t="shared" si="20"/>
        <v>AG. FUNDIDO</v>
      </c>
    </row>
    <row r="70" spans="1:24" x14ac:dyDescent="0.25">
      <c r="A70" s="12">
        <v>2375</v>
      </c>
      <c r="B70" s="12">
        <v>19</v>
      </c>
      <c r="C70" s="13">
        <v>143083</v>
      </c>
      <c r="D70" s="13">
        <v>0</v>
      </c>
      <c r="E70" s="6" t="s">
        <v>713</v>
      </c>
      <c r="F70" s="6" t="s">
        <v>712</v>
      </c>
      <c r="G70" s="12">
        <v>1</v>
      </c>
      <c r="H70" s="16">
        <v>46325</v>
      </c>
      <c r="I70" s="1"/>
      <c r="J70" s="16">
        <v>46386</v>
      </c>
      <c r="K70" s="1"/>
      <c r="L70" s="11">
        <f ca="1">Tabela13[[#This Row],[Data Prev.
Entrega]]-TODAY()</f>
        <v>140</v>
      </c>
      <c r="M70" s="11" t="str">
        <f t="shared" ca="1" si="19"/>
        <v>NO PRAZO</v>
      </c>
      <c r="N70" t="s">
        <v>32</v>
      </c>
      <c r="O70" s="29">
        <v>46285</v>
      </c>
      <c r="P70" s="1" t="s">
        <v>58</v>
      </c>
      <c r="Q70" s="1" t="s">
        <v>491</v>
      </c>
      <c r="R70" s="1" t="s">
        <v>493</v>
      </c>
      <c r="S70" s="1" t="s">
        <v>494</v>
      </c>
      <c r="T70" s="1" t="s">
        <v>220</v>
      </c>
      <c r="U70" s="1" t="s">
        <v>492</v>
      </c>
      <c r="V70" s="1" t="s">
        <v>227</v>
      </c>
      <c r="W70" s="1" t="s">
        <v>372</v>
      </c>
      <c r="X70" t="str">
        <f t="shared" si="20"/>
        <v>AG. FUNDIDO</v>
      </c>
    </row>
    <row r="71" spans="1:24" x14ac:dyDescent="0.25">
      <c r="A71" s="12">
        <v>2375</v>
      </c>
      <c r="B71" s="12">
        <v>20</v>
      </c>
      <c r="C71" s="13">
        <v>143083</v>
      </c>
      <c r="D71" s="13">
        <v>0</v>
      </c>
      <c r="E71" s="6" t="s">
        <v>713</v>
      </c>
      <c r="F71" s="6" t="s">
        <v>712</v>
      </c>
      <c r="G71" s="12">
        <v>1</v>
      </c>
      <c r="H71" s="16">
        <v>46325</v>
      </c>
      <c r="I71" s="1"/>
      <c r="J71" s="16">
        <v>46386</v>
      </c>
      <c r="K71" s="1"/>
      <c r="L71" s="11">
        <f ca="1">Tabela13[[#This Row],[Data Prev.
Entrega]]-TODAY()</f>
        <v>140</v>
      </c>
      <c r="M71" s="11" t="str">
        <f t="shared" ca="1" si="19"/>
        <v>NO PRAZO</v>
      </c>
      <c r="N71" t="s">
        <v>32</v>
      </c>
      <c r="O71" s="29">
        <v>46285</v>
      </c>
      <c r="P71" s="1" t="s">
        <v>58</v>
      </c>
      <c r="Q71" s="1" t="s">
        <v>491</v>
      </c>
      <c r="R71" s="1" t="s">
        <v>493</v>
      </c>
      <c r="S71" s="1" t="s">
        <v>494</v>
      </c>
      <c r="T71" s="1" t="s">
        <v>220</v>
      </c>
      <c r="U71" s="1" t="s">
        <v>492</v>
      </c>
      <c r="V71" s="1" t="s">
        <v>227</v>
      </c>
      <c r="W71" s="1" t="s">
        <v>372</v>
      </c>
      <c r="X71" t="str">
        <f t="shared" si="20"/>
        <v>AG. FUNDIDO</v>
      </c>
    </row>
    <row r="72" spans="1:24" x14ac:dyDescent="0.25">
      <c r="A72" s="12">
        <v>2375</v>
      </c>
      <c r="B72" s="12">
        <v>20</v>
      </c>
      <c r="C72" s="13">
        <v>143083</v>
      </c>
      <c r="D72" s="13">
        <v>0</v>
      </c>
      <c r="E72" s="6" t="s">
        <v>713</v>
      </c>
      <c r="F72" s="6" t="s">
        <v>712</v>
      </c>
      <c r="G72" s="12">
        <v>1</v>
      </c>
      <c r="H72" s="16">
        <v>46325</v>
      </c>
      <c r="I72" s="1"/>
      <c r="J72" s="16">
        <v>46386</v>
      </c>
      <c r="K72" s="1"/>
      <c r="L72" s="11">
        <f ca="1">Tabela13[[#This Row],[Data Prev.
Entrega]]-TODAY()</f>
        <v>140</v>
      </c>
      <c r="M72" s="11" t="str">
        <f t="shared" ca="1" si="19"/>
        <v>NO PRAZO</v>
      </c>
      <c r="N72" t="s">
        <v>32</v>
      </c>
      <c r="O72" s="29">
        <v>46285</v>
      </c>
      <c r="P72" s="1" t="s">
        <v>58</v>
      </c>
      <c r="Q72" s="1" t="s">
        <v>491</v>
      </c>
      <c r="R72" s="1" t="s">
        <v>493</v>
      </c>
      <c r="S72" s="1" t="s">
        <v>494</v>
      </c>
      <c r="T72" s="1" t="s">
        <v>220</v>
      </c>
      <c r="U72" s="1" t="s">
        <v>492</v>
      </c>
      <c r="V72" s="1" t="s">
        <v>227</v>
      </c>
      <c r="W72" s="1" t="s">
        <v>372</v>
      </c>
      <c r="X72" t="str">
        <f t="shared" si="20"/>
        <v>AG. FUNDIDO</v>
      </c>
    </row>
    <row r="73" spans="1:24" x14ac:dyDescent="0.25">
      <c r="A73" s="12">
        <v>2375</v>
      </c>
      <c r="B73" s="12">
        <v>21</v>
      </c>
      <c r="C73" s="13">
        <v>143083</v>
      </c>
      <c r="D73" s="13">
        <v>0</v>
      </c>
      <c r="E73" s="6" t="s">
        <v>713</v>
      </c>
      <c r="F73" s="6" t="s">
        <v>712</v>
      </c>
      <c r="G73" s="12">
        <v>1</v>
      </c>
      <c r="H73" s="16">
        <v>46325</v>
      </c>
      <c r="I73" s="1"/>
      <c r="J73" s="16">
        <v>46386</v>
      </c>
      <c r="K73" s="1"/>
      <c r="L73" s="11">
        <f ca="1">Tabela13[[#This Row],[Data Prev.
Entrega]]-TODAY()</f>
        <v>140</v>
      </c>
      <c r="M73" s="11" t="str">
        <f t="shared" ca="1" si="19"/>
        <v>NO PRAZO</v>
      </c>
      <c r="N73" t="s">
        <v>32</v>
      </c>
      <c r="O73" s="29">
        <v>46285</v>
      </c>
      <c r="P73" s="1" t="s">
        <v>58</v>
      </c>
      <c r="Q73" s="1" t="s">
        <v>491</v>
      </c>
      <c r="R73" s="1" t="s">
        <v>493</v>
      </c>
      <c r="S73" s="1" t="s">
        <v>494</v>
      </c>
      <c r="T73" s="1" t="s">
        <v>220</v>
      </c>
      <c r="U73" s="1" t="s">
        <v>492</v>
      </c>
      <c r="V73" s="1" t="s">
        <v>227</v>
      </c>
      <c r="W73" s="1" t="s">
        <v>372</v>
      </c>
      <c r="X73" t="str">
        <f t="shared" si="20"/>
        <v>AG. FUNDIDO</v>
      </c>
    </row>
    <row r="74" spans="1:24" x14ac:dyDescent="0.25">
      <c r="A74" s="12">
        <v>2375</v>
      </c>
      <c r="B74" s="12">
        <v>22</v>
      </c>
      <c r="C74" s="13">
        <v>143083</v>
      </c>
      <c r="D74" s="13">
        <v>0</v>
      </c>
      <c r="E74" s="6" t="s">
        <v>713</v>
      </c>
      <c r="F74" s="6" t="s">
        <v>712</v>
      </c>
      <c r="G74" s="12">
        <v>1</v>
      </c>
      <c r="H74" s="16">
        <v>46325</v>
      </c>
      <c r="I74" s="1"/>
      <c r="J74" s="16">
        <v>46386</v>
      </c>
      <c r="K74" s="1"/>
      <c r="L74" s="11">
        <f ca="1">Tabela13[[#This Row],[Data Prev.
Entrega]]-TODAY()</f>
        <v>140</v>
      </c>
      <c r="M74" s="11" t="str">
        <f t="shared" ca="1" si="19"/>
        <v>NO PRAZO</v>
      </c>
      <c r="N74" t="s">
        <v>32</v>
      </c>
      <c r="O74" s="29">
        <v>46285</v>
      </c>
      <c r="P74" s="1" t="s">
        <v>58</v>
      </c>
      <c r="Q74" s="1" t="s">
        <v>491</v>
      </c>
      <c r="R74" s="1" t="s">
        <v>493</v>
      </c>
      <c r="S74" s="1" t="s">
        <v>494</v>
      </c>
      <c r="T74" s="1" t="s">
        <v>220</v>
      </c>
      <c r="U74" s="1" t="s">
        <v>492</v>
      </c>
      <c r="V74" s="1" t="s">
        <v>227</v>
      </c>
      <c r="W74" s="1" t="s">
        <v>372</v>
      </c>
      <c r="X74" t="str">
        <f t="shared" si="20"/>
        <v>AG. FUNDIDO</v>
      </c>
    </row>
    <row r="75" spans="1:24" x14ac:dyDescent="0.25">
      <c r="A75" s="12">
        <v>2393</v>
      </c>
      <c r="B75" s="12">
        <v>10</v>
      </c>
      <c r="C75" s="12">
        <v>157114</v>
      </c>
      <c r="D75" s="12">
        <v>0</v>
      </c>
      <c r="E75" s="6" t="s">
        <v>598</v>
      </c>
      <c r="F75" s="6" t="s">
        <v>714</v>
      </c>
      <c r="G75" s="12">
        <v>1</v>
      </c>
      <c r="H75" s="16">
        <v>46325</v>
      </c>
      <c r="I75" s="1"/>
      <c r="J75" s="16">
        <v>46386</v>
      </c>
      <c r="K75" s="1"/>
      <c r="L75" s="11">
        <f ca="1">Tabela13[[#This Row],[Data Prev.
Entrega]]-TODAY()</f>
        <v>140</v>
      </c>
      <c r="M75" s="11" t="str">
        <f t="shared" ref="M75:M80" ca="1" si="21">IF(L75&lt;0,"ATRASADO",IF(L75&lt;=15,"ATENÇÃO","NO PRAZO"))</f>
        <v>NO PRAZO</v>
      </c>
      <c r="N75" t="s">
        <v>32</v>
      </c>
      <c r="O75" s="29">
        <v>46285</v>
      </c>
      <c r="P75" s="1" t="s">
        <v>58</v>
      </c>
      <c r="Q75" s="1" t="s">
        <v>491</v>
      </c>
      <c r="R75" s="1" t="s">
        <v>493</v>
      </c>
      <c r="S75" s="1" t="s">
        <v>494</v>
      </c>
      <c r="T75" s="1" t="s">
        <v>220</v>
      </c>
      <c r="U75" s="1" t="s">
        <v>492</v>
      </c>
      <c r="V75" s="1" t="s">
        <v>227</v>
      </c>
      <c r="W75" s="1" t="s">
        <v>372</v>
      </c>
      <c r="X75" t="str">
        <f t="shared" ref="X75:X80" si="22">IF(I75="","AG. FUNDIDO",IF(W75="OK","LIBERADA","EM USINAGEM"))</f>
        <v>AG. FUNDIDO</v>
      </c>
    </row>
    <row r="76" spans="1:24" x14ac:dyDescent="0.25">
      <c r="A76" s="12">
        <v>2393</v>
      </c>
      <c r="B76" s="12">
        <v>11</v>
      </c>
      <c r="C76" s="12">
        <v>157114</v>
      </c>
      <c r="D76" s="12">
        <v>0</v>
      </c>
      <c r="E76" s="6" t="s">
        <v>598</v>
      </c>
      <c r="F76" s="6" t="s">
        <v>714</v>
      </c>
      <c r="G76" s="12">
        <v>1</v>
      </c>
      <c r="H76" s="16">
        <v>46325</v>
      </c>
      <c r="I76" s="1"/>
      <c r="J76" s="16">
        <v>46386</v>
      </c>
      <c r="K76" s="1"/>
      <c r="L76" s="11">
        <f ca="1">Tabela13[[#This Row],[Data Prev.
Entrega]]-TODAY()</f>
        <v>140</v>
      </c>
      <c r="M76" s="11" t="str">
        <f t="shared" ca="1" si="21"/>
        <v>NO PRAZO</v>
      </c>
      <c r="N76" t="s">
        <v>32</v>
      </c>
      <c r="O76" s="29">
        <v>46285</v>
      </c>
      <c r="P76" s="1" t="s">
        <v>58</v>
      </c>
      <c r="Q76" s="1" t="s">
        <v>491</v>
      </c>
      <c r="R76" s="1" t="s">
        <v>493</v>
      </c>
      <c r="S76" s="1" t="s">
        <v>494</v>
      </c>
      <c r="T76" s="1" t="s">
        <v>220</v>
      </c>
      <c r="U76" s="1" t="s">
        <v>492</v>
      </c>
      <c r="V76" s="1" t="s">
        <v>227</v>
      </c>
      <c r="W76" s="1" t="s">
        <v>372</v>
      </c>
      <c r="X76" t="str">
        <f t="shared" si="22"/>
        <v>AG. FUNDIDO</v>
      </c>
    </row>
    <row r="77" spans="1:24" x14ac:dyDescent="0.25">
      <c r="A77" s="12">
        <v>2393</v>
      </c>
      <c r="B77" s="12">
        <v>12</v>
      </c>
      <c r="C77" s="12">
        <v>157176</v>
      </c>
      <c r="D77" s="12">
        <v>0</v>
      </c>
      <c r="E77" s="6" t="s">
        <v>598</v>
      </c>
      <c r="F77" s="6" t="s">
        <v>715</v>
      </c>
      <c r="G77" s="12">
        <v>1</v>
      </c>
      <c r="H77" s="16">
        <v>46325</v>
      </c>
      <c r="I77" s="1"/>
      <c r="J77" s="16">
        <v>46386</v>
      </c>
      <c r="K77" s="1"/>
      <c r="L77" s="11">
        <f ca="1">Tabela13[[#This Row],[Data Prev.
Entrega]]-TODAY()</f>
        <v>140</v>
      </c>
      <c r="M77" s="11" t="str">
        <f t="shared" ca="1" si="21"/>
        <v>NO PRAZO</v>
      </c>
      <c r="N77" t="s">
        <v>32</v>
      </c>
      <c r="O77" s="29">
        <v>46285</v>
      </c>
      <c r="P77" s="1" t="s">
        <v>58</v>
      </c>
      <c r="Q77" s="1" t="s">
        <v>491</v>
      </c>
      <c r="R77" s="1" t="s">
        <v>493</v>
      </c>
      <c r="S77" s="1" t="s">
        <v>494</v>
      </c>
      <c r="T77" s="1" t="s">
        <v>220</v>
      </c>
      <c r="U77" s="1" t="s">
        <v>492</v>
      </c>
      <c r="V77" s="1" t="s">
        <v>227</v>
      </c>
      <c r="W77" s="1" t="s">
        <v>372</v>
      </c>
      <c r="X77" t="str">
        <f t="shared" si="22"/>
        <v>AG. FUNDIDO</v>
      </c>
    </row>
    <row r="78" spans="1:24" x14ac:dyDescent="0.25">
      <c r="A78" s="12">
        <v>2393</v>
      </c>
      <c r="B78" s="12">
        <v>28</v>
      </c>
      <c r="C78" s="12">
        <v>157177</v>
      </c>
      <c r="D78" s="12">
        <v>0</v>
      </c>
      <c r="E78" s="6" t="s">
        <v>598</v>
      </c>
      <c r="F78" s="6" t="s">
        <v>716</v>
      </c>
      <c r="G78" s="12">
        <v>1</v>
      </c>
      <c r="H78" s="16">
        <v>46325</v>
      </c>
      <c r="I78" s="1"/>
      <c r="J78" s="16">
        <v>46386</v>
      </c>
      <c r="K78" s="1"/>
      <c r="L78" s="11">
        <f ca="1">Tabela13[[#This Row],[Data Prev.
Entrega]]-TODAY()</f>
        <v>140</v>
      </c>
      <c r="M78" s="11" t="str">
        <f t="shared" ca="1" si="21"/>
        <v>NO PRAZO</v>
      </c>
      <c r="N78" t="s">
        <v>32</v>
      </c>
      <c r="O78" s="29">
        <v>46285</v>
      </c>
      <c r="P78" s="1" t="s">
        <v>58</v>
      </c>
      <c r="Q78" s="1" t="s">
        <v>491</v>
      </c>
      <c r="R78" s="1" t="s">
        <v>493</v>
      </c>
      <c r="S78" s="1" t="s">
        <v>494</v>
      </c>
      <c r="T78" s="1" t="s">
        <v>220</v>
      </c>
      <c r="U78" s="1" t="s">
        <v>492</v>
      </c>
      <c r="V78" s="1" t="s">
        <v>227</v>
      </c>
      <c r="W78" s="1" t="s">
        <v>372</v>
      </c>
      <c r="X78" t="str">
        <f t="shared" si="22"/>
        <v>AG. FUNDIDO</v>
      </c>
    </row>
    <row r="79" spans="1:24" x14ac:dyDescent="0.25">
      <c r="A79" s="12">
        <v>2393</v>
      </c>
      <c r="B79" s="12">
        <v>29</v>
      </c>
      <c r="C79" s="12">
        <v>157178</v>
      </c>
      <c r="D79" s="12">
        <v>0</v>
      </c>
      <c r="E79" s="6" t="s">
        <v>598</v>
      </c>
      <c r="F79" s="6" t="s">
        <v>717</v>
      </c>
      <c r="G79" s="12">
        <v>1</v>
      </c>
      <c r="H79" s="16">
        <v>46325</v>
      </c>
      <c r="I79" s="1"/>
      <c r="J79" s="16">
        <v>46386</v>
      </c>
      <c r="K79" s="1"/>
      <c r="L79" s="11">
        <f ca="1">Tabela13[[#This Row],[Data Prev.
Entrega]]-TODAY()</f>
        <v>140</v>
      </c>
      <c r="M79" s="11" t="str">
        <f t="shared" ca="1" si="21"/>
        <v>NO PRAZO</v>
      </c>
      <c r="N79" t="s">
        <v>32</v>
      </c>
      <c r="O79" s="29">
        <v>46285</v>
      </c>
      <c r="P79" s="1" t="s">
        <v>58</v>
      </c>
      <c r="Q79" s="1" t="s">
        <v>491</v>
      </c>
      <c r="R79" s="1" t="s">
        <v>493</v>
      </c>
      <c r="S79" s="1" t="s">
        <v>494</v>
      </c>
      <c r="T79" s="1" t="s">
        <v>220</v>
      </c>
      <c r="U79" s="1" t="s">
        <v>492</v>
      </c>
      <c r="V79" s="1" t="s">
        <v>227</v>
      </c>
      <c r="W79" s="1" t="s">
        <v>372</v>
      </c>
      <c r="X79" t="str">
        <f t="shared" si="22"/>
        <v>AG. FUNDIDO</v>
      </c>
    </row>
    <row r="80" spans="1:24" x14ac:dyDescent="0.25">
      <c r="A80" s="12">
        <v>2393</v>
      </c>
      <c r="B80" s="12">
        <v>30</v>
      </c>
      <c r="C80" s="12">
        <v>157179</v>
      </c>
      <c r="D80" s="12">
        <v>0</v>
      </c>
      <c r="E80" s="6" t="s">
        <v>598</v>
      </c>
      <c r="F80" s="6" t="s">
        <v>718</v>
      </c>
      <c r="G80" s="12">
        <v>1</v>
      </c>
      <c r="H80" s="16">
        <v>46325</v>
      </c>
      <c r="I80" s="1"/>
      <c r="J80" s="16">
        <v>46386</v>
      </c>
      <c r="K80" s="1"/>
      <c r="L80" s="11">
        <f ca="1">Tabela13[[#This Row],[Data Prev.
Entrega]]-TODAY()</f>
        <v>140</v>
      </c>
      <c r="M80" s="11" t="str">
        <f t="shared" ca="1" si="21"/>
        <v>NO PRAZO</v>
      </c>
      <c r="N80" t="s">
        <v>32</v>
      </c>
      <c r="O80" s="29">
        <v>46285</v>
      </c>
      <c r="P80" s="1" t="s">
        <v>58</v>
      </c>
      <c r="Q80" s="1" t="s">
        <v>491</v>
      </c>
      <c r="R80" s="1" t="s">
        <v>493</v>
      </c>
      <c r="S80" s="1" t="s">
        <v>494</v>
      </c>
      <c r="T80" s="1" t="s">
        <v>220</v>
      </c>
      <c r="U80" s="1" t="s">
        <v>492</v>
      </c>
      <c r="V80" s="1" t="s">
        <v>227</v>
      </c>
      <c r="W80" s="1" t="s">
        <v>372</v>
      </c>
      <c r="X80" t="str">
        <f t="shared" si="22"/>
        <v>AG. FUNDIDO</v>
      </c>
    </row>
    <row r="81" spans="1:24" x14ac:dyDescent="0.25">
      <c r="A81" s="12">
        <v>2397</v>
      </c>
      <c r="B81" s="12">
        <v>1</v>
      </c>
      <c r="C81" s="12">
        <v>27692</v>
      </c>
      <c r="D81" s="12">
        <v>1</v>
      </c>
      <c r="E81" s="6" t="s">
        <v>720</v>
      </c>
      <c r="F81" s="6" t="s">
        <v>721</v>
      </c>
      <c r="G81" s="12">
        <v>1</v>
      </c>
      <c r="H81" s="16">
        <v>46309</v>
      </c>
      <c r="I81" s="1"/>
      <c r="J81" s="16">
        <v>46344</v>
      </c>
      <c r="K81" s="1"/>
      <c r="L81" s="11">
        <f ca="1">Tabela13[[#This Row],[Data Prev.
Entrega]]-TODAY()</f>
        <v>98</v>
      </c>
      <c r="M81" s="11" t="str">
        <f ca="1">IF(L81&lt;0,"ATRASADO",IF(L81&lt;=15,"ATENÇÃO","NO PRAZO"))</f>
        <v>NO PRAZO</v>
      </c>
      <c r="N81" t="s">
        <v>32</v>
      </c>
      <c r="O81" s="29">
        <v>46285</v>
      </c>
      <c r="P81" s="1" t="s">
        <v>58</v>
      </c>
      <c r="Q81" s="1" t="s">
        <v>491</v>
      </c>
      <c r="R81" s="1" t="s">
        <v>493</v>
      </c>
      <c r="S81" s="1" t="s">
        <v>494</v>
      </c>
      <c r="T81" s="1" t="s">
        <v>220</v>
      </c>
      <c r="U81" s="1" t="s">
        <v>492</v>
      </c>
      <c r="V81" s="1" t="s">
        <v>227</v>
      </c>
      <c r="W81" s="1" t="s">
        <v>372</v>
      </c>
      <c r="X81" t="str">
        <f>IF(I81="","AG. FUNDIDO",IF(W81="OK","LIBERADA","EM USINAGEM"))</f>
        <v>AG. FUNDIDO</v>
      </c>
    </row>
    <row r="82" spans="1:24" x14ac:dyDescent="0.25">
      <c r="A82" s="12">
        <v>2397</v>
      </c>
      <c r="B82" s="12">
        <v>2</v>
      </c>
      <c r="C82" s="12">
        <v>27692</v>
      </c>
      <c r="D82" s="12">
        <v>2</v>
      </c>
      <c r="E82" s="6" t="s">
        <v>720</v>
      </c>
      <c r="F82" s="6" t="s">
        <v>722</v>
      </c>
      <c r="G82" s="12">
        <v>1</v>
      </c>
      <c r="H82" s="16">
        <v>46309</v>
      </c>
      <c r="I82" s="1"/>
      <c r="J82" s="16">
        <v>46344</v>
      </c>
      <c r="K82" s="1"/>
      <c r="L82" s="11">
        <f ca="1">Tabela13[[#This Row],[Data Prev.
Entrega]]-TODAY()</f>
        <v>98</v>
      </c>
      <c r="M82" s="11" t="str">
        <f t="shared" ref="M82:M84" ca="1" si="23">IF(L82&lt;0,"ATRASADO",IF(L82&lt;=15,"ATENÇÃO","NO PRAZO"))</f>
        <v>NO PRAZO</v>
      </c>
      <c r="N82" t="s">
        <v>32</v>
      </c>
      <c r="O82" s="29">
        <v>46285</v>
      </c>
      <c r="P82" s="1" t="s">
        <v>58</v>
      </c>
      <c r="Q82" s="1" t="s">
        <v>491</v>
      </c>
      <c r="R82" s="1" t="s">
        <v>493</v>
      </c>
      <c r="S82" s="1" t="s">
        <v>494</v>
      </c>
      <c r="T82" s="1" t="s">
        <v>220</v>
      </c>
      <c r="U82" s="1" t="s">
        <v>492</v>
      </c>
      <c r="V82" s="1" t="s">
        <v>227</v>
      </c>
      <c r="W82" s="1" t="s">
        <v>372</v>
      </c>
      <c r="X82" t="str">
        <f t="shared" ref="X82:X84" si="24">IF(I82="","AG. FUNDIDO",IF(W82="OK","LIBERADA","EM USINAGEM"))</f>
        <v>AG. FUNDIDO</v>
      </c>
    </row>
    <row r="83" spans="1:24" x14ac:dyDescent="0.25">
      <c r="A83" s="12">
        <v>2397</v>
      </c>
      <c r="B83" s="12">
        <v>3</v>
      </c>
      <c r="C83" s="12">
        <v>27692</v>
      </c>
      <c r="D83" s="12">
        <v>3</v>
      </c>
      <c r="E83" s="6" t="s">
        <v>720</v>
      </c>
      <c r="F83" s="6" t="s">
        <v>723</v>
      </c>
      <c r="G83" s="12">
        <v>1</v>
      </c>
      <c r="H83" s="16">
        <v>46309</v>
      </c>
      <c r="I83" s="1"/>
      <c r="J83" s="16">
        <v>46344</v>
      </c>
      <c r="K83" s="1"/>
      <c r="L83" s="11">
        <f ca="1">Tabela13[[#This Row],[Data Prev.
Entrega]]-TODAY()</f>
        <v>98</v>
      </c>
      <c r="M83" s="11" t="str">
        <f t="shared" ca="1" si="23"/>
        <v>NO PRAZO</v>
      </c>
      <c r="N83" t="s">
        <v>32</v>
      </c>
      <c r="O83" s="29">
        <v>46285</v>
      </c>
      <c r="P83" s="1" t="s">
        <v>58</v>
      </c>
      <c r="Q83" s="1" t="s">
        <v>491</v>
      </c>
      <c r="R83" s="1" t="s">
        <v>493</v>
      </c>
      <c r="S83" s="1" t="s">
        <v>494</v>
      </c>
      <c r="T83" s="1" t="s">
        <v>220</v>
      </c>
      <c r="U83" s="1" t="s">
        <v>492</v>
      </c>
      <c r="V83" s="1" t="s">
        <v>227</v>
      </c>
      <c r="W83" s="1" t="s">
        <v>372</v>
      </c>
      <c r="X83" t="str">
        <f t="shared" si="24"/>
        <v>AG. FUNDIDO</v>
      </c>
    </row>
    <row r="84" spans="1:24" x14ac:dyDescent="0.25">
      <c r="A84" s="12">
        <v>2397</v>
      </c>
      <c r="B84" s="12">
        <v>4</v>
      </c>
      <c r="C84" s="12">
        <v>27692</v>
      </c>
      <c r="D84" s="12">
        <v>4</v>
      </c>
      <c r="E84" s="6" t="s">
        <v>720</v>
      </c>
      <c r="F84" s="6" t="s">
        <v>723</v>
      </c>
      <c r="G84" s="12">
        <v>1</v>
      </c>
      <c r="H84" s="16">
        <v>46309</v>
      </c>
      <c r="I84" s="1"/>
      <c r="J84" s="16">
        <v>46344</v>
      </c>
      <c r="K84" s="1"/>
      <c r="L84" s="11">
        <f ca="1">Tabela13[[#This Row],[Data Prev.
Entrega]]-TODAY()</f>
        <v>98</v>
      </c>
      <c r="M84" s="11" t="str">
        <f t="shared" ca="1" si="23"/>
        <v>NO PRAZO</v>
      </c>
      <c r="N84" t="s">
        <v>32</v>
      </c>
      <c r="O84" s="29">
        <v>46285</v>
      </c>
      <c r="P84" s="1" t="s">
        <v>58</v>
      </c>
      <c r="Q84" s="1" t="s">
        <v>491</v>
      </c>
      <c r="R84" s="1" t="s">
        <v>493</v>
      </c>
      <c r="S84" s="1" t="s">
        <v>494</v>
      </c>
      <c r="T84" s="1" t="s">
        <v>220</v>
      </c>
      <c r="U84" s="1" t="s">
        <v>492</v>
      </c>
      <c r="V84" s="1" t="s">
        <v>227</v>
      </c>
      <c r="W84" s="1" t="s">
        <v>372</v>
      </c>
      <c r="X84" t="str">
        <f t="shared" si="24"/>
        <v>AG. FUNDIDO</v>
      </c>
    </row>
    <row r="85" spans="1:24" x14ac:dyDescent="0.25">
      <c r="A85" s="12">
        <v>2396</v>
      </c>
      <c r="B85" s="12">
        <v>1</v>
      </c>
      <c r="C85" s="12">
        <v>27691</v>
      </c>
      <c r="D85" s="12">
        <v>1</v>
      </c>
      <c r="E85" s="6" t="s">
        <v>548</v>
      </c>
      <c r="F85" s="6" t="s">
        <v>724</v>
      </c>
      <c r="G85" s="12">
        <v>1</v>
      </c>
      <c r="H85" s="16">
        <v>46309</v>
      </c>
      <c r="I85" s="1"/>
      <c r="J85" s="16">
        <v>46344</v>
      </c>
      <c r="K85" s="1"/>
      <c r="L85" s="11">
        <f ca="1">Tabela13[[#This Row],[Data Prev.
Entrega]]-TODAY()</f>
        <v>98</v>
      </c>
      <c r="M85" s="11" t="str">
        <f ca="1">IF(L85&lt;0,"ATRASADO",IF(L85&lt;=15,"ATENÇÃO","NO PRAZO"))</f>
        <v>NO PRAZO</v>
      </c>
      <c r="N85" t="s">
        <v>32</v>
      </c>
      <c r="O85" s="29">
        <v>46285</v>
      </c>
      <c r="P85" s="1" t="s">
        <v>58</v>
      </c>
      <c r="Q85" s="1" t="s">
        <v>491</v>
      </c>
      <c r="R85" s="1" t="s">
        <v>493</v>
      </c>
      <c r="S85" s="1" t="s">
        <v>494</v>
      </c>
      <c r="T85" s="1" t="s">
        <v>220</v>
      </c>
      <c r="U85" s="1" t="s">
        <v>492</v>
      </c>
      <c r="V85" s="1" t="s">
        <v>227</v>
      </c>
      <c r="W85" s="1" t="s">
        <v>372</v>
      </c>
      <c r="X85" t="str">
        <f>IF(I85="","AG. FUNDIDO",IF(W85="OK","LIBERADA","EM USINAGEM"))</f>
        <v>AG. FUNDIDO</v>
      </c>
    </row>
    <row r="86" spans="1:24" x14ac:dyDescent="0.25">
      <c r="A86" s="12">
        <v>2396</v>
      </c>
      <c r="B86" s="12">
        <v>2</v>
      </c>
      <c r="C86" s="12">
        <v>27691</v>
      </c>
      <c r="D86" s="12">
        <v>2</v>
      </c>
      <c r="E86" s="6" t="s">
        <v>548</v>
      </c>
      <c r="F86" s="6" t="s">
        <v>725</v>
      </c>
      <c r="G86" s="12">
        <v>1</v>
      </c>
      <c r="H86" s="16">
        <v>46309</v>
      </c>
      <c r="I86" s="1"/>
      <c r="J86" s="16">
        <v>46344</v>
      </c>
      <c r="K86" s="1"/>
      <c r="L86" s="11">
        <f ca="1">Tabela13[[#This Row],[Data Prev.
Entrega]]-TODAY()</f>
        <v>98</v>
      </c>
      <c r="M86" s="11" t="str">
        <f t="shared" ref="M86:M87" ca="1" si="25">IF(L86&lt;0,"ATRASADO",IF(L86&lt;=15,"ATENÇÃO","NO PRAZO"))</f>
        <v>NO PRAZO</v>
      </c>
      <c r="N86" t="s">
        <v>32</v>
      </c>
      <c r="O86" s="29">
        <v>46285</v>
      </c>
      <c r="P86" s="1" t="s">
        <v>58</v>
      </c>
      <c r="Q86" s="1" t="s">
        <v>491</v>
      </c>
      <c r="R86" s="1" t="s">
        <v>493</v>
      </c>
      <c r="S86" s="1" t="s">
        <v>494</v>
      </c>
      <c r="T86" s="1" t="s">
        <v>220</v>
      </c>
      <c r="U86" s="1" t="s">
        <v>492</v>
      </c>
      <c r="V86" s="1" t="s">
        <v>227</v>
      </c>
      <c r="W86" s="1" t="s">
        <v>372</v>
      </c>
      <c r="X86" t="str">
        <f t="shared" ref="X86:X87" si="26">IF(I86="","AG. FUNDIDO",IF(W86="OK","LIBERADA","EM USINAGEM"))</f>
        <v>AG. FUNDIDO</v>
      </c>
    </row>
    <row r="87" spans="1:24" x14ac:dyDescent="0.25">
      <c r="A87" s="12">
        <v>2396</v>
      </c>
      <c r="B87" s="12">
        <v>3</v>
      </c>
      <c r="C87" s="12">
        <v>27691</v>
      </c>
      <c r="D87" s="12">
        <v>3</v>
      </c>
      <c r="E87" s="6" t="s">
        <v>548</v>
      </c>
      <c r="F87" s="6" t="s">
        <v>726</v>
      </c>
      <c r="G87" s="12">
        <v>1</v>
      </c>
      <c r="H87" s="16">
        <v>46309</v>
      </c>
      <c r="I87" s="1"/>
      <c r="J87" s="16">
        <v>46344</v>
      </c>
      <c r="K87" s="1"/>
      <c r="L87" s="11">
        <f ca="1">Tabela13[[#This Row],[Data Prev.
Entrega]]-TODAY()</f>
        <v>98</v>
      </c>
      <c r="M87" s="11" t="str">
        <f t="shared" ca="1" si="25"/>
        <v>NO PRAZO</v>
      </c>
      <c r="N87" t="s">
        <v>32</v>
      </c>
      <c r="O87" s="29">
        <v>46285</v>
      </c>
      <c r="P87" s="1" t="s">
        <v>58</v>
      </c>
      <c r="Q87" s="1" t="s">
        <v>491</v>
      </c>
      <c r="R87" s="1" t="s">
        <v>493</v>
      </c>
      <c r="S87" s="1" t="s">
        <v>494</v>
      </c>
      <c r="T87" s="1" t="s">
        <v>220</v>
      </c>
      <c r="U87" s="1" t="s">
        <v>492</v>
      </c>
      <c r="V87" s="1" t="s">
        <v>227</v>
      </c>
      <c r="W87" s="1" t="s">
        <v>372</v>
      </c>
      <c r="X87" t="str">
        <f t="shared" si="26"/>
        <v>AG. FUNDIDO</v>
      </c>
    </row>
    <row r="88" spans="1:24" x14ac:dyDescent="0.25">
      <c r="F88" t="s">
        <v>719</v>
      </c>
      <c r="L88" s="11"/>
      <c r="M88" s="11"/>
    </row>
    <row r="89" spans="1:24" x14ac:dyDescent="0.25">
      <c r="L89" s="11"/>
      <c r="M89" s="11"/>
    </row>
    <row r="90" spans="1:24" x14ac:dyDescent="0.25">
      <c r="L90" s="11"/>
      <c r="M90" s="11"/>
    </row>
    <row r="91" spans="1:24" x14ac:dyDescent="0.25">
      <c r="L91" s="11"/>
      <c r="M91" s="11"/>
    </row>
    <row r="92" spans="1:24" x14ac:dyDescent="0.25">
      <c r="L92" s="11"/>
      <c r="M92" s="11"/>
    </row>
    <row r="93" spans="1:24" x14ac:dyDescent="0.25">
      <c r="L93" s="11"/>
      <c r="M93" s="11"/>
    </row>
    <row r="94" spans="1:24" x14ac:dyDescent="0.25">
      <c r="L94" s="11"/>
      <c r="M94" s="11"/>
    </row>
    <row r="95" spans="1:24" x14ac:dyDescent="0.25">
      <c r="L95" s="11"/>
      <c r="M95" s="11"/>
    </row>
    <row r="96" spans="1:24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7"/>
  <sheetViews>
    <sheetView topLeftCell="A48" workbookViewId="0">
      <selection activeCell="D98" sqref="D98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570</v>
      </c>
      <c r="D58" s="81" t="s">
        <v>568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570</v>
      </c>
      <c r="D59" s="81" t="s">
        <v>568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570</v>
      </c>
      <c r="D60" s="81" t="s">
        <v>579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570</v>
      </c>
      <c r="D61" s="81" t="s">
        <v>580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570</v>
      </c>
      <c r="D62" s="81" t="s">
        <v>581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570</v>
      </c>
      <c r="D63" s="81" t="s">
        <v>582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570</v>
      </c>
      <c r="D64" s="81" t="s">
        <v>583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570</v>
      </c>
      <c r="D65" s="81" t="s">
        <v>584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622</v>
      </c>
      <c r="E66" s="81">
        <v>1</v>
      </c>
      <c r="F66" s="81" t="s">
        <v>587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628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626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623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628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627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624</v>
      </c>
      <c r="E68" s="81">
        <v>1</v>
      </c>
      <c r="F68" s="81" t="s">
        <v>587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607</v>
      </c>
      <c r="U68" s="81" t="s">
        <v>625</v>
      </c>
    </row>
    <row r="69" spans="1:21" x14ac:dyDescent="0.25">
      <c r="A69" s="85">
        <v>1040</v>
      </c>
      <c r="B69" s="85" t="s">
        <v>63</v>
      </c>
      <c r="C69" s="81" t="s">
        <v>567</v>
      </c>
      <c r="D69" s="81" t="s">
        <v>568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567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567</v>
      </c>
      <c r="D71" s="81" t="s">
        <v>632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567</v>
      </c>
      <c r="D72" s="81" t="s">
        <v>634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567</v>
      </c>
      <c r="D73" s="81" t="s">
        <v>633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567</v>
      </c>
      <c r="D74" s="51" t="s">
        <v>654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567</v>
      </c>
      <c r="D75" s="51" t="s">
        <v>655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567</v>
      </c>
      <c r="D76" s="51" t="s">
        <v>656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567</v>
      </c>
      <c r="D77" s="51" t="s">
        <v>657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567</v>
      </c>
      <c r="D78" s="51" t="s">
        <v>658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567</v>
      </c>
      <c r="D79" s="51" t="s">
        <v>659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567</v>
      </c>
      <c r="D80" s="51" t="s">
        <v>660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567</v>
      </c>
      <c r="D81" s="51" t="s">
        <v>661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567</v>
      </c>
      <c r="D82" s="51" t="s">
        <v>662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567</v>
      </c>
      <c r="D83" s="51" t="s">
        <v>663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567</v>
      </c>
      <c r="D84" s="51" t="s">
        <v>664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567</v>
      </c>
      <c r="D85" s="51" t="s">
        <v>665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567</v>
      </c>
      <c r="D86" s="51" t="s">
        <v>666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567</v>
      </c>
      <c r="D87" s="51" t="s">
        <v>667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567</v>
      </c>
      <c r="D88" s="51" t="s">
        <v>668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567</v>
      </c>
      <c r="D89" s="51" t="s">
        <v>669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567</v>
      </c>
      <c r="D90" s="51" t="s">
        <v>670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567</v>
      </c>
      <c r="D91" s="51" t="s">
        <v>671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  <row r="92" spans="1:21" x14ac:dyDescent="0.25">
      <c r="A92" s="85">
        <v>1055</v>
      </c>
      <c r="B92" s="85" t="s">
        <v>63</v>
      </c>
      <c r="C92" s="81" t="s">
        <v>678</v>
      </c>
      <c r="D92" s="51" t="s">
        <v>688</v>
      </c>
      <c r="E92" s="81">
        <v>1</v>
      </c>
      <c r="F92" s="81">
        <v>2000</v>
      </c>
      <c r="G92" s="81" t="s">
        <v>63</v>
      </c>
      <c r="H92" s="88">
        <v>46388</v>
      </c>
      <c r="I92" s="81" t="s">
        <v>58</v>
      </c>
      <c r="J92" s="88">
        <v>46426</v>
      </c>
      <c r="K92" s="81" t="s">
        <v>365</v>
      </c>
      <c r="L92" s="81" t="s">
        <v>408</v>
      </c>
      <c r="M92" s="81"/>
      <c r="N92" s="81"/>
      <c r="O92" s="81"/>
      <c r="P92" s="81"/>
      <c r="Q92" s="81"/>
      <c r="R92" s="81"/>
      <c r="S92" s="81"/>
      <c r="T92" s="81" t="s">
        <v>196</v>
      </c>
      <c r="U92" s="81"/>
    </row>
    <row r="93" spans="1:21" x14ac:dyDescent="0.25">
      <c r="A93" s="85">
        <v>1055</v>
      </c>
      <c r="B93" s="85" t="s">
        <v>63</v>
      </c>
      <c r="C93" s="81" t="s">
        <v>678</v>
      </c>
      <c r="D93" s="51" t="s">
        <v>689</v>
      </c>
      <c r="E93" s="81">
        <v>1</v>
      </c>
      <c r="F93" s="81">
        <v>1700</v>
      </c>
      <c r="G93" s="81" t="s">
        <v>63</v>
      </c>
      <c r="H93" s="88">
        <v>46388</v>
      </c>
      <c r="I93" s="81" t="s">
        <v>58</v>
      </c>
      <c r="J93" s="88">
        <v>46428</v>
      </c>
      <c r="K93" s="81" t="s">
        <v>365</v>
      </c>
      <c r="L93" s="81" t="s">
        <v>408</v>
      </c>
      <c r="M93" s="81"/>
      <c r="N93" s="81"/>
      <c r="O93" s="81"/>
      <c r="P93" s="81"/>
      <c r="Q93" s="81"/>
      <c r="R93" s="81"/>
      <c r="S93" s="81"/>
      <c r="T93" s="81" t="s">
        <v>196</v>
      </c>
      <c r="U93" s="81"/>
    </row>
    <row r="94" spans="1:21" x14ac:dyDescent="0.25">
      <c r="A94" s="85">
        <v>1055</v>
      </c>
      <c r="B94" s="85" t="s">
        <v>63</v>
      </c>
      <c r="C94" s="81" t="s">
        <v>678</v>
      </c>
      <c r="D94" s="51" t="s">
        <v>690</v>
      </c>
      <c r="E94" s="81">
        <v>1</v>
      </c>
      <c r="F94" s="81">
        <v>1700</v>
      </c>
      <c r="G94" s="81" t="s">
        <v>63</v>
      </c>
      <c r="H94" s="88">
        <v>46388</v>
      </c>
      <c r="I94" s="81" t="s">
        <v>58</v>
      </c>
      <c r="J94" s="88">
        <v>46431</v>
      </c>
      <c r="K94" s="81" t="s">
        <v>365</v>
      </c>
      <c r="L94" s="81" t="s">
        <v>408</v>
      </c>
      <c r="M94" s="81"/>
      <c r="N94" s="81"/>
      <c r="O94" s="81"/>
      <c r="P94" s="81"/>
      <c r="Q94" s="81"/>
      <c r="R94" s="81"/>
      <c r="S94" s="81"/>
      <c r="T94" s="81" t="s">
        <v>196</v>
      </c>
      <c r="U94" s="81"/>
    </row>
    <row r="95" spans="1:21" x14ac:dyDescent="0.25">
      <c r="A95" s="85">
        <v>1055</v>
      </c>
      <c r="B95" s="85" t="s">
        <v>63</v>
      </c>
      <c r="C95" s="81" t="s">
        <v>678</v>
      </c>
      <c r="D95" s="51" t="s">
        <v>691</v>
      </c>
      <c r="E95" s="81">
        <v>1</v>
      </c>
      <c r="F95" s="81">
        <v>1700</v>
      </c>
      <c r="G95" s="81" t="s">
        <v>63</v>
      </c>
      <c r="H95" s="88">
        <v>46388</v>
      </c>
      <c r="I95" s="81" t="s">
        <v>58</v>
      </c>
      <c r="J95" s="88">
        <v>46433</v>
      </c>
      <c r="K95" s="81" t="s">
        <v>365</v>
      </c>
      <c r="L95" s="81" t="s">
        <v>408</v>
      </c>
      <c r="M95" s="81"/>
      <c r="N95" s="81"/>
      <c r="O95" s="81"/>
      <c r="P95" s="81"/>
      <c r="Q95" s="81"/>
      <c r="R95" s="81"/>
      <c r="S95" s="81"/>
      <c r="T95" s="81" t="s">
        <v>196</v>
      </c>
      <c r="U95" s="81"/>
    </row>
    <row r="96" spans="1:21" x14ac:dyDescent="0.25">
      <c r="A96" s="85">
        <v>1055</v>
      </c>
      <c r="B96" s="85" t="s">
        <v>63</v>
      </c>
      <c r="C96" s="81" t="s">
        <v>678</v>
      </c>
      <c r="D96" s="51" t="s">
        <v>692</v>
      </c>
      <c r="E96" s="81">
        <v>1</v>
      </c>
      <c r="F96" s="81">
        <v>1700</v>
      </c>
      <c r="G96" s="81" t="s">
        <v>63</v>
      </c>
      <c r="H96" s="88">
        <v>46388</v>
      </c>
      <c r="I96" s="81" t="s">
        <v>58</v>
      </c>
      <c r="J96" s="88">
        <v>46435</v>
      </c>
      <c r="K96" s="81" t="s">
        <v>365</v>
      </c>
      <c r="L96" s="81" t="s">
        <v>408</v>
      </c>
      <c r="M96" s="81"/>
      <c r="N96" s="81"/>
      <c r="O96" s="81"/>
      <c r="P96" s="81"/>
      <c r="Q96" s="81"/>
      <c r="R96" s="81"/>
      <c r="S96" s="81"/>
      <c r="T96" s="81" t="s">
        <v>196</v>
      </c>
      <c r="U96" s="81"/>
    </row>
    <row r="97" spans="1:21" x14ac:dyDescent="0.25">
      <c r="A97" s="85">
        <v>1055</v>
      </c>
      <c r="B97" s="85" t="s">
        <v>63</v>
      </c>
      <c r="C97" s="81" t="s">
        <v>678</v>
      </c>
      <c r="D97" s="51" t="s">
        <v>693</v>
      </c>
      <c r="E97" s="81">
        <v>1</v>
      </c>
      <c r="F97" s="81">
        <v>2000</v>
      </c>
      <c r="G97" s="81" t="s">
        <v>63</v>
      </c>
      <c r="H97" s="88">
        <v>46388</v>
      </c>
      <c r="I97" s="81" t="s">
        <v>58</v>
      </c>
      <c r="J97" s="88">
        <v>46438</v>
      </c>
      <c r="K97" s="81" t="s">
        <v>365</v>
      </c>
      <c r="L97" s="81" t="s">
        <v>408</v>
      </c>
      <c r="M97" s="81"/>
      <c r="N97" s="81"/>
      <c r="O97" s="81"/>
      <c r="P97" s="81"/>
      <c r="Q97" s="81"/>
      <c r="R97" s="81"/>
      <c r="S97" s="81"/>
      <c r="T97" s="81" t="s">
        <v>196</v>
      </c>
      <c r="U9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54"/>
  <sheetViews>
    <sheetView workbookViewId="0">
      <selection activeCell="O161" sqref="O161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8</v>
      </c>
      <c r="M2" t="str">
        <f t="shared" ref="M2:M9" ca="1" si="0">IF(L2&lt;0,"ATRASADO",IF(L2&lt;=15,"ATENÇÃO","NO PRAZO"))</f>
        <v>ATENÇÃO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8</v>
      </c>
      <c r="M3" t="str">
        <f t="shared" ca="1" si="0"/>
        <v>ATENÇÃO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8</v>
      </c>
      <c r="M4" t="str">
        <f t="shared" ca="1" si="0"/>
        <v>ATENÇÃO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8</v>
      </c>
      <c r="M5" t="str">
        <f t="shared" ca="1" si="0"/>
        <v>ATENÇÃO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8</v>
      </c>
      <c r="M6" t="str">
        <f t="shared" ca="1" si="0"/>
        <v>ATENÇÃO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8</v>
      </c>
      <c r="M7" t="str">
        <f t="shared" ca="1" si="0"/>
        <v>ATENÇÃO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8</v>
      </c>
      <c r="M8" t="str">
        <f t="shared" ca="1" si="0"/>
        <v>ATENÇÃO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8</v>
      </c>
      <c r="M9" t="str">
        <f t="shared" ca="1" si="0"/>
        <v>ATENÇÃO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-68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130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565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130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565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130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565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130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130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130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35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35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130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130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130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130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130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130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130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130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130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130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130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130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130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130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130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130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130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130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130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130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130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130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130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130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130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130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130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130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130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130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130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130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130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130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570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-43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110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110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110</v>
      </c>
      <c r="M56" t="str">
        <f ca="1">IF(L56&lt;0,"ATRASADO",IF(L56&lt;=15,"ATENÇÃO","NO PRAZO"))</f>
        <v>NO PRAZO</v>
      </c>
      <c r="N56" s="8" t="s">
        <v>32</v>
      </c>
      <c r="O56" s="9" t="s">
        <v>56</v>
      </c>
      <c r="P56" s="1" t="s">
        <v>56</v>
      </c>
      <c r="Q56" t="s">
        <v>702</v>
      </c>
      <c r="R56" t="s">
        <v>703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110</v>
      </c>
      <c r="M57" t="str">
        <f t="shared" ref="M57:M59" ca="1" si="7">IF(L57&lt;0,"ATRASADO",IF(L57&lt;=15,"ATENÇÃO","NO PRAZO"))</f>
        <v>NO PRAZO</v>
      </c>
      <c r="N57" s="8" t="s">
        <v>32</v>
      </c>
      <c r="O57" s="9" t="s">
        <v>56</v>
      </c>
      <c r="P57" s="1" t="s">
        <v>56</v>
      </c>
      <c r="Q57" t="s">
        <v>702</v>
      </c>
      <c r="R57" t="s">
        <v>703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110</v>
      </c>
      <c r="M58" t="str">
        <f t="shared" ca="1" si="7"/>
        <v>NO PRAZO</v>
      </c>
      <c r="N58" s="8" t="s">
        <v>32</v>
      </c>
      <c r="O58" s="9" t="s">
        <v>56</v>
      </c>
      <c r="P58" s="1" t="s">
        <v>56</v>
      </c>
      <c r="Q58" t="s">
        <v>702</v>
      </c>
      <c r="R58" t="s">
        <v>704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110</v>
      </c>
      <c r="M59" t="str">
        <f t="shared" ca="1" si="7"/>
        <v>NO PRAZO</v>
      </c>
      <c r="N59" s="8" t="s">
        <v>32</v>
      </c>
      <c r="O59" s="9" t="s">
        <v>56</v>
      </c>
      <c r="P59" s="1" t="s">
        <v>56</v>
      </c>
      <c r="Q59" t="s">
        <v>702</v>
      </c>
      <c r="R59" t="s">
        <v>704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110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110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110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110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110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110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110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110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110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110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110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110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110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110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110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110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110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110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110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110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110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110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110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110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110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110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110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110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110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-43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125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125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125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125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125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125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125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125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569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51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569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51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569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51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569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51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569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51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569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51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570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110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570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110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570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110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570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110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570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110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570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110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570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110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570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110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570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110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570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110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570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110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570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110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570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110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570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110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570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110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570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110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570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110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570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110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570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110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570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110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hidden="1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567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140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hidden="1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567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140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hidden="1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567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140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hidden="1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567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140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hidden="1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567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140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hidden="1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567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140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hidden="1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567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140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hidden="1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567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140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hidden="1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567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140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hidden="1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567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140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hidden="1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567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140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hidden="1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567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140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hidden="1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567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140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hidden="1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567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140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hidden="1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567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140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hidden="1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567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140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82</v>
      </c>
      <c r="M140" t="str">
        <f ca="1">IF(L140&lt;0,"ATRASADO",IF(L140&lt;=15,"ATENÇÃO","NO PRAZO"))</f>
        <v>NO PRAZO</v>
      </c>
      <c r="N140" s="14" t="s">
        <v>63</v>
      </c>
      <c r="O140" s="9" t="s">
        <v>56</v>
      </c>
      <c r="P140" s="1" t="s">
        <v>56</v>
      </c>
      <c r="Q140" t="s">
        <v>48</v>
      </c>
    </row>
    <row r="141" spans="1:17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82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 t="s">
        <v>56</v>
      </c>
      <c r="P141" s="1" t="s">
        <v>56</v>
      </c>
      <c r="Q141" t="s">
        <v>48</v>
      </c>
    </row>
    <row r="142" spans="1:17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82</v>
      </c>
      <c r="M142" t="str">
        <f t="shared" ca="1" si="18"/>
        <v>NO PRAZO</v>
      </c>
      <c r="N142" s="14" t="s">
        <v>63</v>
      </c>
      <c r="O142" s="9" t="s">
        <v>56</v>
      </c>
      <c r="P142" s="1" t="s">
        <v>56</v>
      </c>
      <c r="Q142" t="s">
        <v>48</v>
      </c>
    </row>
    <row r="143" spans="1:17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82</v>
      </c>
      <c r="M143" t="str">
        <f t="shared" ca="1" si="18"/>
        <v>NO PRAZO</v>
      </c>
      <c r="N143" s="14" t="s">
        <v>63</v>
      </c>
      <c r="O143" s="9" t="s">
        <v>56</v>
      </c>
      <c r="P143" s="1" t="s">
        <v>56</v>
      </c>
      <c r="Q143" t="s">
        <v>48</v>
      </c>
    </row>
    <row r="144" spans="1:17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82</v>
      </c>
      <c r="M144" t="str">
        <f t="shared" ca="1" si="18"/>
        <v>NO PRAZO</v>
      </c>
      <c r="N144" s="14" t="s">
        <v>63</v>
      </c>
      <c r="O144" s="9" t="s">
        <v>56</v>
      </c>
      <c r="P144" s="1" t="s">
        <v>56</v>
      </c>
      <c r="Q144" t="s">
        <v>48</v>
      </c>
    </row>
    <row r="145" spans="1:17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82</v>
      </c>
      <c r="M145" t="str">
        <f t="shared" ca="1" si="18"/>
        <v>NO PRAZO</v>
      </c>
      <c r="N145" s="14" t="s">
        <v>63</v>
      </c>
      <c r="O145" s="9" t="s">
        <v>56</v>
      </c>
      <c r="P145" s="1" t="s">
        <v>56</v>
      </c>
      <c r="Q145" t="s">
        <v>48</v>
      </c>
    </row>
    <row r="146" spans="1:17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82</v>
      </c>
      <c r="M146" t="str">
        <f t="shared" ca="1" si="18"/>
        <v>NO PRAZO</v>
      </c>
      <c r="N146" s="14" t="s">
        <v>63</v>
      </c>
      <c r="O146" s="9" t="s">
        <v>56</v>
      </c>
      <c r="P146" s="1" t="s">
        <v>56</v>
      </c>
      <c r="Q146" t="s">
        <v>48</v>
      </c>
    </row>
    <row r="147" spans="1:17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82</v>
      </c>
      <c r="M147" t="str">
        <f t="shared" ca="1" si="18"/>
        <v>NO PRAZO</v>
      </c>
      <c r="N147" s="14" t="s">
        <v>63</v>
      </c>
      <c r="O147" s="9" t="s">
        <v>56</v>
      </c>
      <c r="P147" s="1" t="s">
        <v>56</v>
      </c>
      <c r="Q147" t="s">
        <v>48</v>
      </c>
    </row>
    <row r="148" spans="1:17" hidden="1" x14ac:dyDescent="0.25">
      <c r="A148" s="13">
        <v>2368</v>
      </c>
      <c r="B148" s="13">
        <v>9</v>
      </c>
      <c r="C148" s="12">
        <v>27699</v>
      </c>
      <c r="D148" s="12">
        <v>9</v>
      </c>
      <c r="E148" s="17" t="s">
        <v>678</v>
      </c>
      <c r="F148" s="12">
        <v>1</v>
      </c>
      <c r="G148" s="6" t="s">
        <v>681</v>
      </c>
      <c r="H148" s="7">
        <v>46297</v>
      </c>
      <c r="J148" s="7">
        <v>46342</v>
      </c>
      <c r="L148" s="11">
        <f ca="1">Tabela4[[#This Row],[Prazo
Entrega]]-TODAY()</f>
        <v>96</v>
      </c>
      <c r="M148" t="str">
        <f ca="1">IF(L148&lt;0,"ATRASADO",IF(L148&lt;=15,"ATENÇÃO","NO PRAZO"))</f>
        <v>NO PRAZO</v>
      </c>
      <c r="N148" s="14" t="s">
        <v>63</v>
      </c>
      <c r="O148" s="9">
        <v>46290</v>
      </c>
      <c r="P148" s="1" t="s">
        <v>75</v>
      </c>
      <c r="Q148" t="s">
        <v>48</v>
      </c>
    </row>
    <row r="149" spans="1:17" hidden="1" x14ac:dyDescent="0.25">
      <c r="A149" s="13">
        <v>2368</v>
      </c>
      <c r="B149" s="13">
        <v>16</v>
      </c>
      <c r="C149" s="65" t="s">
        <v>63</v>
      </c>
      <c r="D149" s="65" t="s">
        <v>63</v>
      </c>
      <c r="E149" s="17" t="s">
        <v>678</v>
      </c>
      <c r="F149" s="12">
        <v>1</v>
      </c>
      <c r="G149" s="6" t="s">
        <v>682</v>
      </c>
      <c r="H149" s="14" t="s">
        <v>63</v>
      </c>
      <c r="I149" s="14" t="s">
        <v>63</v>
      </c>
      <c r="J149" s="7">
        <v>46342</v>
      </c>
      <c r="L149" s="11">
        <f ca="1">Tabela4[[#This Row],[Prazo
Entrega]]-TODAY()</f>
        <v>96</v>
      </c>
      <c r="M149" t="str">
        <f t="shared" ref="M149:M150" ca="1" si="19">IF(L149&lt;0,"ATRASADO",IF(L149&lt;=15,"ATENÇÃO","NO PRAZO"))</f>
        <v>NO PRAZO</v>
      </c>
      <c r="N149" s="14" t="s">
        <v>63</v>
      </c>
      <c r="O149" s="9">
        <v>46264</v>
      </c>
      <c r="P149" s="1" t="s">
        <v>75</v>
      </c>
      <c r="Q149" t="s">
        <v>94</v>
      </c>
    </row>
    <row r="150" spans="1:17" hidden="1" x14ac:dyDescent="0.25">
      <c r="A150" s="13">
        <v>2368</v>
      </c>
      <c r="B150" s="13">
        <v>17</v>
      </c>
      <c r="C150" s="65" t="s">
        <v>63</v>
      </c>
      <c r="D150" s="65" t="s">
        <v>63</v>
      </c>
      <c r="E150" s="17" t="s">
        <v>678</v>
      </c>
      <c r="F150" s="12">
        <v>1</v>
      </c>
      <c r="G150" s="6" t="s">
        <v>682</v>
      </c>
      <c r="H150" s="14" t="s">
        <v>63</v>
      </c>
      <c r="I150" s="14" t="s">
        <v>63</v>
      </c>
      <c r="J150" s="7">
        <v>46342</v>
      </c>
      <c r="L150" s="11">
        <f ca="1">Tabela4[[#This Row],[Prazo
Entrega]]-TODAY()</f>
        <v>96</v>
      </c>
      <c r="M150" t="str">
        <f t="shared" ca="1" si="19"/>
        <v>NO PRAZO</v>
      </c>
      <c r="N150" s="14" t="s">
        <v>63</v>
      </c>
      <c r="O150" s="9">
        <v>46264</v>
      </c>
      <c r="P150" s="1" t="s">
        <v>75</v>
      </c>
      <c r="Q150" t="s">
        <v>94</v>
      </c>
    </row>
    <row r="151" spans="1:17" hidden="1" x14ac:dyDescent="0.25">
      <c r="A151" s="13">
        <v>2368</v>
      </c>
      <c r="B151" s="13">
        <v>18</v>
      </c>
      <c r="C151" s="65" t="s">
        <v>63</v>
      </c>
      <c r="D151" s="65" t="s">
        <v>63</v>
      </c>
      <c r="E151" s="17" t="s">
        <v>678</v>
      </c>
      <c r="F151" s="12">
        <v>1</v>
      </c>
      <c r="G151" s="6" t="s">
        <v>683</v>
      </c>
      <c r="H151" s="14" t="s">
        <v>63</v>
      </c>
      <c r="I151" s="14" t="s">
        <v>63</v>
      </c>
      <c r="J151" s="7">
        <v>46342</v>
      </c>
      <c r="L151" s="11">
        <f ca="1">Tabela4[[#This Row],[Prazo
Entrega]]-TODAY()</f>
        <v>96</v>
      </c>
      <c r="M151" t="str">
        <f t="shared" ref="M151:M152" ca="1" si="20">IF(L151&lt;0,"ATRASADO",IF(L151&lt;=15,"ATENÇÃO","NO PRAZO"))</f>
        <v>NO PRAZO</v>
      </c>
      <c r="N151" s="14" t="s">
        <v>63</v>
      </c>
      <c r="O151" s="9">
        <v>46264</v>
      </c>
      <c r="P151" s="1" t="s">
        <v>75</v>
      </c>
      <c r="Q151" t="s">
        <v>94</v>
      </c>
    </row>
    <row r="152" spans="1:17" hidden="1" x14ac:dyDescent="0.25">
      <c r="A152" s="13">
        <v>2368</v>
      </c>
      <c r="B152" s="13">
        <v>19</v>
      </c>
      <c r="C152" s="65" t="s">
        <v>63</v>
      </c>
      <c r="D152" s="65" t="s">
        <v>63</v>
      </c>
      <c r="E152" s="17" t="s">
        <v>678</v>
      </c>
      <c r="F152" s="12">
        <v>1</v>
      </c>
      <c r="G152" s="6" t="s">
        <v>683</v>
      </c>
      <c r="H152" s="14" t="s">
        <v>63</v>
      </c>
      <c r="I152" s="14" t="s">
        <v>63</v>
      </c>
      <c r="J152" s="7">
        <v>46342</v>
      </c>
      <c r="L152" s="11">
        <f ca="1">Tabela4[[#This Row],[Prazo
Entrega]]-TODAY()</f>
        <v>96</v>
      </c>
      <c r="M152" t="str">
        <f t="shared" ca="1" si="20"/>
        <v>NO PRAZO</v>
      </c>
      <c r="N152" s="14" t="s">
        <v>63</v>
      </c>
      <c r="O152" s="9">
        <v>46264</v>
      </c>
      <c r="P152" s="1" t="s">
        <v>75</v>
      </c>
      <c r="Q152" t="s">
        <v>94</v>
      </c>
    </row>
    <row r="153" spans="1:17" hidden="1" x14ac:dyDescent="0.25">
      <c r="A153" s="13">
        <v>2368</v>
      </c>
      <c r="B153" s="13">
        <v>20</v>
      </c>
      <c r="C153" s="65" t="s">
        <v>63</v>
      </c>
      <c r="D153" s="65" t="s">
        <v>63</v>
      </c>
      <c r="E153" s="17" t="s">
        <v>678</v>
      </c>
      <c r="F153" s="12">
        <v>1</v>
      </c>
      <c r="G153" s="6" t="s">
        <v>683</v>
      </c>
      <c r="H153" s="14" t="s">
        <v>63</v>
      </c>
      <c r="I153" s="14" t="s">
        <v>63</v>
      </c>
      <c r="J153" s="7">
        <v>46342</v>
      </c>
      <c r="L153" s="11">
        <f ca="1">Tabela4[[#This Row],[Prazo
Entrega]]-TODAY()</f>
        <v>96</v>
      </c>
      <c r="M153" t="str">
        <f ca="1">IF(L153&lt;0,"ATRASADO",IF(L153&lt;=15,"ATENÇÃO","NO PRAZO"))</f>
        <v>NO PRAZO</v>
      </c>
      <c r="N153" s="14" t="s">
        <v>63</v>
      </c>
      <c r="O153" s="9">
        <v>46264</v>
      </c>
      <c r="P153" s="1" t="s">
        <v>75</v>
      </c>
      <c r="Q153" t="s">
        <v>94</v>
      </c>
    </row>
    <row r="154" spans="1:17" hidden="1" x14ac:dyDescent="0.25">
      <c r="A154" s="13">
        <v>2368</v>
      </c>
      <c r="B154" s="13">
        <v>21</v>
      </c>
      <c r="C154" s="65" t="s">
        <v>63</v>
      </c>
      <c r="D154" s="65" t="s">
        <v>63</v>
      </c>
      <c r="E154" s="17" t="s">
        <v>678</v>
      </c>
      <c r="F154" s="12">
        <v>1</v>
      </c>
      <c r="G154" s="6" t="s">
        <v>683</v>
      </c>
      <c r="H154" s="14" t="s">
        <v>63</v>
      </c>
      <c r="I154" s="14" t="s">
        <v>63</v>
      </c>
      <c r="J154" s="7">
        <v>46342</v>
      </c>
      <c r="L154" s="11">
        <f ca="1">Tabela4[[#This Row],[Prazo
Entrega]]-TODAY()</f>
        <v>96</v>
      </c>
      <c r="M154" t="str">
        <f ca="1">IF(L154&lt;0,"ATRASADO",IF(L154&lt;=15,"ATENÇÃO","NO PRAZO"))</f>
        <v>NO PRAZO</v>
      </c>
      <c r="N154" s="14" t="s">
        <v>63</v>
      </c>
      <c r="O154" s="9">
        <v>46264</v>
      </c>
      <c r="P154" s="1" t="s">
        <v>75</v>
      </c>
      <c r="Q154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B33D-022B-4A9F-A7E5-3CADBFA51704}">
  <dimension ref="A1:AH30"/>
  <sheetViews>
    <sheetView tabSelected="1" workbookViewId="0">
      <selection activeCell="L7" sqref="L7"/>
    </sheetView>
  </sheetViews>
  <sheetFormatPr defaultRowHeight="13.5" x14ac:dyDescent="0.25"/>
  <cols>
    <col min="1" max="1" width="14.85546875" style="119" customWidth="1"/>
    <col min="2" max="2" width="33.85546875" style="119" bestFit="1" customWidth="1"/>
    <col min="3" max="3" width="4.85546875" style="119" customWidth="1"/>
    <col min="4" max="4" width="5.5703125" style="119" bestFit="1" customWidth="1"/>
    <col min="5" max="5" width="9.140625" style="119"/>
    <col min="6" max="6" width="7.5703125" style="119" bestFit="1" customWidth="1"/>
    <col min="7" max="8" width="9.140625" style="119"/>
    <col min="9" max="9" width="12.42578125" style="119" customWidth="1"/>
    <col min="10" max="10" width="19.140625" style="119" bestFit="1" customWidth="1"/>
    <col min="11" max="11" width="7.28515625" style="140" bestFit="1" customWidth="1"/>
    <col min="12" max="12" width="6.5703125" style="119" customWidth="1"/>
    <col min="13" max="21" width="9.140625" style="119"/>
    <col min="22" max="22" width="12.140625" style="119" bestFit="1" customWidth="1"/>
    <col min="23" max="23" width="14.42578125" style="119" customWidth="1"/>
    <col min="24" max="24" width="17.28515625" style="119" bestFit="1" customWidth="1"/>
    <col min="25" max="32" width="9.140625" style="119"/>
    <col min="33" max="33" width="12" style="119" customWidth="1"/>
    <col min="34" max="34" width="12.140625" style="119" customWidth="1"/>
    <col min="35" max="16384" width="9.140625" style="119"/>
  </cols>
  <sheetData>
    <row r="1" spans="1:34" ht="15" customHeight="1" x14ac:dyDescent="0.25">
      <c r="A1" s="145" t="s">
        <v>728</v>
      </c>
      <c r="B1" s="145"/>
      <c r="C1" s="145"/>
      <c r="D1" s="145"/>
      <c r="E1" s="145"/>
      <c r="F1" s="145"/>
      <c r="G1" s="145"/>
      <c r="H1" s="145"/>
      <c r="I1" s="145"/>
      <c r="J1" s="143" t="s">
        <v>729</v>
      </c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1"/>
      <c r="Y1" s="142" t="s">
        <v>730</v>
      </c>
      <c r="Z1" s="142"/>
      <c r="AA1" s="142"/>
      <c r="AB1" s="142"/>
      <c r="AC1" s="142"/>
      <c r="AD1" s="142"/>
      <c r="AE1" s="142"/>
      <c r="AF1" s="142"/>
      <c r="AG1" s="142"/>
      <c r="AH1" s="142"/>
    </row>
    <row r="2" spans="1:34" ht="15" customHeight="1" x14ac:dyDescent="0.25">
      <c r="A2" s="144" t="s">
        <v>3</v>
      </c>
      <c r="B2" s="120" t="s">
        <v>6</v>
      </c>
      <c r="C2" s="120" t="s">
        <v>731</v>
      </c>
      <c r="D2" s="120" t="s">
        <v>732</v>
      </c>
      <c r="E2" s="120" t="s">
        <v>247</v>
      </c>
      <c r="F2" s="120" t="s">
        <v>733</v>
      </c>
      <c r="G2" s="120" t="s">
        <v>245</v>
      </c>
      <c r="H2" s="121" t="s">
        <v>734</v>
      </c>
      <c r="I2" s="121" t="s">
        <v>74</v>
      </c>
      <c r="J2" s="120" t="s">
        <v>776</v>
      </c>
      <c r="K2" s="122" t="s">
        <v>735</v>
      </c>
      <c r="L2" s="121" t="s">
        <v>68</v>
      </c>
      <c r="M2" s="121" t="s">
        <v>230</v>
      </c>
      <c r="N2" s="121" t="s">
        <v>231</v>
      </c>
      <c r="O2" s="121" t="s">
        <v>232</v>
      </c>
      <c r="P2" s="121" t="s">
        <v>233</v>
      </c>
      <c r="Q2" s="121" t="s">
        <v>234</v>
      </c>
      <c r="R2" s="121" t="s">
        <v>235</v>
      </c>
      <c r="S2" s="121" t="s">
        <v>236</v>
      </c>
      <c r="T2" s="121" t="s">
        <v>237</v>
      </c>
      <c r="U2" s="121" t="s">
        <v>238</v>
      </c>
      <c r="V2" s="123" t="s">
        <v>736</v>
      </c>
      <c r="W2" s="125" t="s">
        <v>737</v>
      </c>
      <c r="X2" s="120" t="s">
        <v>775</v>
      </c>
      <c r="Y2" s="121" t="s">
        <v>230</v>
      </c>
      <c r="Z2" s="121" t="s">
        <v>231</v>
      </c>
      <c r="AA2" s="121" t="s">
        <v>232</v>
      </c>
      <c r="AB2" s="121" t="s">
        <v>233</v>
      </c>
      <c r="AC2" s="121" t="s">
        <v>234</v>
      </c>
      <c r="AD2" s="121" t="s">
        <v>235</v>
      </c>
      <c r="AE2" s="121" t="s">
        <v>236</v>
      </c>
      <c r="AF2" s="121" t="s">
        <v>237</v>
      </c>
      <c r="AG2" s="123" t="s">
        <v>738</v>
      </c>
      <c r="AH2" s="125" t="s">
        <v>739</v>
      </c>
    </row>
    <row r="3" spans="1:34" ht="15" customHeight="1" x14ac:dyDescent="0.25">
      <c r="A3" s="119" t="s">
        <v>740</v>
      </c>
      <c r="B3" s="126" t="s">
        <v>741</v>
      </c>
      <c r="C3" s="127">
        <v>1</v>
      </c>
      <c r="D3" s="127" t="s">
        <v>364</v>
      </c>
      <c r="E3" s="127" t="s">
        <v>742</v>
      </c>
      <c r="F3" s="127" t="s">
        <v>200</v>
      </c>
      <c r="G3" s="127" t="s">
        <v>743</v>
      </c>
      <c r="H3" s="127" t="s">
        <v>411</v>
      </c>
      <c r="I3" s="129" t="s">
        <v>772</v>
      </c>
      <c r="J3" s="129" t="s">
        <v>777</v>
      </c>
      <c r="K3" s="128" t="s">
        <v>63</v>
      </c>
      <c r="L3" s="129" t="s">
        <v>58</v>
      </c>
      <c r="M3" s="129" t="s">
        <v>365</v>
      </c>
      <c r="N3" s="129" t="s">
        <v>221</v>
      </c>
      <c r="O3" s="129" t="s">
        <v>220</v>
      </c>
      <c r="P3" s="129" t="s">
        <v>744</v>
      </c>
      <c r="Q3" s="129"/>
      <c r="V3" s="130">
        <v>46389</v>
      </c>
      <c r="W3" s="118" t="s">
        <v>745</v>
      </c>
      <c r="X3" s="118" t="s">
        <v>774</v>
      </c>
      <c r="Y3" s="118" t="s">
        <v>365</v>
      </c>
      <c r="Z3" s="118" t="s">
        <v>746</v>
      </c>
      <c r="AA3" s="118"/>
      <c r="AB3" s="118"/>
      <c r="AC3" s="118"/>
      <c r="AD3" s="118"/>
      <c r="AE3" s="118"/>
      <c r="AF3" s="118"/>
      <c r="AG3" s="130">
        <f>V3-10</f>
        <v>46379</v>
      </c>
      <c r="AH3" s="118" t="s">
        <v>745</v>
      </c>
    </row>
    <row r="4" spans="1:34" ht="15" customHeight="1" x14ac:dyDescent="0.25">
      <c r="A4" s="119" t="s">
        <v>740</v>
      </c>
      <c r="B4" s="126" t="s">
        <v>747</v>
      </c>
      <c r="C4" s="127">
        <v>1</v>
      </c>
      <c r="D4" s="127" t="s">
        <v>364</v>
      </c>
      <c r="E4" s="127" t="s">
        <v>742</v>
      </c>
      <c r="F4" s="127" t="s">
        <v>200</v>
      </c>
      <c r="G4" s="127" t="s">
        <v>748</v>
      </c>
      <c r="H4" s="127" t="s">
        <v>412</v>
      </c>
      <c r="I4" s="129" t="s">
        <v>772</v>
      </c>
      <c r="J4" s="129" t="s">
        <v>777</v>
      </c>
      <c r="K4" s="128" t="s">
        <v>63</v>
      </c>
      <c r="L4" s="129" t="s">
        <v>58</v>
      </c>
      <c r="M4" s="129" t="s">
        <v>365</v>
      </c>
      <c r="N4" s="129" t="s">
        <v>221</v>
      </c>
      <c r="O4" s="129" t="s">
        <v>220</v>
      </c>
      <c r="P4" s="129" t="s">
        <v>744</v>
      </c>
      <c r="Q4" s="129"/>
      <c r="V4" s="130">
        <v>46390</v>
      </c>
      <c r="W4" s="118" t="s">
        <v>745</v>
      </c>
      <c r="X4" s="118" t="s">
        <v>774</v>
      </c>
      <c r="Y4" s="118" t="s">
        <v>365</v>
      </c>
      <c r="Z4" s="118" t="s">
        <v>746</v>
      </c>
      <c r="AA4" s="118"/>
      <c r="AB4" s="118"/>
      <c r="AC4" s="118"/>
      <c r="AD4" s="118"/>
      <c r="AE4" s="118"/>
      <c r="AF4" s="118"/>
      <c r="AG4" s="130">
        <f t="shared" ref="AG4:AG19" si="0">V4-10</f>
        <v>46380</v>
      </c>
      <c r="AH4" s="118" t="s">
        <v>745</v>
      </c>
    </row>
    <row r="5" spans="1:34" ht="15" customHeight="1" x14ac:dyDescent="0.25">
      <c r="A5" s="119" t="s">
        <v>740</v>
      </c>
      <c r="B5" s="126" t="s">
        <v>741</v>
      </c>
      <c r="C5" s="127">
        <v>1</v>
      </c>
      <c r="D5" s="127" t="s">
        <v>259</v>
      </c>
      <c r="E5" s="127" t="s">
        <v>742</v>
      </c>
      <c r="F5" s="127" t="s">
        <v>201</v>
      </c>
      <c r="G5" s="127" t="s">
        <v>749</v>
      </c>
      <c r="H5" s="127" t="s">
        <v>413</v>
      </c>
      <c r="I5" s="129" t="s">
        <v>772</v>
      </c>
      <c r="J5" s="129" t="s">
        <v>777</v>
      </c>
      <c r="K5" s="128" t="s">
        <v>63</v>
      </c>
      <c r="L5" s="129" t="s">
        <v>58</v>
      </c>
      <c r="M5" s="129" t="s">
        <v>365</v>
      </c>
      <c r="N5" s="129" t="s">
        <v>221</v>
      </c>
      <c r="O5" s="129" t="s">
        <v>220</v>
      </c>
      <c r="P5" s="129" t="s">
        <v>744</v>
      </c>
      <c r="Q5" s="129"/>
      <c r="V5" s="130">
        <v>46393</v>
      </c>
      <c r="W5" s="118" t="s">
        <v>745</v>
      </c>
      <c r="X5" s="118" t="s">
        <v>774</v>
      </c>
      <c r="Y5" s="118" t="s">
        <v>365</v>
      </c>
      <c r="Z5" s="118" t="s">
        <v>746</v>
      </c>
      <c r="AA5" s="118"/>
      <c r="AB5" s="118"/>
      <c r="AC5" s="118"/>
      <c r="AD5" s="118"/>
      <c r="AE5" s="118"/>
      <c r="AF5" s="118"/>
      <c r="AG5" s="130">
        <f t="shared" si="0"/>
        <v>46383</v>
      </c>
      <c r="AH5" s="118" t="s">
        <v>745</v>
      </c>
    </row>
    <row r="6" spans="1:34" ht="15" customHeight="1" x14ac:dyDescent="0.25">
      <c r="A6" s="119" t="s">
        <v>740</v>
      </c>
      <c r="B6" s="126" t="s">
        <v>747</v>
      </c>
      <c r="C6" s="127">
        <v>1</v>
      </c>
      <c r="D6" s="127" t="s">
        <v>259</v>
      </c>
      <c r="E6" s="127" t="s">
        <v>742</v>
      </c>
      <c r="F6" s="127" t="s">
        <v>201</v>
      </c>
      <c r="G6" s="127" t="s">
        <v>750</v>
      </c>
      <c r="H6" s="127" t="s">
        <v>414</v>
      </c>
      <c r="I6" s="129" t="s">
        <v>772</v>
      </c>
      <c r="J6" s="129" t="s">
        <v>777</v>
      </c>
      <c r="K6" s="128" t="s">
        <v>63</v>
      </c>
      <c r="L6" s="129" t="s">
        <v>58</v>
      </c>
      <c r="M6" s="129" t="s">
        <v>365</v>
      </c>
      <c r="N6" s="129" t="s">
        <v>221</v>
      </c>
      <c r="O6" s="129" t="s">
        <v>220</v>
      </c>
      <c r="P6" s="129" t="s">
        <v>744</v>
      </c>
      <c r="Q6" s="129"/>
      <c r="V6" s="130">
        <v>46395</v>
      </c>
      <c r="W6" s="118" t="s">
        <v>745</v>
      </c>
      <c r="X6" s="118" t="s">
        <v>774</v>
      </c>
      <c r="Y6" s="118" t="s">
        <v>365</v>
      </c>
      <c r="Z6" s="118" t="s">
        <v>746</v>
      </c>
      <c r="AA6" s="118"/>
      <c r="AB6" s="118"/>
      <c r="AC6" s="118"/>
      <c r="AD6" s="118"/>
      <c r="AE6" s="118"/>
      <c r="AF6" s="118"/>
      <c r="AG6" s="130">
        <f t="shared" si="0"/>
        <v>46385</v>
      </c>
      <c r="AH6" s="118" t="s">
        <v>745</v>
      </c>
    </row>
    <row r="7" spans="1:34" ht="15" customHeight="1" x14ac:dyDescent="0.25">
      <c r="A7" s="119" t="s">
        <v>740</v>
      </c>
      <c r="B7" s="126" t="s">
        <v>751</v>
      </c>
      <c r="C7" s="127">
        <v>1</v>
      </c>
      <c r="D7" s="127" t="s">
        <v>259</v>
      </c>
      <c r="E7" s="127" t="s">
        <v>193</v>
      </c>
      <c r="F7" s="127" t="s">
        <v>201</v>
      </c>
      <c r="G7" s="127" t="s">
        <v>360</v>
      </c>
      <c r="H7" s="127" t="s">
        <v>415</v>
      </c>
      <c r="I7" s="129" t="s">
        <v>772</v>
      </c>
      <c r="J7" s="129" t="s">
        <v>777</v>
      </c>
      <c r="K7" s="128" t="s">
        <v>56</v>
      </c>
      <c r="L7" s="131" t="s">
        <v>56</v>
      </c>
      <c r="M7" s="51" t="s">
        <v>220</v>
      </c>
      <c r="N7" s="51" t="s">
        <v>222</v>
      </c>
      <c r="O7" s="51" t="s">
        <v>223</v>
      </c>
      <c r="P7" s="51" t="s">
        <v>225</v>
      </c>
      <c r="Q7" s="51" t="s">
        <v>226</v>
      </c>
      <c r="R7" s="51" t="s">
        <v>227</v>
      </c>
      <c r="S7" s="51" t="s">
        <v>224</v>
      </c>
      <c r="T7" s="51" t="s">
        <v>228</v>
      </c>
      <c r="U7" s="51" t="s">
        <v>229</v>
      </c>
      <c r="V7" s="130">
        <v>46415</v>
      </c>
      <c r="W7" s="124" t="s">
        <v>752</v>
      </c>
      <c r="X7" s="118" t="s">
        <v>774</v>
      </c>
      <c r="Y7" s="118" t="s">
        <v>365</v>
      </c>
      <c r="Z7" s="118" t="s">
        <v>746</v>
      </c>
      <c r="AA7" s="118"/>
      <c r="AB7" s="118"/>
      <c r="AC7" s="118"/>
      <c r="AD7" s="118"/>
      <c r="AE7" s="118"/>
      <c r="AF7" s="118"/>
      <c r="AG7" s="130">
        <f t="shared" si="0"/>
        <v>46405</v>
      </c>
      <c r="AH7" s="118" t="s">
        <v>745</v>
      </c>
    </row>
    <row r="8" spans="1:34" ht="15" customHeight="1" x14ac:dyDescent="0.25">
      <c r="A8" s="119" t="s">
        <v>740</v>
      </c>
      <c r="B8" s="126" t="s">
        <v>753</v>
      </c>
      <c r="C8" s="127">
        <v>1</v>
      </c>
      <c r="D8" s="127" t="s">
        <v>259</v>
      </c>
      <c r="E8" s="127" t="s">
        <v>742</v>
      </c>
      <c r="F8" s="127" t="s">
        <v>202</v>
      </c>
      <c r="G8" s="127" t="s">
        <v>754</v>
      </c>
      <c r="H8" s="127" t="s">
        <v>416</v>
      </c>
      <c r="I8" s="129" t="s">
        <v>772</v>
      </c>
      <c r="J8" s="129" t="s">
        <v>777</v>
      </c>
      <c r="K8" s="128" t="s">
        <v>63</v>
      </c>
      <c r="L8" s="129" t="s">
        <v>58</v>
      </c>
      <c r="M8" s="129" t="s">
        <v>365</v>
      </c>
      <c r="N8" s="129" t="s">
        <v>221</v>
      </c>
      <c r="O8" s="129" t="s">
        <v>220</v>
      </c>
      <c r="P8" s="129" t="s">
        <v>744</v>
      </c>
      <c r="Q8" s="129"/>
      <c r="V8" s="130">
        <v>46397</v>
      </c>
      <c r="W8" s="118" t="s">
        <v>745</v>
      </c>
      <c r="X8" s="118" t="s">
        <v>774</v>
      </c>
      <c r="Y8" s="118" t="s">
        <v>365</v>
      </c>
      <c r="Z8" s="118" t="s">
        <v>746</v>
      </c>
      <c r="AA8" s="118"/>
      <c r="AB8" s="118"/>
      <c r="AC8" s="118"/>
      <c r="AD8" s="118"/>
      <c r="AE8" s="118"/>
      <c r="AF8" s="118"/>
      <c r="AG8" s="130">
        <f t="shared" si="0"/>
        <v>46387</v>
      </c>
      <c r="AH8" s="118" t="s">
        <v>745</v>
      </c>
    </row>
    <row r="9" spans="1:34" ht="15" customHeight="1" x14ac:dyDescent="0.25">
      <c r="A9" s="119" t="s">
        <v>740</v>
      </c>
      <c r="B9" s="126" t="s">
        <v>747</v>
      </c>
      <c r="C9" s="127">
        <v>1</v>
      </c>
      <c r="D9" s="127" t="s">
        <v>259</v>
      </c>
      <c r="E9" s="127" t="s">
        <v>742</v>
      </c>
      <c r="F9" s="127" t="s">
        <v>202</v>
      </c>
      <c r="G9" s="127" t="s">
        <v>361</v>
      </c>
      <c r="H9" s="127" t="s">
        <v>417</v>
      </c>
      <c r="I9" s="129" t="s">
        <v>772</v>
      </c>
      <c r="J9" s="129" t="s">
        <v>777</v>
      </c>
      <c r="K9" s="128" t="s">
        <v>63</v>
      </c>
      <c r="L9" s="129" t="s">
        <v>58</v>
      </c>
      <c r="M9" s="129" t="s">
        <v>365</v>
      </c>
      <c r="N9" s="129" t="s">
        <v>221</v>
      </c>
      <c r="O9" s="129" t="s">
        <v>220</v>
      </c>
      <c r="P9" s="129" t="s">
        <v>744</v>
      </c>
      <c r="Q9" s="129"/>
      <c r="V9" s="130">
        <v>46400</v>
      </c>
      <c r="W9" s="118" t="s">
        <v>745</v>
      </c>
      <c r="X9" s="118" t="s">
        <v>774</v>
      </c>
      <c r="Y9" s="118" t="s">
        <v>365</v>
      </c>
      <c r="Z9" s="118" t="s">
        <v>746</v>
      </c>
      <c r="AA9" s="118"/>
      <c r="AB9" s="118"/>
      <c r="AC9" s="118"/>
      <c r="AD9" s="118"/>
      <c r="AE9" s="118"/>
      <c r="AF9" s="118"/>
      <c r="AG9" s="130">
        <f t="shared" si="0"/>
        <v>46390</v>
      </c>
      <c r="AH9" s="118" t="s">
        <v>745</v>
      </c>
    </row>
    <row r="10" spans="1:34" ht="15" customHeight="1" x14ac:dyDescent="0.25">
      <c r="A10" s="119" t="s">
        <v>740</v>
      </c>
      <c r="B10" s="126" t="s">
        <v>755</v>
      </c>
      <c r="C10" s="127">
        <v>1</v>
      </c>
      <c r="D10" s="127" t="s">
        <v>259</v>
      </c>
      <c r="E10" s="127" t="s">
        <v>193</v>
      </c>
      <c r="F10" s="127" t="s">
        <v>202</v>
      </c>
      <c r="G10" s="127" t="s">
        <v>756</v>
      </c>
      <c r="H10" s="127" t="s">
        <v>418</v>
      </c>
      <c r="I10" s="129" t="s">
        <v>772</v>
      </c>
      <c r="J10" s="129" t="s">
        <v>777</v>
      </c>
      <c r="K10" s="128" t="s">
        <v>56</v>
      </c>
      <c r="L10" s="131" t="s">
        <v>56</v>
      </c>
      <c r="M10" s="132" t="s">
        <v>220</v>
      </c>
      <c r="N10" s="132" t="s">
        <v>757</v>
      </c>
      <c r="O10" s="132" t="s">
        <v>744</v>
      </c>
      <c r="P10" s="124" t="s">
        <v>687</v>
      </c>
      <c r="Q10" s="124" t="s">
        <v>758</v>
      </c>
      <c r="R10" s="124"/>
      <c r="V10" s="130">
        <v>46414</v>
      </c>
      <c r="W10" s="118" t="s">
        <v>773</v>
      </c>
      <c r="X10" s="118" t="s">
        <v>774</v>
      </c>
      <c r="Y10" s="118" t="s">
        <v>365</v>
      </c>
      <c r="Z10" s="118" t="s">
        <v>746</v>
      </c>
      <c r="AA10" s="118"/>
      <c r="AB10" s="118"/>
      <c r="AC10" s="118"/>
      <c r="AD10" s="118"/>
      <c r="AE10" s="118"/>
      <c r="AF10" s="118"/>
      <c r="AG10" s="130">
        <f t="shared" si="0"/>
        <v>46404</v>
      </c>
      <c r="AH10" s="118" t="s">
        <v>745</v>
      </c>
    </row>
    <row r="11" spans="1:34" ht="15" customHeight="1" x14ac:dyDescent="0.25">
      <c r="A11" s="119" t="s">
        <v>740</v>
      </c>
      <c r="B11" s="126" t="s">
        <v>753</v>
      </c>
      <c r="C11" s="127">
        <v>1</v>
      </c>
      <c r="D11" s="127" t="s">
        <v>259</v>
      </c>
      <c r="E11" s="127" t="s">
        <v>742</v>
      </c>
      <c r="F11" s="127" t="s">
        <v>203</v>
      </c>
      <c r="G11" s="127" t="s">
        <v>759</v>
      </c>
      <c r="H11" s="127" t="s">
        <v>419</v>
      </c>
      <c r="I11" s="129" t="s">
        <v>772</v>
      </c>
      <c r="J11" s="129" t="s">
        <v>777</v>
      </c>
      <c r="K11" s="128" t="s">
        <v>63</v>
      </c>
      <c r="L11" s="129" t="s">
        <v>58</v>
      </c>
      <c r="M11" s="129" t="s">
        <v>365</v>
      </c>
      <c r="N11" s="129" t="s">
        <v>221</v>
      </c>
      <c r="O11" s="129" t="s">
        <v>220</v>
      </c>
      <c r="P11" s="129" t="s">
        <v>744</v>
      </c>
      <c r="Q11" s="129"/>
      <c r="V11" s="130">
        <v>46401</v>
      </c>
      <c r="W11" s="118" t="s">
        <v>745</v>
      </c>
      <c r="X11" s="118" t="s">
        <v>774</v>
      </c>
      <c r="Y11" s="118" t="s">
        <v>365</v>
      </c>
      <c r="Z11" s="118" t="s">
        <v>746</v>
      </c>
      <c r="AA11" s="118"/>
      <c r="AB11" s="118"/>
      <c r="AC11" s="118"/>
      <c r="AD11" s="118"/>
      <c r="AE11" s="118"/>
      <c r="AF11" s="118"/>
      <c r="AG11" s="130">
        <f t="shared" si="0"/>
        <v>46391</v>
      </c>
      <c r="AH11" s="118" t="s">
        <v>745</v>
      </c>
    </row>
    <row r="12" spans="1:34" ht="15" customHeight="1" x14ac:dyDescent="0.25">
      <c r="A12" s="119" t="s">
        <v>740</v>
      </c>
      <c r="B12" s="126" t="s">
        <v>747</v>
      </c>
      <c r="C12" s="127">
        <v>1</v>
      </c>
      <c r="D12" s="127" t="s">
        <v>259</v>
      </c>
      <c r="E12" s="127" t="s">
        <v>742</v>
      </c>
      <c r="F12" s="127" t="s">
        <v>203</v>
      </c>
      <c r="G12" s="127" t="s">
        <v>760</v>
      </c>
      <c r="H12" s="127" t="s">
        <v>420</v>
      </c>
      <c r="I12" s="129" t="s">
        <v>772</v>
      </c>
      <c r="J12" s="129" t="s">
        <v>777</v>
      </c>
      <c r="K12" s="128" t="s">
        <v>63</v>
      </c>
      <c r="L12" s="129" t="s">
        <v>58</v>
      </c>
      <c r="M12" s="129" t="s">
        <v>365</v>
      </c>
      <c r="N12" s="129" t="s">
        <v>221</v>
      </c>
      <c r="O12" s="129" t="s">
        <v>220</v>
      </c>
      <c r="P12" s="129" t="s">
        <v>744</v>
      </c>
      <c r="Q12" s="129"/>
      <c r="V12" s="130">
        <v>46403</v>
      </c>
      <c r="W12" s="118" t="s">
        <v>745</v>
      </c>
      <c r="X12" s="118" t="s">
        <v>774</v>
      </c>
      <c r="Y12" s="118" t="s">
        <v>365</v>
      </c>
      <c r="Z12" s="118" t="s">
        <v>746</v>
      </c>
      <c r="AA12" s="118"/>
      <c r="AB12" s="118"/>
      <c r="AC12" s="118"/>
      <c r="AD12" s="118"/>
      <c r="AE12" s="118"/>
      <c r="AF12" s="118"/>
      <c r="AG12" s="130">
        <f t="shared" si="0"/>
        <v>46393</v>
      </c>
      <c r="AH12" s="118" t="s">
        <v>745</v>
      </c>
    </row>
    <row r="13" spans="1:34" ht="15" customHeight="1" x14ac:dyDescent="0.25">
      <c r="A13" s="119" t="s">
        <v>740</v>
      </c>
      <c r="B13" s="126" t="s">
        <v>755</v>
      </c>
      <c r="C13" s="127">
        <v>1</v>
      </c>
      <c r="D13" s="127" t="s">
        <v>259</v>
      </c>
      <c r="E13" s="127" t="s">
        <v>193</v>
      </c>
      <c r="F13" s="127" t="s">
        <v>203</v>
      </c>
      <c r="G13" s="127" t="s">
        <v>761</v>
      </c>
      <c r="H13" s="127" t="s">
        <v>421</v>
      </c>
      <c r="I13" s="129" t="s">
        <v>772</v>
      </c>
      <c r="J13" s="129" t="s">
        <v>777</v>
      </c>
      <c r="K13" s="128" t="s">
        <v>56</v>
      </c>
      <c r="L13" s="131" t="s">
        <v>56</v>
      </c>
      <c r="M13" s="132" t="s">
        <v>220</v>
      </c>
      <c r="N13" s="132" t="s">
        <v>757</v>
      </c>
      <c r="O13" s="132" t="s">
        <v>744</v>
      </c>
      <c r="P13" s="124" t="s">
        <v>687</v>
      </c>
      <c r="Q13" s="124" t="s">
        <v>758</v>
      </c>
      <c r="R13" s="124"/>
      <c r="V13" s="130">
        <v>46411</v>
      </c>
      <c r="W13" s="118" t="s">
        <v>773</v>
      </c>
      <c r="X13" s="118" t="s">
        <v>774</v>
      </c>
      <c r="Y13" s="118" t="s">
        <v>365</v>
      </c>
      <c r="Z13" s="118" t="s">
        <v>746</v>
      </c>
      <c r="AA13" s="118"/>
      <c r="AB13" s="118"/>
      <c r="AC13" s="118"/>
      <c r="AD13" s="118"/>
      <c r="AE13" s="118"/>
      <c r="AF13" s="118"/>
      <c r="AG13" s="130">
        <f t="shared" si="0"/>
        <v>46401</v>
      </c>
      <c r="AH13" s="118" t="s">
        <v>745</v>
      </c>
    </row>
    <row r="14" spans="1:34" ht="15" customHeight="1" x14ac:dyDescent="0.25">
      <c r="A14" s="119" t="s">
        <v>740</v>
      </c>
      <c r="B14" s="126" t="s">
        <v>753</v>
      </c>
      <c r="C14" s="127">
        <v>1</v>
      </c>
      <c r="D14" s="127" t="s">
        <v>259</v>
      </c>
      <c r="E14" s="127" t="s">
        <v>742</v>
      </c>
      <c r="F14" s="127" t="s">
        <v>204</v>
      </c>
      <c r="G14" s="127" t="s">
        <v>762</v>
      </c>
      <c r="H14" s="127" t="s">
        <v>422</v>
      </c>
      <c r="I14" s="129" t="s">
        <v>772</v>
      </c>
      <c r="J14" s="129" t="s">
        <v>777</v>
      </c>
      <c r="K14" s="128" t="s">
        <v>63</v>
      </c>
      <c r="L14" s="129" t="s">
        <v>58</v>
      </c>
      <c r="M14" s="129" t="s">
        <v>365</v>
      </c>
      <c r="N14" s="129" t="s">
        <v>221</v>
      </c>
      <c r="O14" s="129" t="s">
        <v>220</v>
      </c>
      <c r="P14" s="129" t="s">
        <v>744</v>
      </c>
      <c r="Q14" s="129"/>
      <c r="V14" s="130">
        <v>46404</v>
      </c>
      <c r="W14" s="118" t="s">
        <v>745</v>
      </c>
      <c r="X14" s="118" t="s">
        <v>774</v>
      </c>
      <c r="Y14" s="118" t="s">
        <v>365</v>
      </c>
      <c r="Z14" s="118" t="s">
        <v>746</v>
      </c>
      <c r="AA14" s="118"/>
      <c r="AB14" s="118"/>
      <c r="AC14" s="118"/>
      <c r="AD14" s="118"/>
      <c r="AE14" s="118"/>
      <c r="AF14" s="118"/>
      <c r="AG14" s="130">
        <f t="shared" si="0"/>
        <v>46394</v>
      </c>
      <c r="AH14" s="118" t="s">
        <v>745</v>
      </c>
    </row>
    <row r="15" spans="1:34" ht="15" customHeight="1" x14ac:dyDescent="0.25">
      <c r="A15" s="119" t="s">
        <v>740</v>
      </c>
      <c r="B15" s="126" t="s">
        <v>747</v>
      </c>
      <c r="C15" s="127">
        <v>1</v>
      </c>
      <c r="D15" s="127" t="s">
        <v>259</v>
      </c>
      <c r="E15" s="127" t="s">
        <v>742</v>
      </c>
      <c r="F15" s="127" t="s">
        <v>204</v>
      </c>
      <c r="G15" s="127" t="s">
        <v>362</v>
      </c>
      <c r="H15" s="127" t="s">
        <v>423</v>
      </c>
      <c r="I15" s="129" t="s">
        <v>772</v>
      </c>
      <c r="J15" s="129" t="s">
        <v>777</v>
      </c>
      <c r="K15" s="128" t="s">
        <v>63</v>
      </c>
      <c r="L15" s="129" t="s">
        <v>58</v>
      </c>
      <c r="M15" s="129" t="s">
        <v>365</v>
      </c>
      <c r="N15" s="129" t="s">
        <v>221</v>
      </c>
      <c r="O15" s="129" t="s">
        <v>220</v>
      </c>
      <c r="P15" s="129" t="s">
        <v>744</v>
      </c>
      <c r="Q15" s="129"/>
      <c r="V15" s="130">
        <v>46407</v>
      </c>
      <c r="W15" s="118" t="s">
        <v>745</v>
      </c>
      <c r="X15" s="118" t="s">
        <v>774</v>
      </c>
      <c r="Y15" s="118" t="s">
        <v>365</v>
      </c>
      <c r="Z15" s="118" t="s">
        <v>746</v>
      </c>
      <c r="AA15" s="118"/>
      <c r="AB15" s="118"/>
      <c r="AC15" s="118"/>
      <c r="AD15" s="118"/>
      <c r="AE15" s="118"/>
      <c r="AF15" s="118"/>
      <c r="AG15" s="130">
        <f t="shared" si="0"/>
        <v>46397</v>
      </c>
      <c r="AH15" s="118" t="s">
        <v>745</v>
      </c>
    </row>
    <row r="16" spans="1:34" ht="15" customHeight="1" x14ac:dyDescent="0.25">
      <c r="A16" s="119" t="s">
        <v>740</v>
      </c>
      <c r="B16" s="126" t="s">
        <v>755</v>
      </c>
      <c r="C16" s="127">
        <v>1</v>
      </c>
      <c r="D16" s="127" t="s">
        <v>259</v>
      </c>
      <c r="E16" s="127" t="s">
        <v>193</v>
      </c>
      <c r="F16" s="127" t="s">
        <v>204</v>
      </c>
      <c r="G16" s="127" t="s">
        <v>763</v>
      </c>
      <c r="H16" s="127" t="s">
        <v>424</v>
      </c>
      <c r="I16" s="129" t="s">
        <v>772</v>
      </c>
      <c r="J16" s="129" t="s">
        <v>777</v>
      </c>
      <c r="K16" s="128" t="s">
        <v>56</v>
      </c>
      <c r="L16" s="131" t="s">
        <v>56</v>
      </c>
      <c r="M16" s="132" t="s">
        <v>220</v>
      </c>
      <c r="N16" s="132" t="s">
        <v>757</v>
      </c>
      <c r="O16" s="132" t="s">
        <v>744</v>
      </c>
      <c r="P16" s="124" t="s">
        <v>687</v>
      </c>
      <c r="Q16" s="124" t="s">
        <v>758</v>
      </c>
      <c r="R16" s="124"/>
      <c r="V16" s="130">
        <v>46413</v>
      </c>
      <c r="W16" s="118" t="s">
        <v>773</v>
      </c>
      <c r="X16" s="118" t="s">
        <v>774</v>
      </c>
      <c r="Y16" s="118" t="s">
        <v>365</v>
      </c>
      <c r="Z16" s="118" t="s">
        <v>746</v>
      </c>
      <c r="AA16" s="118"/>
      <c r="AB16" s="118"/>
      <c r="AC16" s="118"/>
      <c r="AD16" s="118"/>
      <c r="AE16" s="118"/>
      <c r="AF16" s="118"/>
      <c r="AG16" s="130">
        <f t="shared" si="0"/>
        <v>46403</v>
      </c>
      <c r="AH16" s="118" t="s">
        <v>745</v>
      </c>
    </row>
    <row r="17" spans="1:34" ht="15" customHeight="1" x14ac:dyDescent="0.25">
      <c r="A17" s="119" t="s">
        <v>740</v>
      </c>
      <c r="B17" s="126" t="s">
        <v>741</v>
      </c>
      <c r="C17" s="127">
        <v>1</v>
      </c>
      <c r="D17" s="127" t="s">
        <v>364</v>
      </c>
      <c r="E17" s="127" t="s">
        <v>742</v>
      </c>
      <c r="F17" s="127" t="s">
        <v>244</v>
      </c>
      <c r="G17" s="127" t="s">
        <v>764</v>
      </c>
      <c r="H17" s="127" t="s">
        <v>425</v>
      </c>
      <c r="I17" s="129" t="s">
        <v>772</v>
      </c>
      <c r="J17" s="129" t="s">
        <v>777</v>
      </c>
      <c r="K17" s="128" t="s">
        <v>63</v>
      </c>
      <c r="L17" s="129" t="s">
        <v>58</v>
      </c>
      <c r="M17" s="129" t="s">
        <v>365</v>
      </c>
      <c r="N17" s="129" t="s">
        <v>221</v>
      </c>
      <c r="O17" s="129" t="s">
        <v>220</v>
      </c>
      <c r="P17" s="129" t="s">
        <v>744</v>
      </c>
      <c r="Q17" s="129"/>
      <c r="V17" s="130">
        <v>46410</v>
      </c>
      <c r="W17" s="118" t="s">
        <v>745</v>
      </c>
      <c r="X17" s="118" t="s">
        <v>774</v>
      </c>
      <c r="Y17" s="118" t="s">
        <v>365</v>
      </c>
      <c r="Z17" s="118" t="s">
        <v>746</v>
      </c>
      <c r="AA17" s="118"/>
      <c r="AB17" s="118"/>
      <c r="AC17" s="118"/>
      <c r="AD17" s="118"/>
      <c r="AE17" s="118"/>
      <c r="AF17" s="118"/>
      <c r="AG17" s="130">
        <f t="shared" si="0"/>
        <v>46400</v>
      </c>
      <c r="AH17" s="118" t="s">
        <v>745</v>
      </c>
    </row>
    <row r="18" spans="1:34" ht="15" customHeight="1" x14ac:dyDescent="0.25">
      <c r="A18" s="119" t="s">
        <v>740</v>
      </c>
      <c r="B18" s="126" t="s">
        <v>747</v>
      </c>
      <c r="C18" s="127">
        <v>1</v>
      </c>
      <c r="D18" s="127" t="s">
        <v>364</v>
      </c>
      <c r="E18" s="127" t="s">
        <v>742</v>
      </c>
      <c r="F18" s="127" t="s">
        <v>244</v>
      </c>
      <c r="G18" s="127" t="s">
        <v>765</v>
      </c>
      <c r="H18" s="127" t="s">
        <v>426</v>
      </c>
      <c r="I18" s="129" t="s">
        <v>772</v>
      </c>
      <c r="J18" s="129" t="s">
        <v>777</v>
      </c>
      <c r="K18" s="128" t="s">
        <v>63</v>
      </c>
      <c r="L18" s="129" t="s">
        <v>58</v>
      </c>
      <c r="M18" s="129" t="s">
        <v>365</v>
      </c>
      <c r="N18" s="129" t="s">
        <v>221</v>
      </c>
      <c r="O18" s="129" t="s">
        <v>220</v>
      </c>
      <c r="P18" s="129" t="s">
        <v>744</v>
      </c>
      <c r="Q18" s="129"/>
      <c r="V18" s="130">
        <v>46408</v>
      </c>
      <c r="W18" s="118" t="s">
        <v>745</v>
      </c>
      <c r="X18" s="118" t="s">
        <v>774</v>
      </c>
      <c r="Y18" s="118" t="s">
        <v>365</v>
      </c>
      <c r="Z18" s="118" t="s">
        <v>746</v>
      </c>
      <c r="AA18" s="118"/>
      <c r="AB18" s="118"/>
      <c r="AC18" s="118"/>
      <c r="AD18" s="118"/>
      <c r="AE18" s="118"/>
      <c r="AF18" s="118"/>
      <c r="AG18" s="130">
        <f t="shared" si="0"/>
        <v>46398</v>
      </c>
      <c r="AH18" s="118" t="s">
        <v>745</v>
      </c>
    </row>
    <row r="19" spans="1:34" ht="15" customHeight="1" x14ac:dyDescent="0.25">
      <c r="A19" s="119" t="s">
        <v>740</v>
      </c>
      <c r="B19" s="126" t="s">
        <v>751</v>
      </c>
      <c r="C19" s="127">
        <v>1</v>
      </c>
      <c r="D19" s="127" t="s">
        <v>259</v>
      </c>
      <c r="E19" s="127" t="s">
        <v>742</v>
      </c>
      <c r="F19" s="127" t="s">
        <v>244</v>
      </c>
      <c r="G19" s="127" t="s">
        <v>363</v>
      </c>
      <c r="H19" s="127" t="s">
        <v>415</v>
      </c>
      <c r="I19" s="129" t="s">
        <v>772</v>
      </c>
      <c r="J19" s="129" t="s">
        <v>777</v>
      </c>
      <c r="K19" s="128" t="s">
        <v>63</v>
      </c>
      <c r="L19" s="129" t="s">
        <v>58</v>
      </c>
      <c r="M19" s="129" t="s">
        <v>365</v>
      </c>
      <c r="N19" s="129" t="s">
        <v>221</v>
      </c>
      <c r="O19" s="129" t="s">
        <v>220</v>
      </c>
      <c r="P19" s="129" t="s">
        <v>744</v>
      </c>
      <c r="Q19" s="129"/>
      <c r="V19" s="130">
        <v>46415</v>
      </c>
      <c r="W19" s="118" t="s">
        <v>745</v>
      </c>
      <c r="X19" s="118" t="s">
        <v>774</v>
      </c>
      <c r="Y19" s="118" t="s">
        <v>365</v>
      </c>
      <c r="Z19" s="118" t="s">
        <v>746</v>
      </c>
      <c r="AA19" s="118"/>
      <c r="AB19" s="118"/>
      <c r="AC19" s="118"/>
      <c r="AD19" s="118"/>
      <c r="AE19" s="118"/>
      <c r="AF19" s="118"/>
      <c r="AG19" s="130">
        <f t="shared" si="0"/>
        <v>46405</v>
      </c>
      <c r="AH19" s="118" t="s">
        <v>745</v>
      </c>
    </row>
    <row r="20" spans="1:34" ht="15" customHeight="1" x14ac:dyDescent="0.25">
      <c r="A20" s="133" t="s">
        <v>766</v>
      </c>
      <c r="B20" s="133" t="s">
        <v>753</v>
      </c>
      <c r="C20" s="134">
        <v>1</v>
      </c>
      <c r="D20" s="135" t="s">
        <v>197</v>
      </c>
      <c r="E20" s="127" t="s">
        <v>742</v>
      </c>
      <c r="F20" s="134" t="s">
        <v>202</v>
      </c>
      <c r="G20" s="134" t="s">
        <v>767</v>
      </c>
      <c r="H20" s="136">
        <v>46433</v>
      </c>
      <c r="I20" s="129" t="s">
        <v>772</v>
      </c>
      <c r="J20" s="129" t="s">
        <v>777</v>
      </c>
      <c r="K20" s="137" t="s">
        <v>63</v>
      </c>
      <c r="L20" s="129" t="s">
        <v>58</v>
      </c>
      <c r="M20" s="129" t="s">
        <v>365</v>
      </c>
      <c r="N20" s="129" t="s">
        <v>221</v>
      </c>
      <c r="O20" s="129" t="s">
        <v>220</v>
      </c>
      <c r="P20" s="129" t="s">
        <v>744</v>
      </c>
      <c r="Q20" s="129"/>
      <c r="V20" s="138">
        <v>46411</v>
      </c>
      <c r="W20" s="139" t="s">
        <v>745</v>
      </c>
      <c r="X20" s="118" t="s">
        <v>774</v>
      </c>
      <c r="Y20" s="118" t="s">
        <v>365</v>
      </c>
      <c r="Z20" s="118" t="s">
        <v>746</v>
      </c>
      <c r="AG20" s="136">
        <v>46431</v>
      </c>
      <c r="AH20" s="118" t="s">
        <v>745</v>
      </c>
    </row>
    <row r="21" spans="1:34" ht="15" customHeight="1" x14ac:dyDescent="0.25">
      <c r="A21" s="133" t="s">
        <v>766</v>
      </c>
      <c r="B21" s="133" t="s">
        <v>747</v>
      </c>
      <c r="C21" s="134">
        <v>1</v>
      </c>
      <c r="D21" s="135" t="s">
        <v>197</v>
      </c>
      <c r="E21" s="127" t="s">
        <v>193</v>
      </c>
      <c r="F21" s="134" t="s">
        <v>202</v>
      </c>
      <c r="G21" s="134">
        <v>16</v>
      </c>
      <c r="H21" s="136">
        <v>46414</v>
      </c>
      <c r="I21" s="129" t="s">
        <v>772</v>
      </c>
      <c r="J21" s="129" t="s">
        <v>777</v>
      </c>
      <c r="K21" s="137">
        <v>46291</v>
      </c>
      <c r="L21" s="131" t="s">
        <v>58</v>
      </c>
      <c r="M21" s="124" t="s">
        <v>220</v>
      </c>
      <c r="N21" s="124" t="s">
        <v>757</v>
      </c>
      <c r="O21" s="124" t="s">
        <v>744</v>
      </c>
      <c r="P21" s="124" t="s">
        <v>687</v>
      </c>
      <c r="Q21" s="124" t="s">
        <v>758</v>
      </c>
      <c r="R21" s="124"/>
      <c r="V21" s="138">
        <v>46337</v>
      </c>
      <c r="W21" s="139" t="s">
        <v>768</v>
      </c>
      <c r="X21" s="118" t="s">
        <v>774</v>
      </c>
      <c r="Y21" s="118" t="s">
        <v>365</v>
      </c>
      <c r="Z21" s="118" t="s">
        <v>746</v>
      </c>
      <c r="AG21" s="136">
        <v>46412</v>
      </c>
      <c r="AH21" s="118" t="s">
        <v>745</v>
      </c>
    </row>
    <row r="22" spans="1:34" ht="15" customHeight="1" x14ac:dyDescent="0.25">
      <c r="A22" s="133" t="s">
        <v>766</v>
      </c>
      <c r="B22" s="133" t="s">
        <v>755</v>
      </c>
      <c r="C22" s="134">
        <v>1</v>
      </c>
      <c r="D22" s="135" t="s">
        <v>197</v>
      </c>
      <c r="E22" s="127" t="s">
        <v>742</v>
      </c>
      <c r="F22" s="134" t="s">
        <v>202</v>
      </c>
      <c r="G22" s="134">
        <v>12</v>
      </c>
      <c r="H22" s="136">
        <v>46447</v>
      </c>
      <c r="I22" s="129" t="s">
        <v>772</v>
      </c>
      <c r="J22" s="129" t="s">
        <v>777</v>
      </c>
      <c r="K22" s="137" t="s">
        <v>63</v>
      </c>
      <c r="L22" s="129" t="s">
        <v>58</v>
      </c>
      <c r="M22" s="129" t="s">
        <v>365</v>
      </c>
      <c r="N22" s="129" t="s">
        <v>221</v>
      </c>
      <c r="O22" s="129" t="s">
        <v>220</v>
      </c>
      <c r="P22" s="129" t="s">
        <v>744</v>
      </c>
      <c r="Q22" s="129"/>
      <c r="V22" s="138">
        <v>46425</v>
      </c>
      <c r="W22" s="139" t="s">
        <v>745</v>
      </c>
      <c r="X22" s="118" t="s">
        <v>774</v>
      </c>
      <c r="Y22" s="118" t="s">
        <v>365</v>
      </c>
      <c r="Z22" s="118" t="s">
        <v>746</v>
      </c>
      <c r="AG22" s="136">
        <v>46445</v>
      </c>
      <c r="AH22" s="118" t="s">
        <v>745</v>
      </c>
    </row>
    <row r="23" spans="1:34" ht="15" customHeight="1" x14ac:dyDescent="0.25">
      <c r="A23" s="133" t="s">
        <v>766</v>
      </c>
      <c r="B23" s="133" t="s">
        <v>753</v>
      </c>
      <c r="C23" s="134">
        <v>1</v>
      </c>
      <c r="D23" s="135" t="s">
        <v>197</v>
      </c>
      <c r="E23" s="127" t="s">
        <v>742</v>
      </c>
      <c r="F23" s="134" t="s">
        <v>203</v>
      </c>
      <c r="G23" s="134" t="s">
        <v>769</v>
      </c>
      <c r="H23" s="136">
        <v>46435</v>
      </c>
      <c r="I23" s="129" t="s">
        <v>772</v>
      </c>
      <c r="J23" s="129" t="s">
        <v>777</v>
      </c>
      <c r="K23" s="137" t="s">
        <v>63</v>
      </c>
      <c r="L23" s="129" t="s">
        <v>58</v>
      </c>
      <c r="M23" s="129" t="s">
        <v>365</v>
      </c>
      <c r="N23" s="129" t="s">
        <v>221</v>
      </c>
      <c r="O23" s="129" t="s">
        <v>220</v>
      </c>
      <c r="P23" s="129" t="s">
        <v>744</v>
      </c>
      <c r="Q23" s="129"/>
      <c r="V23" s="138">
        <v>46413</v>
      </c>
      <c r="W23" s="139" t="s">
        <v>745</v>
      </c>
      <c r="X23" s="118" t="s">
        <v>774</v>
      </c>
      <c r="Y23" s="118" t="s">
        <v>365</v>
      </c>
      <c r="Z23" s="118" t="s">
        <v>746</v>
      </c>
      <c r="AG23" s="138">
        <v>46433</v>
      </c>
      <c r="AH23" s="118" t="s">
        <v>745</v>
      </c>
    </row>
    <row r="24" spans="1:34" ht="15" customHeight="1" x14ac:dyDescent="0.25">
      <c r="A24" s="133" t="s">
        <v>766</v>
      </c>
      <c r="B24" s="133" t="s">
        <v>747</v>
      </c>
      <c r="C24" s="134">
        <v>1</v>
      </c>
      <c r="D24" s="135" t="s">
        <v>197</v>
      </c>
      <c r="E24" s="127" t="s">
        <v>742</v>
      </c>
      <c r="F24" s="134" t="s">
        <v>203</v>
      </c>
      <c r="G24" s="134" t="s">
        <v>770</v>
      </c>
      <c r="H24" s="136">
        <v>46437</v>
      </c>
      <c r="I24" s="129" t="s">
        <v>772</v>
      </c>
      <c r="J24" s="129" t="s">
        <v>777</v>
      </c>
      <c r="K24" s="137" t="s">
        <v>63</v>
      </c>
      <c r="L24" s="129" t="s">
        <v>58</v>
      </c>
      <c r="M24" s="129" t="s">
        <v>365</v>
      </c>
      <c r="N24" s="129" t="s">
        <v>221</v>
      </c>
      <c r="O24" s="129" t="s">
        <v>220</v>
      </c>
      <c r="P24" s="129" t="s">
        <v>744</v>
      </c>
      <c r="Q24" s="129"/>
      <c r="V24" s="138">
        <v>46415</v>
      </c>
      <c r="W24" s="139" t="s">
        <v>745</v>
      </c>
      <c r="X24" s="118" t="s">
        <v>774</v>
      </c>
      <c r="Y24" s="118" t="s">
        <v>365</v>
      </c>
      <c r="Z24" s="118" t="s">
        <v>746</v>
      </c>
      <c r="AG24" s="138">
        <v>46435</v>
      </c>
      <c r="AH24" s="118" t="s">
        <v>745</v>
      </c>
    </row>
    <row r="25" spans="1:34" ht="15" customHeight="1" x14ac:dyDescent="0.25">
      <c r="A25" s="133" t="s">
        <v>766</v>
      </c>
      <c r="B25" s="133" t="s">
        <v>755</v>
      </c>
      <c r="C25" s="134">
        <v>1</v>
      </c>
      <c r="D25" s="135" t="s">
        <v>197</v>
      </c>
      <c r="E25" s="127" t="s">
        <v>742</v>
      </c>
      <c r="F25" s="134" t="s">
        <v>203</v>
      </c>
      <c r="G25" s="134">
        <v>17</v>
      </c>
      <c r="H25" s="136">
        <v>46449</v>
      </c>
      <c r="I25" s="129" t="s">
        <v>772</v>
      </c>
      <c r="J25" s="129" t="s">
        <v>777</v>
      </c>
      <c r="K25" s="137" t="s">
        <v>63</v>
      </c>
      <c r="L25" s="129" t="s">
        <v>58</v>
      </c>
      <c r="M25" s="129" t="s">
        <v>365</v>
      </c>
      <c r="N25" s="129" t="s">
        <v>221</v>
      </c>
      <c r="O25" s="129" t="s">
        <v>220</v>
      </c>
      <c r="P25" s="129" t="s">
        <v>744</v>
      </c>
      <c r="Q25" s="129"/>
      <c r="V25" s="138">
        <v>46427</v>
      </c>
      <c r="W25" s="139" t="s">
        <v>745</v>
      </c>
      <c r="X25" s="118" t="s">
        <v>774</v>
      </c>
      <c r="Y25" s="118" t="s">
        <v>365</v>
      </c>
      <c r="Z25" s="118" t="s">
        <v>746</v>
      </c>
      <c r="AG25" s="138">
        <v>46447</v>
      </c>
      <c r="AH25" s="118" t="s">
        <v>745</v>
      </c>
    </row>
    <row r="26" spans="1:34" ht="15" customHeight="1" x14ac:dyDescent="0.25">
      <c r="A26" s="133" t="s">
        <v>766</v>
      </c>
      <c r="B26" s="133" t="s">
        <v>753</v>
      </c>
      <c r="C26" s="134">
        <v>1</v>
      </c>
      <c r="D26" s="135" t="s">
        <v>197</v>
      </c>
      <c r="E26" s="127" t="s">
        <v>742</v>
      </c>
      <c r="F26" s="134" t="s">
        <v>204</v>
      </c>
      <c r="G26" s="134">
        <v>1</v>
      </c>
      <c r="H26" s="136">
        <v>46440</v>
      </c>
      <c r="I26" s="129" t="s">
        <v>772</v>
      </c>
      <c r="J26" s="129" t="s">
        <v>777</v>
      </c>
      <c r="K26" s="137" t="s">
        <v>63</v>
      </c>
      <c r="L26" s="129" t="s">
        <v>58</v>
      </c>
      <c r="M26" s="129" t="s">
        <v>365</v>
      </c>
      <c r="N26" s="129" t="s">
        <v>221</v>
      </c>
      <c r="O26" s="129" t="s">
        <v>220</v>
      </c>
      <c r="P26" s="129" t="s">
        <v>744</v>
      </c>
      <c r="Q26" s="129"/>
      <c r="V26" s="138">
        <v>46418</v>
      </c>
      <c r="W26" s="139" t="s">
        <v>745</v>
      </c>
      <c r="X26" s="118" t="s">
        <v>774</v>
      </c>
      <c r="Y26" s="118" t="s">
        <v>365</v>
      </c>
      <c r="Z26" s="118" t="s">
        <v>746</v>
      </c>
      <c r="AG26" s="138">
        <v>46438</v>
      </c>
      <c r="AH26" s="118" t="s">
        <v>745</v>
      </c>
    </row>
    <row r="27" spans="1:34" ht="15" customHeight="1" x14ac:dyDescent="0.25">
      <c r="A27" s="133" t="s">
        <v>766</v>
      </c>
      <c r="B27" s="133" t="s">
        <v>747</v>
      </c>
      <c r="C27" s="134">
        <v>1</v>
      </c>
      <c r="D27" s="135" t="s">
        <v>197</v>
      </c>
      <c r="E27" s="127" t="s">
        <v>193</v>
      </c>
      <c r="F27" s="134" t="s">
        <v>204</v>
      </c>
      <c r="G27" s="134" t="s">
        <v>771</v>
      </c>
      <c r="H27" s="136">
        <v>46416</v>
      </c>
      <c r="I27" s="129" t="s">
        <v>772</v>
      </c>
      <c r="J27" s="129" t="s">
        <v>777</v>
      </c>
      <c r="K27" s="137">
        <v>46291</v>
      </c>
      <c r="L27" s="131" t="s">
        <v>58</v>
      </c>
      <c r="M27" s="124" t="s">
        <v>220</v>
      </c>
      <c r="N27" s="124" t="s">
        <v>757</v>
      </c>
      <c r="O27" s="124" t="s">
        <v>744</v>
      </c>
      <c r="P27" s="124" t="s">
        <v>687</v>
      </c>
      <c r="Q27" s="124" t="s">
        <v>758</v>
      </c>
      <c r="V27" s="138">
        <v>46337</v>
      </c>
      <c r="W27" s="139" t="s">
        <v>768</v>
      </c>
      <c r="X27" s="118" t="s">
        <v>774</v>
      </c>
      <c r="Y27" s="118" t="s">
        <v>365</v>
      </c>
      <c r="Z27" s="118" t="s">
        <v>746</v>
      </c>
      <c r="AG27" s="138">
        <v>46414</v>
      </c>
      <c r="AH27" s="118" t="s">
        <v>745</v>
      </c>
    </row>
    <row r="28" spans="1:34" ht="15" customHeight="1" x14ac:dyDescent="0.25">
      <c r="A28" s="133" t="s">
        <v>766</v>
      </c>
      <c r="B28" s="133" t="s">
        <v>753</v>
      </c>
      <c r="C28" s="134">
        <v>1</v>
      </c>
      <c r="D28" s="134" t="s">
        <v>259</v>
      </c>
      <c r="E28" s="127" t="s">
        <v>193</v>
      </c>
      <c r="F28" s="134" t="s">
        <v>244</v>
      </c>
      <c r="G28" s="134">
        <v>1</v>
      </c>
      <c r="H28" s="136">
        <v>46421</v>
      </c>
      <c r="I28" s="129" t="s">
        <v>772</v>
      </c>
      <c r="J28" s="129" t="s">
        <v>777</v>
      </c>
      <c r="K28" s="137">
        <v>46291</v>
      </c>
      <c r="L28" s="131" t="s">
        <v>58</v>
      </c>
      <c r="M28" s="124" t="s">
        <v>220</v>
      </c>
      <c r="N28" s="124" t="s">
        <v>757</v>
      </c>
      <c r="O28" s="124" t="s">
        <v>744</v>
      </c>
      <c r="P28" s="124" t="s">
        <v>687</v>
      </c>
      <c r="Q28" s="124" t="s">
        <v>758</v>
      </c>
      <c r="V28" s="138">
        <v>46337</v>
      </c>
      <c r="W28" s="139" t="s">
        <v>768</v>
      </c>
      <c r="X28" s="118" t="s">
        <v>774</v>
      </c>
      <c r="Y28" s="118" t="s">
        <v>365</v>
      </c>
      <c r="Z28" s="118" t="s">
        <v>746</v>
      </c>
      <c r="AG28" s="138">
        <v>46419</v>
      </c>
      <c r="AH28" s="118" t="s">
        <v>745</v>
      </c>
    </row>
    <row r="29" spans="1:34" ht="15" customHeight="1" x14ac:dyDescent="0.25">
      <c r="A29" s="133" t="s">
        <v>766</v>
      </c>
      <c r="B29" s="133" t="s">
        <v>747</v>
      </c>
      <c r="C29" s="134">
        <v>1</v>
      </c>
      <c r="D29" s="134" t="s">
        <v>259</v>
      </c>
      <c r="E29" s="127" t="s">
        <v>742</v>
      </c>
      <c r="F29" s="134" t="s">
        <v>244</v>
      </c>
      <c r="G29" s="134">
        <v>3</v>
      </c>
      <c r="H29" s="136">
        <v>46442</v>
      </c>
      <c r="I29" s="129" t="s">
        <v>772</v>
      </c>
      <c r="J29" s="129" t="s">
        <v>777</v>
      </c>
      <c r="K29" s="137" t="s">
        <v>63</v>
      </c>
      <c r="L29" s="129" t="s">
        <v>58</v>
      </c>
      <c r="M29" s="129" t="s">
        <v>365</v>
      </c>
      <c r="N29" s="129" t="s">
        <v>221</v>
      </c>
      <c r="O29" s="129" t="s">
        <v>220</v>
      </c>
      <c r="P29" s="129" t="s">
        <v>744</v>
      </c>
      <c r="Q29" s="129"/>
      <c r="V29" s="138">
        <v>46420</v>
      </c>
      <c r="W29" s="139" t="s">
        <v>745</v>
      </c>
      <c r="X29" s="118" t="s">
        <v>774</v>
      </c>
      <c r="Y29" s="118" t="s">
        <v>365</v>
      </c>
      <c r="Z29" s="118" t="s">
        <v>746</v>
      </c>
      <c r="AG29" s="138">
        <v>46440</v>
      </c>
      <c r="AH29" s="118" t="s">
        <v>745</v>
      </c>
    </row>
    <row r="30" spans="1:34" ht="15" customHeight="1" x14ac:dyDescent="0.25">
      <c r="A30" s="133" t="s">
        <v>766</v>
      </c>
      <c r="B30" s="133" t="s">
        <v>755</v>
      </c>
      <c r="C30" s="134">
        <v>1</v>
      </c>
      <c r="D30" s="134" t="s">
        <v>259</v>
      </c>
      <c r="E30" s="127" t="s">
        <v>742</v>
      </c>
      <c r="F30" s="134" t="s">
        <v>244</v>
      </c>
      <c r="G30" s="134">
        <v>2</v>
      </c>
      <c r="H30" s="136">
        <v>46451</v>
      </c>
      <c r="I30" s="129" t="s">
        <v>772</v>
      </c>
      <c r="J30" s="129" t="s">
        <v>777</v>
      </c>
      <c r="K30" s="137" t="s">
        <v>63</v>
      </c>
      <c r="L30" s="129" t="s">
        <v>58</v>
      </c>
      <c r="M30" s="129" t="s">
        <v>365</v>
      </c>
      <c r="N30" s="129" t="s">
        <v>221</v>
      </c>
      <c r="O30" s="129" t="s">
        <v>220</v>
      </c>
      <c r="P30" s="129" t="s">
        <v>744</v>
      </c>
      <c r="Q30" s="129"/>
      <c r="V30" s="138">
        <v>46429</v>
      </c>
      <c r="W30" s="139" t="s">
        <v>745</v>
      </c>
      <c r="X30" s="118" t="s">
        <v>774</v>
      </c>
      <c r="Y30" s="118" t="s">
        <v>365</v>
      </c>
      <c r="Z30" s="118" t="s">
        <v>746</v>
      </c>
      <c r="AG30" s="138">
        <v>46449</v>
      </c>
      <c r="AH30" s="118" t="s">
        <v>745</v>
      </c>
    </row>
  </sheetData>
  <autoFilter ref="A2:AH30" xr:uid="{B0FC73A4-DE88-489D-A9EE-FA716002DC8D}"/>
  <mergeCells count="3">
    <mergeCell ref="Y1:AH1"/>
    <mergeCell ref="A1:I1"/>
    <mergeCell ref="J1:W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zoomScale="90" zoomScaleNormal="90" workbookViewId="0">
      <selection activeCell="A281" sqref="A281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322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322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675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629</v>
      </c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705</v>
      </c>
    </row>
    <row r="113" spans="1:28" ht="20.10000000000000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564</v>
      </c>
    </row>
    <row r="114" spans="1:28" ht="20.10000000000000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564</v>
      </c>
    </row>
    <row r="115" spans="1:28" ht="20.10000000000000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564</v>
      </c>
    </row>
    <row r="116" spans="1:28" ht="20.10000000000000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564</v>
      </c>
    </row>
    <row r="117" spans="1:28" ht="20.10000000000000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705</v>
      </c>
    </row>
    <row r="118" spans="1:28" ht="20.10000000000000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705</v>
      </c>
    </row>
    <row r="119" spans="1:28" ht="20.10000000000000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593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569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569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569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569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569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569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569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569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570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571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570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572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570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573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570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570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570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570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570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570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570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570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570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570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570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570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570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574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570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575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570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576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589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585</v>
      </c>
      <c r="L151" s="51" t="s">
        <v>63</v>
      </c>
      <c r="M151" s="107">
        <v>46244</v>
      </c>
      <c r="N151" s="51"/>
      <c r="O151" s="107">
        <v>46244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589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585</v>
      </c>
      <c r="L152" s="51" t="s">
        <v>63</v>
      </c>
      <c r="M152" s="107">
        <v>46244</v>
      </c>
      <c r="N152" s="51"/>
      <c r="O152" s="112">
        <v>46244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589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585</v>
      </c>
      <c r="L153" s="51" t="s">
        <v>63</v>
      </c>
      <c r="M153" s="107">
        <v>46244</v>
      </c>
      <c r="N153" s="51"/>
      <c r="O153" s="107">
        <v>46244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589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585</v>
      </c>
      <c r="L154" s="51" t="s">
        <v>63</v>
      </c>
      <c r="M154" s="107">
        <v>46244</v>
      </c>
      <c r="N154" s="51"/>
      <c r="O154" s="107">
        <v>46244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589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585</v>
      </c>
      <c r="L155" s="51" t="s">
        <v>63</v>
      </c>
      <c r="M155" s="107">
        <v>46248</v>
      </c>
      <c r="N155" s="51"/>
      <c r="O155" s="107">
        <v>46248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589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585</v>
      </c>
      <c r="L156" s="51" t="s">
        <v>63</v>
      </c>
      <c r="M156" s="107">
        <v>46262</v>
      </c>
      <c r="N156" s="51"/>
      <c r="O156" s="107">
        <v>46262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589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585</v>
      </c>
      <c r="L157" s="51" t="s">
        <v>63</v>
      </c>
      <c r="M157" s="107">
        <v>46269</v>
      </c>
      <c r="N157" s="51"/>
      <c r="O157" s="107">
        <v>46269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589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585</v>
      </c>
      <c r="L158" s="51" t="s">
        <v>63</v>
      </c>
      <c r="M158" s="107">
        <v>46244</v>
      </c>
      <c r="N158" s="51"/>
      <c r="O158" s="107">
        <v>46244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589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585</v>
      </c>
      <c r="L159" s="51" t="s">
        <v>63</v>
      </c>
      <c r="M159" s="107">
        <v>46244</v>
      </c>
      <c r="N159" s="51"/>
      <c r="O159" s="107">
        <v>46244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589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585</v>
      </c>
      <c r="L160" s="51" t="s">
        <v>63</v>
      </c>
      <c r="M160" s="107">
        <v>46269</v>
      </c>
      <c r="N160" s="51"/>
      <c r="O160" s="107">
        <v>46269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589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585</v>
      </c>
      <c r="L161" s="51" t="s">
        <v>63</v>
      </c>
      <c r="M161" s="107">
        <v>46269</v>
      </c>
      <c r="N161" s="51"/>
      <c r="O161" s="107">
        <v>46269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589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585</v>
      </c>
      <c r="L162" s="51" t="s">
        <v>63</v>
      </c>
      <c r="M162" s="107">
        <v>46269</v>
      </c>
      <c r="N162" s="51"/>
      <c r="O162" s="107">
        <v>46269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589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585</v>
      </c>
      <c r="L163" s="51" t="s">
        <v>63</v>
      </c>
      <c r="M163" s="107">
        <v>46269</v>
      </c>
      <c r="N163" s="51"/>
      <c r="O163" s="107">
        <v>46269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589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585</v>
      </c>
      <c r="L164" s="51" t="s">
        <v>63</v>
      </c>
      <c r="M164" s="107">
        <v>46269</v>
      </c>
      <c r="N164" s="51"/>
      <c r="O164" s="107">
        <v>46269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589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585</v>
      </c>
      <c r="L165" s="51" t="s">
        <v>63</v>
      </c>
      <c r="M165" s="107">
        <v>46269</v>
      </c>
      <c r="N165" s="51"/>
      <c r="O165" s="107">
        <v>46269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589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585</v>
      </c>
      <c r="L166" s="51" t="s">
        <v>63</v>
      </c>
      <c r="M166" s="107">
        <v>46619</v>
      </c>
      <c r="N166" s="51"/>
      <c r="O166" s="107">
        <v>46619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 t="s">
        <v>701</v>
      </c>
    </row>
    <row r="167" spans="1:28" ht="20.100000000000001" hidden="1" customHeight="1" x14ac:dyDescent="0.25">
      <c r="A167" s="51">
        <v>2353</v>
      </c>
      <c r="B167" s="51">
        <v>18</v>
      </c>
      <c r="C167" s="51" t="s">
        <v>589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585</v>
      </c>
      <c r="L167" s="51" t="s">
        <v>63</v>
      </c>
      <c r="M167" s="107">
        <v>46619</v>
      </c>
      <c r="N167" s="51"/>
      <c r="O167" s="107">
        <v>46619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 t="s">
        <v>701</v>
      </c>
    </row>
    <row r="168" spans="1:28" ht="20.100000000000001" hidden="1" customHeight="1" x14ac:dyDescent="0.25">
      <c r="A168" s="51">
        <v>2353</v>
      </c>
      <c r="B168" s="51">
        <v>19</v>
      </c>
      <c r="C168" s="51" t="s">
        <v>589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585</v>
      </c>
      <c r="L168" s="51" t="s">
        <v>63</v>
      </c>
      <c r="M168" s="107">
        <v>46619</v>
      </c>
      <c r="N168" s="51"/>
      <c r="O168" s="107">
        <v>46619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 t="s">
        <v>701</v>
      </c>
    </row>
    <row r="169" spans="1:28" ht="20.100000000000001" hidden="1" customHeight="1" x14ac:dyDescent="0.25">
      <c r="A169" s="51">
        <v>2353</v>
      </c>
      <c r="B169" s="51">
        <v>20</v>
      </c>
      <c r="C169" s="51" t="s">
        <v>589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585</v>
      </c>
      <c r="L169" s="51" t="s">
        <v>63</v>
      </c>
      <c r="M169" s="107">
        <v>46619</v>
      </c>
      <c r="N169" s="51"/>
      <c r="O169" s="107">
        <v>46619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 t="s">
        <v>701</v>
      </c>
    </row>
    <row r="170" spans="1:28" ht="20.100000000000001" hidden="1" customHeight="1" x14ac:dyDescent="0.25">
      <c r="A170" s="51">
        <v>2353</v>
      </c>
      <c r="B170" s="51">
        <v>21</v>
      </c>
      <c r="C170" s="51" t="s">
        <v>589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585</v>
      </c>
      <c r="L170" s="51" t="s">
        <v>63</v>
      </c>
      <c r="M170" s="107">
        <v>46619</v>
      </c>
      <c r="N170" s="51"/>
      <c r="O170" s="107">
        <v>46619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 t="s">
        <v>701</v>
      </c>
    </row>
    <row r="171" spans="1:28" ht="20.100000000000001" hidden="1" customHeight="1" x14ac:dyDescent="0.25">
      <c r="A171" s="51">
        <v>2353</v>
      </c>
      <c r="B171" s="51">
        <v>22</v>
      </c>
      <c r="C171" s="51" t="s">
        <v>589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585</v>
      </c>
      <c r="L171" s="51" t="s">
        <v>63</v>
      </c>
      <c r="M171" s="107">
        <v>46619</v>
      </c>
      <c r="N171" s="51"/>
      <c r="O171" s="107">
        <v>46619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 t="s">
        <v>701</v>
      </c>
    </row>
    <row r="172" spans="1:28" ht="20.100000000000001" hidden="1" customHeight="1" x14ac:dyDescent="0.25">
      <c r="A172" s="51">
        <v>2353</v>
      </c>
      <c r="B172" s="51">
        <v>23</v>
      </c>
      <c r="C172" s="51" t="s">
        <v>589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585</v>
      </c>
      <c r="L172" s="51" t="s">
        <v>63</v>
      </c>
      <c r="M172" s="107">
        <v>46248</v>
      </c>
      <c r="N172" s="51"/>
      <c r="O172" s="107">
        <v>46248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589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585</v>
      </c>
      <c r="L173" s="51" t="s">
        <v>63</v>
      </c>
      <c r="M173" s="107">
        <v>46248</v>
      </c>
      <c r="N173" s="51"/>
      <c r="O173" s="107">
        <v>46248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589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585</v>
      </c>
      <c r="L174" s="51" t="s">
        <v>63</v>
      </c>
      <c r="M174" s="107">
        <v>46248</v>
      </c>
      <c r="N174" s="51"/>
      <c r="O174" s="107">
        <v>46248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589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585</v>
      </c>
      <c r="L175" s="51" t="s">
        <v>63</v>
      </c>
      <c r="M175" s="107">
        <v>46248</v>
      </c>
      <c r="N175" s="51"/>
      <c r="O175" s="107">
        <v>46248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589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585</v>
      </c>
      <c r="L176" s="51" t="s">
        <v>63</v>
      </c>
      <c r="M176" s="107">
        <v>46248</v>
      </c>
      <c r="N176" s="51"/>
      <c r="O176" s="107">
        <v>46248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589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585</v>
      </c>
      <c r="L177" s="51" t="s">
        <v>63</v>
      </c>
      <c r="M177" s="107">
        <v>46255</v>
      </c>
      <c r="N177" s="51"/>
      <c r="O177" s="107">
        <v>46255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589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585</v>
      </c>
      <c r="L178" s="51" t="s">
        <v>63</v>
      </c>
      <c r="M178" s="107">
        <v>46255</v>
      </c>
      <c r="N178" s="51"/>
      <c r="O178" s="107">
        <v>46255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589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585</v>
      </c>
      <c r="L179" s="51" t="s">
        <v>63</v>
      </c>
      <c r="M179" s="107">
        <v>46255</v>
      </c>
      <c r="N179" s="51"/>
      <c r="O179" s="107">
        <v>46255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589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585</v>
      </c>
      <c r="L180" s="51" t="s">
        <v>63</v>
      </c>
      <c r="M180" s="107">
        <v>46255</v>
      </c>
      <c r="N180" s="51"/>
      <c r="O180" s="107">
        <v>46255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589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585</v>
      </c>
      <c r="L181" s="51" t="s">
        <v>63</v>
      </c>
      <c r="M181" s="107">
        <v>46255</v>
      </c>
      <c r="N181" s="51"/>
      <c r="O181" s="107">
        <v>46255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589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585</v>
      </c>
      <c r="L182" s="51" t="s">
        <v>63</v>
      </c>
      <c r="M182" s="107">
        <v>46262</v>
      </c>
      <c r="N182" s="51"/>
      <c r="O182" s="107">
        <v>46262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589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585</v>
      </c>
      <c r="L183" s="51" t="s">
        <v>63</v>
      </c>
      <c r="M183" s="107">
        <v>46262</v>
      </c>
      <c r="N183" s="51"/>
      <c r="O183" s="107">
        <v>46262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589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585</v>
      </c>
      <c r="L184" s="51" t="s">
        <v>63</v>
      </c>
      <c r="M184" s="107">
        <v>46262</v>
      </c>
      <c r="N184" s="51"/>
      <c r="O184" s="107">
        <v>46262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589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585</v>
      </c>
      <c r="L185" s="51" t="s">
        <v>63</v>
      </c>
      <c r="M185" s="107">
        <v>46262</v>
      </c>
      <c r="N185" s="51"/>
      <c r="O185" s="107">
        <v>46262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589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585</v>
      </c>
      <c r="L186" s="51" t="s">
        <v>63</v>
      </c>
      <c r="M186" s="107">
        <v>46262</v>
      </c>
      <c r="N186" s="51"/>
      <c r="O186" s="107">
        <v>46262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589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585</v>
      </c>
      <c r="L187" s="51" t="s">
        <v>63</v>
      </c>
      <c r="M187" s="107">
        <v>46262</v>
      </c>
      <c r="N187" s="51"/>
      <c r="O187" s="107">
        <v>46262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589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585</v>
      </c>
      <c r="L188" s="51" t="s">
        <v>63</v>
      </c>
      <c r="M188" s="107">
        <v>46262</v>
      </c>
      <c r="N188" s="51"/>
      <c r="O188" s="107">
        <v>46262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589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585</v>
      </c>
      <c r="L189" s="51" t="s">
        <v>63</v>
      </c>
      <c r="M189" s="107">
        <v>46262</v>
      </c>
      <c r="N189" s="51"/>
      <c r="O189" s="107">
        <v>46262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589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585</v>
      </c>
      <c r="L190" s="51" t="s">
        <v>63</v>
      </c>
      <c r="M190" s="107">
        <v>46269</v>
      </c>
      <c r="N190" s="51"/>
      <c r="O190" s="107">
        <v>46269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589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585</v>
      </c>
      <c r="L191" s="51" t="s">
        <v>63</v>
      </c>
      <c r="M191" s="107">
        <v>46269</v>
      </c>
      <c r="N191" s="51"/>
      <c r="O191" s="107">
        <v>46269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589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585</v>
      </c>
      <c r="L192" s="51" t="s">
        <v>63</v>
      </c>
      <c r="M192" s="107">
        <v>46269</v>
      </c>
      <c r="N192" s="51"/>
      <c r="O192" s="107">
        <v>46269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589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585</v>
      </c>
      <c r="L193" s="51" t="s">
        <v>63</v>
      </c>
      <c r="M193" s="107">
        <v>46269</v>
      </c>
      <c r="N193" s="51"/>
      <c r="O193" s="107">
        <v>46269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589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585</v>
      </c>
      <c r="L194" s="51" t="s">
        <v>63</v>
      </c>
      <c r="M194" s="107">
        <v>46269</v>
      </c>
      <c r="N194" s="51"/>
      <c r="O194" s="107">
        <v>46269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589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585</v>
      </c>
      <c r="L195" s="51" t="s">
        <v>63</v>
      </c>
      <c r="M195" s="107">
        <v>46269</v>
      </c>
      <c r="N195" s="51"/>
      <c r="O195" s="107">
        <v>46269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589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585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589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585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589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585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589</v>
      </c>
      <c r="D199" s="111">
        <v>6792</v>
      </c>
      <c r="E199" s="51" t="s">
        <v>255</v>
      </c>
      <c r="F199" s="51">
        <v>1</v>
      </c>
      <c r="G199" s="83" t="s">
        <v>586</v>
      </c>
      <c r="H199" s="51" t="s">
        <v>63</v>
      </c>
      <c r="I199" s="51" t="s">
        <v>63</v>
      </c>
      <c r="J199" s="51" t="s">
        <v>63</v>
      </c>
      <c r="K199" s="51" t="s">
        <v>585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589</v>
      </c>
      <c r="D200" s="111">
        <v>6793</v>
      </c>
      <c r="E200" s="51" t="s">
        <v>255</v>
      </c>
      <c r="F200" s="51">
        <v>1</v>
      </c>
      <c r="G200" s="83" t="s">
        <v>586</v>
      </c>
      <c r="H200" s="51" t="s">
        <v>63</v>
      </c>
      <c r="I200" s="51" t="s">
        <v>63</v>
      </c>
      <c r="J200" s="51" t="s">
        <v>63</v>
      </c>
      <c r="K200" s="51" t="s">
        <v>585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589</v>
      </c>
      <c r="D201" s="111">
        <v>6794</v>
      </c>
      <c r="E201" s="51" t="s">
        <v>255</v>
      </c>
      <c r="F201" s="51">
        <v>1</v>
      </c>
      <c r="G201" s="83" t="s">
        <v>586</v>
      </c>
      <c r="H201" s="51" t="s">
        <v>63</v>
      </c>
      <c r="I201" s="51" t="s">
        <v>63</v>
      </c>
      <c r="J201" s="51" t="s">
        <v>63</v>
      </c>
      <c r="K201" s="51" t="s">
        <v>585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589</v>
      </c>
      <c r="D202" s="111">
        <v>6795</v>
      </c>
      <c r="E202" s="51" t="s">
        <v>255</v>
      </c>
      <c r="F202" s="51">
        <v>1</v>
      </c>
      <c r="G202" s="83" t="s">
        <v>586</v>
      </c>
      <c r="H202" s="51" t="s">
        <v>63</v>
      </c>
      <c r="I202" s="51" t="s">
        <v>63</v>
      </c>
      <c r="J202" s="51" t="s">
        <v>63</v>
      </c>
      <c r="K202" s="51" t="s">
        <v>585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589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585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589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585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589</v>
      </c>
      <c r="D205" s="111">
        <v>6798</v>
      </c>
      <c r="E205" s="51" t="s">
        <v>255</v>
      </c>
      <c r="F205" s="51">
        <v>1</v>
      </c>
      <c r="G205" s="83" t="s">
        <v>586</v>
      </c>
      <c r="H205" s="51" t="s">
        <v>63</v>
      </c>
      <c r="I205" s="51" t="s">
        <v>63</v>
      </c>
      <c r="J205" s="51" t="s">
        <v>63</v>
      </c>
      <c r="K205" s="51" t="s">
        <v>585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589</v>
      </c>
      <c r="D206" s="111">
        <v>6799</v>
      </c>
      <c r="E206" s="51" t="s">
        <v>255</v>
      </c>
      <c r="F206" s="51">
        <v>1</v>
      </c>
      <c r="G206" s="83" t="s">
        <v>586</v>
      </c>
      <c r="H206" s="51" t="s">
        <v>63</v>
      </c>
      <c r="I206" s="51" t="s">
        <v>63</v>
      </c>
      <c r="J206" s="51" t="s">
        <v>63</v>
      </c>
      <c r="K206" s="51" t="s">
        <v>585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589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585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589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585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589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585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589</v>
      </c>
      <c r="D210" s="111">
        <v>6803</v>
      </c>
      <c r="E210" s="51" t="s">
        <v>255</v>
      </c>
      <c r="F210" s="51">
        <v>1</v>
      </c>
      <c r="G210" s="83" t="s">
        <v>587</v>
      </c>
      <c r="H210" s="51" t="s">
        <v>63</v>
      </c>
      <c r="I210" s="51" t="s">
        <v>63</v>
      </c>
      <c r="J210" s="51" t="s">
        <v>63</v>
      </c>
      <c r="K210" s="51" t="s">
        <v>585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589</v>
      </c>
      <c r="D211" s="111">
        <v>6804</v>
      </c>
      <c r="E211" s="51" t="s">
        <v>255</v>
      </c>
      <c r="F211" s="51">
        <v>1</v>
      </c>
      <c r="G211" s="83" t="s">
        <v>587</v>
      </c>
      <c r="H211" s="51" t="s">
        <v>63</v>
      </c>
      <c r="I211" s="51" t="s">
        <v>63</v>
      </c>
      <c r="J211" s="51" t="s">
        <v>63</v>
      </c>
      <c r="K211" s="51" t="s">
        <v>585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589</v>
      </c>
      <c r="D212" s="111">
        <v>6805</v>
      </c>
      <c r="E212" s="51" t="s">
        <v>255</v>
      </c>
      <c r="F212" s="51">
        <v>1</v>
      </c>
      <c r="G212" s="83" t="s">
        <v>587</v>
      </c>
      <c r="H212" s="51" t="s">
        <v>63</v>
      </c>
      <c r="I212" s="51" t="s">
        <v>63</v>
      </c>
      <c r="J212" s="51" t="s">
        <v>63</v>
      </c>
      <c r="K212" s="51" t="s">
        <v>585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589</v>
      </c>
      <c r="D213" s="111">
        <v>6806</v>
      </c>
      <c r="E213" s="51" t="s">
        <v>255</v>
      </c>
      <c r="F213" s="51">
        <v>1</v>
      </c>
      <c r="G213" s="83" t="s">
        <v>587</v>
      </c>
      <c r="H213" s="51" t="s">
        <v>63</v>
      </c>
      <c r="I213" s="51" t="s">
        <v>63</v>
      </c>
      <c r="J213" s="51" t="s">
        <v>63</v>
      </c>
      <c r="K213" s="51" t="s">
        <v>585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589</v>
      </c>
      <c r="D214" s="111">
        <v>6808</v>
      </c>
      <c r="E214" s="51" t="s">
        <v>255</v>
      </c>
      <c r="F214" s="51">
        <v>1</v>
      </c>
      <c r="G214" s="83" t="s">
        <v>588</v>
      </c>
      <c r="H214" s="51" t="s">
        <v>63</v>
      </c>
      <c r="I214" s="51" t="s">
        <v>63</v>
      </c>
      <c r="J214" s="51" t="s">
        <v>63</v>
      </c>
      <c r="K214" s="51" t="s">
        <v>585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589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585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589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585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589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585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589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585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589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585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677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589</v>
      </c>
      <c r="D220" s="111">
        <v>6817</v>
      </c>
      <c r="E220" s="51" t="s">
        <v>255</v>
      </c>
      <c r="F220" s="51">
        <v>1</v>
      </c>
      <c r="G220" s="83" t="s">
        <v>586</v>
      </c>
      <c r="H220" s="51" t="s">
        <v>63</v>
      </c>
      <c r="I220" s="51" t="s">
        <v>63</v>
      </c>
      <c r="J220" s="51" t="s">
        <v>63</v>
      </c>
      <c r="K220" s="51" t="s">
        <v>585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589</v>
      </c>
      <c r="D221" s="111">
        <v>6818</v>
      </c>
      <c r="E221" s="51" t="s">
        <v>255</v>
      </c>
      <c r="F221" s="51">
        <v>1</v>
      </c>
      <c r="G221" s="83" t="s">
        <v>586</v>
      </c>
      <c r="H221" s="51" t="s">
        <v>63</v>
      </c>
      <c r="I221" s="51" t="s">
        <v>63</v>
      </c>
      <c r="J221" s="51" t="s">
        <v>63</v>
      </c>
      <c r="K221" s="51" t="s">
        <v>585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589</v>
      </c>
      <c r="D222" s="111">
        <v>6819</v>
      </c>
      <c r="E222" s="51" t="s">
        <v>255</v>
      </c>
      <c r="F222" s="51">
        <v>1</v>
      </c>
      <c r="G222" s="83" t="s">
        <v>586</v>
      </c>
      <c r="H222" s="51" t="s">
        <v>63</v>
      </c>
      <c r="I222" s="51" t="s">
        <v>63</v>
      </c>
      <c r="J222" s="51" t="s">
        <v>63</v>
      </c>
      <c r="K222" s="51" t="s">
        <v>585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589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585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602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589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585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602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589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585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567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635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567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636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567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637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567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638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567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639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567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640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567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641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567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642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567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643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567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644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567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645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567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646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567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647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567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648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567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649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567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650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567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651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567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652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hidden="1" customHeight="1" x14ac:dyDescent="0.25">
      <c r="A244" s="51">
        <v>1055</v>
      </c>
      <c r="B244" s="51" t="s">
        <v>63</v>
      </c>
      <c r="C244" s="51" t="s">
        <v>678</v>
      </c>
      <c r="D244" s="51" t="s">
        <v>63</v>
      </c>
      <c r="E244" s="51" t="s">
        <v>255</v>
      </c>
      <c r="F244" s="51">
        <v>1</v>
      </c>
      <c r="G244" s="51">
        <v>2000</v>
      </c>
      <c r="H244" s="51" t="s">
        <v>248</v>
      </c>
      <c r="I244" s="51" t="s">
        <v>367</v>
      </c>
      <c r="J244" s="51" t="s">
        <v>200</v>
      </c>
      <c r="K244" s="51" t="s">
        <v>205</v>
      </c>
      <c r="L244" s="51">
        <v>60</v>
      </c>
      <c r="M244" s="51" t="s">
        <v>63</v>
      </c>
      <c r="N244" s="51" t="s">
        <v>63</v>
      </c>
      <c r="O244" s="52">
        <v>46290</v>
      </c>
      <c r="P244" s="52">
        <v>46264</v>
      </c>
      <c r="Q244" s="51" t="s">
        <v>58</v>
      </c>
      <c r="R244" s="51" t="s">
        <v>365</v>
      </c>
      <c r="S244" s="51" t="s">
        <v>221</v>
      </c>
      <c r="T244" s="51" t="s">
        <v>220</v>
      </c>
      <c r="U244" s="51" t="s">
        <v>224</v>
      </c>
      <c r="V244" s="51"/>
      <c r="W244" s="51"/>
      <c r="X244" s="51"/>
      <c r="Y244" s="51"/>
      <c r="Z244" s="51"/>
      <c r="AA244" s="51" t="s">
        <v>196</v>
      </c>
      <c r="AB244" s="51"/>
    </row>
    <row r="245" spans="1:28" ht="20.100000000000001" hidden="1" customHeight="1" x14ac:dyDescent="0.25">
      <c r="A245" s="51">
        <v>1055</v>
      </c>
      <c r="B245" s="51" t="s">
        <v>63</v>
      </c>
      <c r="C245" s="51" t="s">
        <v>678</v>
      </c>
      <c r="D245" s="51"/>
      <c r="E245" s="51" t="s">
        <v>255</v>
      </c>
      <c r="F245" s="51">
        <v>1</v>
      </c>
      <c r="G245" s="51">
        <v>2000</v>
      </c>
      <c r="H245" s="51" t="s">
        <v>249</v>
      </c>
      <c r="I245" s="51" t="s">
        <v>684</v>
      </c>
      <c r="J245" s="51" t="s">
        <v>200</v>
      </c>
      <c r="K245" s="51" t="s">
        <v>193</v>
      </c>
      <c r="L245" s="51">
        <v>61</v>
      </c>
      <c r="M245" s="52">
        <v>46282</v>
      </c>
      <c r="N245" s="51" t="s">
        <v>63</v>
      </c>
      <c r="O245" s="52">
        <v>46304</v>
      </c>
      <c r="P245" s="52">
        <v>46264</v>
      </c>
      <c r="Q245" s="51" t="s">
        <v>58</v>
      </c>
      <c r="R245" s="51" t="s">
        <v>220</v>
      </c>
      <c r="S245" s="51" t="s">
        <v>222</v>
      </c>
      <c r="T245" s="51" t="s">
        <v>223</v>
      </c>
      <c r="U245" s="51" t="s">
        <v>225</v>
      </c>
      <c r="V245" s="51" t="s">
        <v>226</v>
      </c>
      <c r="W245" s="51" t="s">
        <v>227</v>
      </c>
      <c r="X245" s="51" t="s">
        <v>224</v>
      </c>
      <c r="Y245" s="51" t="s">
        <v>228</v>
      </c>
      <c r="Z245" s="51" t="s">
        <v>229</v>
      </c>
      <c r="AA245" s="51" t="s">
        <v>48</v>
      </c>
      <c r="AB245" s="51"/>
    </row>
    <row r="246" spans="1:28" ht="20.100000000000001" hidden="1" customHeight="1" x14ac:dyDescent="0.25">
      <c r="A246" s="51">
        <v>1055</v>
      </c>
      <c r="B246" s="51" t="s">
        <v>63</v>
      </c>
      <c r="C246" s="51" t="s">
        <v>678</v>
      </c>
      <c r="D246" s="51"/>
      <c r="E246" s="51" t="s">
        <v>255</v>
      </c>
      <c r="F246" s="51">
        <v>1</v>
      </c>
      <c r="G246" s="51">
        <v>2000</v>
      </c>
      <c r="H246" s="51" t="s">
        <v>248</v>
      </c>
      <c r="I246" s="51" t="s">
        <v>250</v>
      </c>
      <c r="J246" s="51" t="s">
        <v>200</v>
      </c>
      <c r="K246" s="51" t="s">
        <v>193</v>
      </c>
      <c r="L246" s="51" t="s">
        <v>685</v>
      </c>
      <c r="M246" s="52">
        <v>46282</v>
      </c>
      <c r="N246" s="51" t="s">
        <v>63</v>
      </c>
      <c r="O246" s="52">
        <v>46411</v>
      </c>
      <c r="P246" s="52">
        <v>46264</v>
      </c>
      <c r="Q246" s="51" t="s">
        <v>58</v>
      </c>
      <c r="R246" s="51" t="s">
        <v>687</v>
      </c>
      <c r="S246" s="51" t="s">
        <v>220</v>
      </c>
      <c r="T246" s="51" t="s">
        <v>224</v>
      </c>
      <c r="U246" s="51"/>
      <c r="V246" s="51"/>
      <c r="W246" s="51"/>
      <c r="X246" s="51"/>
      <c r="Y246" s="51"/>
      <c r="Z246" s="51"/>
      <c r="AA246" s="51" t="s">
        <v>48</v>
      </c>
      <c r="AB246" s="51"/>
    </row>
    <row r="247" spans="1:28" ht="20.100000000000001" hidden="1" customHeight="1" x14ac:dyDescent="0.25">
      <c r="A247" s="51">
        <v>1055</v>
      </c>
      <c r="B247" s="51" t="s">
        <v>63</v>
      </c>
      <c r="C247" s="51" t="s">
        <v>678</v>
      </c>
      <c r="D247" s="51" t="s">
        <v>63</v>
      </c>
      <c r="E247" s="51" t="s">
        <v>255</v>
      </c>
      <c r="F247" s="51">
        <v>1</v>
      </c>
      <c r="G247" s="51">
        <v>2000</v>
      </c>
      <c r="H247" s="51" t="s">
        <v>248</v>
      </c>
      <c r="I247" s="51" t="s">
        <v>369</v>
      </c>
      <c r="J247" s="51" t="s">
        <v>200</v>
      </c>
      <c r="K247" s="51" t="s">
        <v>205</v>
      </c>
      <c r="L247" s="51">
        <v>58</v>
      </c>
      <c r="M247" s="51" t="s">
        <v>63</v>
      </c>
      <c r="N247" s="51" t="s">
        <v>63</v>
      </c>
      <c r="O247" s="52">
        <v>46417</v>
      </c>
      <c r="P247" s="52">
        <v>46264</v>
      </c>
      <c r="Q247" s="51" t="s">
        <v>58</v>
      </c>
      <c r="R247" s="51" t="s">
        <v>365</v>
      </c>
      <c r="S247" s="51" t="s">
        <v>221</v>
      </c>
      <c r="T247" s="51" t="s">
        <v>220</v>
      </c>
      <c r="U247" s="51" t="s">
        <v>224</v>
      </c>
      <c r="V247" s="51"/>
      <c r="W247" s="51"/>
      <c r="X247" s="51"/>
      <c r="Y247" s="51"/>
      <c r="Z247" s="51"/>
      <c r="AA247" s="51" t="s">
        <v>196</v>
      </c>
      <c r="AB247" s="51"/>
    </row>
    <row r="248" spans="1:28" ht="20.100000000000001" hidden="1" customHeight="1" x14ac:dyDescent="0.25">
      <c r="A248" s="51">
        <v>1055</v>
      </c>
      <c r="B248" s="51" t="s">
        <v>63</v>
      </c>
      <c r="C248" s="51" t="s">
        <v>678</v>
      </c>
      <c r="D248" s="51" t="s">
        <v>63</v>
      </c>
      <c r="E248" s="51" t="s">
        <v>255</v>
      </c>
      <c r="F248" s="51">
        <v>1</v>
      </c>
      <c r="G248" s="51">
        <v>1700</v>
      </c>
      <c r="H248" s="51" t="s">
        <v>248</v>
      </c>
      <c r="I248" s="51" t="s">
        <v>367</v>
      </c>
      <c r="J248" s="51" t="s">
        <v>201</v>
      </c>
      <c r="K248" s="51" t="s">
        <v>205</v>
      </c>
      <c r="L248" s="51">
        <v>2</v>
      </c>
      <c r="M248" s="51" t="s">
        <v>63</v>
      </c>
      <c r="N248" s="51" t="s">
        <v>63</v>
      </c>
      <c r="O248" s="52">
        <v>46290</v>
      </c>
      <c r="P248" s="52">
        <v>46264</v>
      </c>
      <c r="Q248" s="51" t="s">
        <v>58</v>
      </c>
      <c r="R248" s="51" t="s">
        <v>365</v>
      </c>
      <c r="S248" s="51" t="s">
        <v>221</v>
      </c>
      <c r="T248" s="51" t="s">
        <v>220</v>
      </c>
      <c r="U248" s="51" t="s">
        <v>224</v>
      </c>
      <c r="V248" s="51"/>
      <c r="W248" s="51"/>
      <c r="X248" s="51"/>
      <c r="Y248" s="51"/>
      <c r="Z248" s="51"/>
      <c r="AA248" s="51" t="s">
        <v>196</v>
      </c>
      <c r="AB248" s="51"/>
    </row>
    <row r="249" spans="1:28" ht="20.100000000000001" hidden="1" customHeight="1" x14ac:dyDescent="0.25">
      <c r="A249" s="51">
        <v>1055</v>
      </c>
      <c r="B249" s="51" t="s">
        <v>63</v>
      </c>
      <c r="C249" s="51" t="s">
        <v>678</v>
      </c>
      <c r="D249" s="51"/>
      <c r="E249" s="51" t="s">
        <v>255</v>
      </c>
      <c r="F249" s="51">
        <v>1</v>
      </c>
      <c r="G249" s="51">
        <v>1700</v>
      </c>
      <c r="H249" s="51" t="s">
        <v>249</v>
      </c>
      <c r="I249" s="51" t="s">
        <v>684</v>
      </c>
      <c r="J249" s="51" t="s">
        <v>201</v>
      </c>
      <c r="K249" s="51" t="s">
        <v>193</v>
      </c>
      <c r="L249" s="51">
        <v>20</v>
      </c>
      <c r="M249" s="52">
        <v>46282</v>
      </c>
      <c r="N249" s="51" t="s">
        <v>63</v>
      </c>
      <c r="O249" s="52">
        <v>46311</v>
      </c>
      <c r="P249" s="52">
        <v>46264</v>
      </c>
      <c r="Q249" s="51" t="s">
        <v>58</v>
      </c>
      <c r="R249" s="51" t="s">
        <v>220</v>
      </c>
      <c r="S249" s="51" t="s">
        <v>222</v>
      </c>
      <c r="T249" s="51" t="s">
        <v>223</v>
      </c>
      <c r="U249" s="51" t="s">
        <v>225</v>
      </c>
      <c r="V249" s="51" t="s">
        <v>226</v>
      </c>
      <c r="W249" s="51" t="s">
        <v>227</v>
      </c>
      <c r="X249" s="51" t="s">
        <v>224</v>
      </c>
      <c r="Y249" s="51" t="s">
        <v>228</v>
      </c>
      <c r="Z249" s="51" t="s">
        <v>229</v>
      </c>
      <c r="AA249" s="51" t="s">
        <v>48</v>
      </c>
      <c r="AB249" s="51"/>
    </row>
    <row r="250" spans="1:28" ht="20.100000000000001" hidden="1" customHeight="1" x14ac:dyDescent="0.25">
      <c r="A250" s="51">
        <v>1055</v>
      </c>
      <c r="B250" s="51" t="s">
        <v>63</v>
      </c>
      <c r="C250" s="51" t="s">
        <v>678</v>
      </c>
      <c r="D250" s="51"/>
      <c r="E250" s="51" t="s">
        <v>255</v>
      </c>
      <c r="F250" s="51">
        <v>1</v>
      </c>
      <c r="G250" s="51">
        <v>1700</v>
      </c>
      <c r="H250" s="51" t="s">
        <v>248</v>
      </c>
      <c r="I250" s="51" t="s">
        <v>250</v>
      </c>
      <c r="J250" s="51" t="s">
        <v>201</v>
      </c>
      <c r="K250" s="51" t="s">
        <v>193</v>
      </c>
      <c r="L250" s="51" t="s">
        <v>686</v>
      </c>
      <c r="M250" s="52">
        <v>46282</v>
      </c>
      <c r="N250" s="51" t="s">
        <v>63</v>
      </c>
      <c r="O250" s="52">
        <v>46415</v>
      </c>
      <c r="P250" s="52">
        <v>46264</v>
      </c>
      <c r="Q250" s="51" t="s">
        <v>58</v>
      </c>
      <c r="R250" s="51" t="s">
        <v>687</v>
      </c>
      <c r="S250" s="51" t="s">
        <v>220</v>
      </c>
      <c r="T250" s="51" t="s">
        <v>224</v>
      </c>
      <c r="U250" s="51"/>
      <c r="V250" s="51"/>
      <c r="W250" s="51"/>
      <c r="X250" s="51"/>
      <c r="Y250" s="51"/>
      <c r="Z250" s="51"/>
      <c r="AA250" s="51" t="s">
        <v>48</v>
      </c>
      <c r="AB250" s="51"/>
    </row>
    <row r="251" spans="1:28" ht="20.100000000000001" hidden="1" customHeight="1" x14ac:dyDescent="0.25">
      <c r="A251" s="51">
        <v>1055</v>
      </c>
      <c r="B251" s="51" t="s">
        <v>63</v>
      </c>
      <c r="C251" s="51" t="s">
        <v>678</v>
      </c>
      <c r="D251" s="51" t="s">
        <v>63</v>
      </c>
      <c r="E251" s="51" t="s">
        <v>255</v>
      </c>
      <c r="F251" s="51">
        <v>1</v>
      </c>
      <c r="G251" s="51">
        <v>1700</v>
      </c>
      <c r="H251" s="51" t="s">
        <v>248</v>
      </c>
      <c r="I251" s="51" t="s">
        <v>369</v>
      </c>
      <c r="J251" s="51" t="s">
        <v>201</v>
      </c>
      <c r="K251" s="51" t="s">
        <v>205</v>
      </c>
      <c r="L251" s="51">
        <v>19</v>
      </c>
      <c r="M251" s="51" t="s">
        <v>63</v>
      </c>
      <c r="N251" s="51" t="s">
        <v>63</v>
      </c>
      <c r="O251" s="52">
        <v>46419</v>
      </c>
      <c r="P251" s="52">
        <v>46264</v>
      </c>
      <c r="Q251" s="51" t="s">
        <v>58</v>
      </c>
      <c r="R251" s="51" t="s">
        <v>365</v>
      </c>
      <c r="S251" s="51" t="s">
        <v>221</v>
      </c>
      <c r="T251" s="51" t="s">
        <v>220</v>
      </c>
      <c r="U251" s="51" t="s">
        <v>224</v>
      </c>
      <c r="V251" s="51"/>
      <c r="W251" s="51"/>
      <c r="X251" s="51"/>
      <c r="Y251" s="51"/>
      <c r="Z251" s="51"/>
      <c r="AA251" s="51" t="s">
        <v>196</v>
      </c>
      <c r="AB251" s="51"/>
    </row>
    <row r="252" spans="1:28" ht="20.100000000000001" hidden="1" customHeight="1" x14ac:dyDescent="0.25">
      <c r="A252" s="51">
        <v>1055</v>
      </c>
      <c r="B252" s="51" t="s">
        <v>63</v>
      </c>
      <c r="C252" s="51" t="s">
        <v>678</v>
      </c>
      <c r="D252" s="51" t="s">
        <v>63</v>
      </c>
      <c r="E252" s="51" t="s">
        <v>255</v>
      </c>
      <c r="F252" s="51">
        <v>1</v>
      </c>
      <c r="G252" s="51">
        <v>1700</v>
      </c>
      <c r="H252" s="51" t="s">
        <v>248</v>
      </c>
      <c r="I252" s="51" t="s">
        <v>367</v>
      </c>
      <c r="J252" s="51" t="s">
        <v>202</v>
      </c>
      <c r="K252" s="51" t="s">
        <v>205</v>
      </c>
      <c r="L252" s="51">
        <v>16</v>
      </c>
      <c r="M252" s="51" t="s">
        <v>63</v>
      </c>
      <c r="N252" s="51" t="s">
        <v>63</v>
      </c>
      <c r="O252" s="52">
        <v>46297</v>
      </c>
      <c r="P252" s="52">
        <v>46264</v>
      </c>
      <c r="Q252" s="51" t="s">
        <v>58</v>
      </c>
      <c r="R252" s="51" t="s">
        <v>365</v>
      </c>
      <c r="S252" s="51" t="s">
        <v>221</v>
      </c>
      <c r="T252" s="51" t="s">
        <v>220</v>
      </c>
      <c r="U252" s="51" t="s">
        <v>224</v>
      </c>
      <c r="V252" s="51"/>
      <c r="W252" s="51"/>
      <c r="X252" s="51"/>
      <c r="Y252" s="51"/>
      <c r="Z252" s="51"/>
      <c r="AA252" s="51" t="s">
        <v>196</v>
      </c>
      <c r="AB252" s="51"/>
    </row>
    <row r="253" spans="1:28" ht="20.100000000000001" hidden="1" customHeight="1" x14ac:dyDescent="0.25">
      <c r="A253" s="51">
        <v>1055</v>
      </c>
      <c r="B253" s="51" t="s">
        <v>63</v>
      </c>
      <c r="C253" s="51" t="s">
        <v>678</v>
      </c>
      <c r="D253" s="51"/>
      <c r="E253" s="51" t="s">
        <v>255</v>
      </c>
      <c r="F253" s="51">
        <v>1</v>
      </c>
      <c r="G253" s="51">
        <v>1700</v>
      </c>
      <c r="H253" s="51" t="s">
        <v>248</v>
      </c>
      <c r="I253" s="51" t="s">
        <v>684</v>
      </c>
      <c r="J253" s="51" t="s">
        <v>202</v>
      </c>
      <c r="K253" s="51" t="s">
        <v>193</v>
      </c>
      <c r="L253" s="51">
        <v>5</v>
      </c>
      <c r="M253" s="52">
        <v>46282</v>
      </c>
      <c r="N253" s="51" t="s">
        <v>63</v>
      </c>
      <c r="O253" s="52">
        <v>46311</v>
      </c>
      <c r="P253" s="52">
        <v>46264</v>
      </c>
      <c r="Q253" s="51" t="s">
        <v>58</v>
      </c>
      <c r="R253" s="51" t="s">
        <v>220</v>
      </c>
      <c r="S253" s="51" t="s">
        <v>223</v>
      </c>
      <c r="T253" s="51" t="s">
        <v>224</v>
      </c>
      <c r="U253" s="51"/>
      <c r="V253" s="51"/>
      <c r="W253" s="51"/>
      <c r="X253" s="51"/>
      <c r="Y253" s="51"/>
      <c r="Z253" s="51"/>
      <c r="AA253" s="51" t="s">
        <v>48</v>
      </c>
      <c r="AB253" s="51"/>
    </row>
    <row r="254" spans="1:28" ht="20.100000000000001" hidden="1" customHeight="1" x14ac:dyDescent="0.25">
      <c r="A254" s="51">
        <v>1055</v>
      </c>
      <c r="B254" s="51" t="s">
        <v>63</v>
      </c>
      <c r="C254" s="51" t="s">
        <v>678</v>
      </c>
      <c r="D254" s="51" t="s">
        <v>63</v>
      </c>
      <c r="E254" s="51" t="s">
        <v>255</v>
      </c>
      <c r="F254" s="51">
        <v>1</v>
      </c>
      <c r="G254" s="51">
        <v>1700</v>
      </c>
      <c r="H254" s="51" t="s">
        <v>248</v>
      </c>
      <c r="I254" s="51" t="s">
        <v>369</v>
      </c>
      <c r="J254" s="51" t="s">
        <v>202</v>
      </c>
      <c r="K254" s="51" t="s">
        <v>205</v>
      </c>
      <c r="L254" s="51">
        <v>18</v>
      </c>
      <c r="M254" s="51" t="s">
        <v>63</v>
      </c>
      <c r="N254" s="51" t="s">
        <v>63</v>
      </c>
      <c r="O254" s="52">
        <v>46422</v>
      </c>
      <c r="P254" s="52">
        <v>46264</v>
      </c>
      <c r="Q254" s="51" t="s">
        <v>58</v>
      </c>
      <c r="R254" s="51" t="s">
        <v>365</v>
      </c>
      <c r="S254" s="51" t="s">
        <v>221</v>
      </c>
      <c r="T254" s="51" t="s">
        <v>220</v>
      </c>
      <c r="U254" s="51" t="s">
        <v>224</v>
      </c>
      <c r="V254" s="51"/>
      <c r="W254" s="51"/>
      <c r="X254" s="51"/>
      <c r="Y254" s="51"/>
      <c r="Z254" s="51"/>
      <c r="AA254" s="51" t="s">
        <v>196</v>
      </c>
      <c r="AB254" s="51"/>
    </row>
    <row r="255" spans="1:28" ht="20.100000000000001" hidden="1" customHeight="1" x14ac:dyDescent="0.25">
      <c r="A255" s="51">
        <v>1055</v>
      </c>
      <c r="B255" s="51" t="s">
        <v>63</v>
      </c>
      <c r="C255" s="51" t="s">
        <v>678</v>
      </c>
      <c r="D255" s="51" t="s">
        <v>63</v>
      </c>
      <c r="E255" s="51" t="s">
        <v>255</v>
      </c>
      <c r="F255" s="51">
        <v>1</v>
      </c>
      <c r="G255" s="51">
        <v>1700</v>
      </c>
      <c r="H255" s="51" t="s">
        <v>248</v>
      </c>
      <c r="I255" s="51" t="s">
        <v>367</v>
      </c>
      <c r="J255" s="51" t="s">
        <v>203</v>
      </c>
      <c r="K255" s="51" t="s">
        <v>205</v>
      </c>
      <c r="L255" s="51">
        <v>17</v>
      </c>
      <c r="M255" s="51" t="s">
        <v>63</v>
      </c>
      <c r="N255" s="51" t="s">
        <v>63</v>
      </c>
      <c r="O255" s="52">
        <v>46297</v>
      </c>
      <c r="P255" s="52">
        <v>46264</v>
      </c>
      <c r="Q255" s="51" t="s">
        <v>58</v>
      </c>
      <c r="R255" s="51" t="s">
        <v>365</v>
      </c>
      <c r="S255" s="51" t="s">
        <v>221</v>
      </c>
      <c r="T255" s="51" t="s">
        <v>220</v>
      </c>
      <c r="U255" s="51" t="s">
        <v>224</v>
      </c>
      <c r="V255" s="51"/>
      <c r="W255" s="51"/>
      <c r="X255" s="51"/>
      <c r="Y255" s="51"/>
      <c r="Z255" s="51"/>
      <c r="AA255" s="51" t="s">
        <v>196</v>
      </c>
      <c r="AB255" s="51"/>
    </row>
    <row r="256" spans="1:28" ht="20.100000000000001" hidden="1" customHeight="1" x14ac:dyDescent="0.25">
      <c r="A256" s="51">
        <v>1055</v>
      </c>
      <c r="B256" s="51" t="s">
        <v>63</v>
      </c>
      <c r="C256" s="51" t="s">
        <v>678</v>
      </c>
      <c r="D256" s="51"/>
      <c r="E256" s="51" t="s">
        <v>255</v>
      </c>
      <c r="F256" s="51">
        <v>1</v>
      </c>
      <c r="G256" s="51">
        <v>1700</v>
      </c>
      <c r="H256" s="51" t="s">
        <v>248</v>
      </c>
      <c r="I256" s="51" t="s">
        <v>684</v>
      </c>
      <c r="J256" s="51" t="s">
        <v>203</v>
      </c>
      <c r="K256" s="51" t="s">
        <v>193</v>
      </c>
      <c r="L256" s="51">
        <v>10</v>
      </c>
      <c r="M256" s="52">
        <v>46282</v>
      </c>
      <c r="N256" s="51" t="s">
        <v>63</v>
      </c>
      <c r="O256" s="52">
        <v>46318</v>
      </c>
      <c r="P256" s="52">
        <v>46264</v>
      </c>
      <c r="Q256" s="51" t="s">
        <v>58</v>
      </c>
      <c r="R256" s="51" t="s">
        <v>220</v>
      </c>
      <c r="S256" s="51" t="s">
        <v>223</v>
      </c>
      <c r="T256" s="51" t="s">
        <v>224</v>
      </c>
      <c r="U256" s="51"/>
      <c r="V256" s="51"/>
      <c r="W256" s="51"/>
      <c r="X256" s="51"/>
      <c r="Y256" s="51"/>
      <c r="Z256" s="51"/>
      <c r="AA256" s="51" t="s">
        <v>48</v>
      </c>
      <c r="AB256" s="51"/>
    </row>
    <row r="257" spans="1:28" ht="20.100000000000001" hidden="1" customHeight="1" x14ac:dyDescent="0.25">
      <c r="A257" s="51">
        <v>1055</v>
      </c>
      <c r="B257" s="51" t="s">
        <v>63</v>
      </c>
      <c r="C257" s="51" t="s">
        <v>678</v>
      </c>
      <c r="D257" s="51" t="s">
        <v>63</v>
      </c>
      <c r="E257" s="51" t="s">
        <v>255</v>
      </c>
      <c r="F257" s="51">
        <v>1</v>
      </c>
      <c r="G257" s="51">
        <v>1700</v>
      </c>
      <c r="H257" s="51" t="s">
        <v>248</v>
      </c>
      <c r="I257" s="51" t="s">
        <v>369</v>
      </c>
      <c r="J257" s="51" t="s">
        <v>203</v>
      </c>
      <c r="K257" s="51" t="s">
        <v>205</v>
      </c>
      <c r="L257" s="51">
        <v>4</v>
      </c>
      <c r="M257" s="51" t="s">
        <v>63</v>
      </c>
      <c r="N257" s="51" t="s">
        <v>63</v>
      </c>
      <c r="O257" s="52">
        <v>46424</v>
      </c>
      <c r="P257" s="52">
        <v>46264</v>
      </c>
      <c r="Q257" s="51" t="s">
        <v>58</v>
      </c>
      <c r="R257" s="51" t="s">
        <v>365</v>
      </c>
      <c r="S257" s="51" t="s">
        <v>221</v>
      </c>
      <c r="T257" s="51" t="s">
        <v>220</v>
      </c>
      <c r="U257" s="51" t="s">
        <v>224</v>
      </c>
      <c r="V257" s="51"/>
      <c r="W257" s="51"/>
      <c r="X257" s="51"/>
      <c r="Y257" s="51"/>
      <c r="Z257" s="51"/>
      <c r="AA257" s="51" t="s">
        <v>196</v>
      </c>
      <c r="AB257" s="51"/>
    </row>
    <row r="258" spans="1:28" ht="20.100000000000001" hidden="1" customHeight="1" x14ac:dyDescent="0.25">
      <c r="A258" s="51">
        <v>1055</v>
      </c>
      <c r="B258" s="51" t="s">
        <v>63</v>
      </c>
      <c r="C258" s="51" t="s">
        <v>678</v>
      </c>
      <c r="D258" s="51" t="s">
        <v>63</v>
      </c>
      <c r="E258" s="51" t="s">
        <v>255</v>
      </c>
      <c r="F258" s="51">
        <v>1</v>
      </c>
      <c r="G258" s="51">
        <v>1700</v>
      </c>
      <c r="H258" s="51" t="s">
        <v>248</v>
      </c>
      <c r="I258" s="51" t="s">
        <v>367</v>
      </c>
      <c r="J258" s="51" t="s">
        <v>204</v>
      </c>
      <c r="K258" s="51" t="s">
        <v>205</v>
      </c>
      <c r="L258" s="51">
        <v>21</v>
      </c>
      <c r="M258" s="51" t="s">
        <v>63</v>
      </c>
      <c r="N258" s="51" t="s">
        <v>63</v>
      </c>
      <c r="O258" s="52">
        <v>46304</v>
      </c>
      <c r="P258" s="52">
        <v>46264</v>
      </c>
      <c r="Q258" s="51" t="s">
        <v>58</v>
      </c>
      <c r="R258" s="51" t="s">
        <v>365</v>
      </c>
      <c r="S258" s="51" t="s">
        <v>221</v>
      </c>
      <c r="T258" s="51" t="s">
        <v>220</v>
      </c>
      <c r="U258" s="51" t="s">
        <v>224</v>
      </c>
      <c r="V258" s="51"/>
      <c r="W258" s="51"/>
      <c r="X258" s="51"/>
      <c r="Y258" s="51"/>
      <c r="Z258" s="51"/>
      <c r="AA258" s="51" t="s">
        <v>196</v>
      </c>
      <c r="AB258" s="51"/>
    </row>
    <row r="259" spans="1:28" ht="20.100000000000001" hidden="1" customHeight="1" x14ac:dyDescent="0.25">
      <c r="A259" s="51">
        <v>1055</v>
      </c>
      <c r="B259" s="51" t="s">
        <v>63</v>
      </c>
      <c r="C259" s="51" t="s">
        <v>678</v>
      </c>
      <c r="D259" s="51"/>
      <c r="E259" s="51" t="s">
        <v>255</v>
      </c>
      <c r="F259" s="51">
        <v>1</v>
      </c>
      <c r="G259" s="51">
        <v>1700</v>
      </c>
      <c r="H259" s="51" t="s">
        <v>248</v>
      </c>
      <c r="I259" s="51" t="s">
        <v>684</v>
      </c>
      <c r="J259" s="51" t="s">
        <v>204</v>
      </c>
      <c r="K259" s="51" t="s">
        <v>193</v>
      </c>
      <c r="L259" s="51">
        <v>23</v>
      </c>
      <c r="M259" s="52">
        <v>46282</v>
      </c>
      <c r="N259" s="51" t="s">
        <v>63</v>
      </c>
      <c r="O259" s="52">
        <v>46318</v>
      </c>
      <c r="P259" s="52">
        <v>46264</v>
      </c>
      <c r="Q259" s="51" t="s">
        <v>58</v>
      </c>
      <c r="R259" s="51" t="s">
        <v>220</v>
      </c>
      <c r="S259" s="51" t="s">
        <v>223</v>
      </c>
      <c r="T259" s="51" t="s">
        <v>224</v>
      </c>
      <c r="U259" s="51"/>
      <c r="V259" s="51"/>
      <c r="W259" s="51"/>
      <c r="X259" s="51"/>
      <c r="Y259" s="51"/>
      <c r="Z259" s="51"/>
      <c r="AA259" s="51" t="s">
        <v>48</v>
      </c>
      <c r="AB259" s="51"/>
    </row>
    <row r="260" spans="1:28" ht="20.100000000000001" hidden="1" customHeight="1" x14ac:dyDescent="0.25">
      <c r="A260" s="51">
        <v>1055</v>
      </c>
      <c r="B260" s="51" t="s">
        <v>63</v>
      </c>
      <c r="C260" s="51" t="s">
        <v>678</v>
      </c>
      <c r="D260" s="51" t="s">
        <v>63</v>
      </c>
      <c r="E260" s="51" t="s">
        <v>255</v>
      </c>
      <c r="F260" s="51">
        <v>1</v>
      </c>
      <c r="G260" s="51">
        <v>1700</v>
      </c>
      <c r="H260" s="51" t="s">
        <v>248</v>
      </c>
      <c r="I260" s="51" t="s">
        <v>369</v>
      </c>
      <c r="J260" s="51" t="s">
        <v>204</v>
      </c>
      <c r="K260" s="51" t="s">
        <v>205</v>
      </c>
      <c r="L260" s="51">
        <v>12</v>
      </c>
      <c r="M260" s="51" t="s">
        <v>63</v>
      </c>
      <c r="N260" s="51" t="s">
        <v>63</v>
      </c>
      <c r="O260" s="52">
        <v>46426</v>
      </c>
      <c r="P260" s="52">
        <v>46264</v>
      </c>
      <c r="Q260" s="51" t="s">
        <v>58</v>
      </c>
      <c r="R260" s="51" t="s">
        <v>365</v>
      </c>
      <c r="S260" s="51" t="s">
        <v>221</v>
      </c>
      <c r="T260" s="51" t="s">
        <v>220</v>
      </c>
      <c r="U260" s="51" t="s">
        <v>224</v>
      </c>
      <c r="V260" s="51"/>
      <c r="W260" s="51"/>
      <c r="X260" s="51"/>
      <c r="Y260" s="51"/>
      <c r="Z260" s="51"/>
      <c r="AA260" s="51" t="s">
        <v>196</v>
      </c>
      <c r="AB260" s="51"/>
    </row>
    <row r="261" spans="1:28" ht="20.100000000000001" hidden="1" customHeight="1" x14ac:dyDescent="0.25">
      <c r="A261" s="51">
        <v>1055</v>
      </c>
      <c r="B261" s="51" t="s">
        <v>63</v>
      </c>
      <c r="C261" s="51" t="s">
        <v>678</v>
      </c>
      <c r="D261" s="51" t="s">
        <v>63</v>
      </c>
      <c r="E261" s="51" t="s">
        <v>255</v>
      </c>
      <c r="F261" s="51">
        <v>1</v>
      </c>
      <c r="G261" s="51">
        <v>2000</v>
      </c>
      <c r="H261" s="51" t="s">
        <v>248</v>
      </c>
      <c r="I261" s="51" t="s">
        <v>367</v>
      </c>
      <c r="J261" s="51" t="s">
        <v>244</v>
      </c>
      <c r="K261" s="51" t="s">
        <v>205</v>
      </c>
      <c r="L261" s="51">
        <v>54</v>
      </c>
      <c r="M261" s="51" t="s">
        <v>63</v>
      </c>
      <c r="N261" s="51" t="s">
        <v>63</v>
      </c>
      <c r="O261" s="52">
        <v>46406</v>
      </c>
      <c r="P261" s="52">
        <v>46264</v>
      </c>
      <c r="Q261" s="51" t="s">
        <v>58</v>
      </c>
      <c r="R261" s="51" t="s">
        <v>365</v>
      </c>
      <c r="S261" s="51" t="s">
        <v>221</v>
      </c>
      <c r="T261" s="51" t="s">
        <v>220</v>
      </c>
      <c r="U261" s="51" t="s">
        <v>224</v>
      </c>
      <c r="V261" s="51"/>
      <c r="W261" s="51"/>
      <c r="X261" s="51"/>
      <c r="Y261" s="51"/>
      <c r="Z261" s="51"/>
      <c r="AA261" s="51" t="s">
        <v>196</v>
      </c>
      <c r="AB261" s="51"/>
    </row>
    <row r="262" spans="1:28" ht="20.100000000000001" hidden="1" customHeight="1" x14ac:dyDescent="0.25">
      <c r="A262" s="51">
        <v>1055</v>
      </c>
      <c r="B262" s="51" t="s">
        <v>63</v>
      </c>
      <c r="C262" s="51" t="s">
        <v>678</v>
      </c>
      <c r="D262" s="51"/>
      <c r="E262" s="51" t="s">
        <v>255</v>
      </c>
      <c r="F262" s="51">
        <v>1</v>
      </c>
      <c r="G262" s="51">
        <v>2000</v>
      </c>
      <c r="H262" s="51" t="s">
        <v>248</v>
      </c>
      <c r="I262" s="51" t="s">
        <v>684</v>
      </c>
      <c r="J262" s="51" t="s">
        <v>244</v>
      </c>
      <c r="K262" s="51" t="s">
        <v>193</v>
      </c>
      <c r="L262" s="51">
        <v>63</v>
      </c>
      <c r="M262" s="52">
        <v>46282</v>
      </c>
      <c r="N262" s="51" t="s">
        <v>63</v>
      </c>
      <c r="O262" s="52">
        <v>46409</v>
      </c>
      <c r="P262" s="52">
        <v>46264</v>
      </c>
      <c r="Q262" s="51" t="s">
        <v>58</v>
      </c>
      <c r="R262" s="51" t="s">
        <v>220</v>
      </c>
      <c r="S262" s="51" t="s">
        <v>223</v>
      </c>
      <c r="T262" s="51" t="s">
        <v>224</v>
      </c>
      <c r="U262" s="51"/>
      <c r="V262" s="51"/>
      <c r="W262" s="51"/>
      <c r="X262" s="51"/>
      <c r="Y262" s="51"/>
      <c r="Z262" s="51"/>
      <c r="AA262" s="51" t="s">
        <v>48</v>
      </c>
      <c r="AB262" s="51"/>
    </row>
    <row r="263" spans="1:28" ht="20.100000000000001" hidden="1" customHeight="1" x14ac:dyDescent="0.25">
      <c r="A263" s="51">
        <v>1055</v>
      </c>
      <c r="B263" s="51" t="s">
        <v>63</v>
      </c>
      <c r="C263" s="51" t="s">
        <v>678</v>
      </c>
      <c r="D263" s="51" t="s">
        <v>63</v>
      </c>
      <c r="E263" s="51" t="s">
        <v>255</v>
      </c>
      <c r="F263" s="51">
        <v>1</v>
      </c>
      <c r="G263" s="51">
        <v>2000</v>
      </c>
      <c r="H263" s="51" t="s">
        <v>248</v>
      </c>
      <c r="I263" s="51" t="s">
        <v>369</v>
      </c>
      <c r="J263" s="51" t="s">
        <v>244</v>
      </c>
      <c r="K263" s="51" t="s">
        <v>205</v>
      </c>
      <c r="L263" s="51">
        <v>62</v>
      </c>
      <c r="M263" s="51" t="s">
        <v>63</v>
      </c>
      <c r="N263" s="51" t="s">
        <v>63</v>
      </c>
      <c r="O263" s="52">
        <v>46429</v>
      </c>
      <c r="P263" s="52">
        <v>46264</v>
      </c>
      <c r="Q263" s="51" t="s">
        <v>58</v>
      </c>
      <c r="R263" s="51" t="s">
        <v>220</v>
      </c>
      <c r="S263" s="51" t="s">
        <v>223</v>
      </c>
      <c r="T263" s="51" t="s">
        <v>224</v>
      </c>
      <c r="U263" s="51"/>
      <c r="V263" s="51"/>
      <c r="W263" s="51"/>
      <c r="X263" s="51"/>
      <c r="Y263" s="51"/>
      <c r="Z263" s="51"/>
      <c r="AA263" s="51" t="s">
        <v>196</v>
      </c>
      <c r="AB263" s="51"/>
    </row>
    <row r="264" spans="1:28" ht="20.100000000000001" customHeight="1" x14ac:dyDescent="0.25"/>
    <row r="265" spans="1:28" ht="20.100000000000001" customHeight="1" x14ac:dyDescent="0.25"/>
    <row r="266" spans="1:28" ht="20.100000000000001" customHeight="1" x14ac:dyDescent="0.25"/>
    <row r="267" spans="1:28" ht="20.100000000000001" customHeight="1" x14ac:dyDescent="0.25"/>
    <row r="268" spans="1:28" ht="20.100000000000001" customHeight="1" x14ac:dyDescent="0.25"/>
    <row r="269" spans="1:28" ht="20.100000000000001" customHeight="1" x14ac:dyDescent="0.25"/>
    <row r="270" spans="1:28" ht="20.100000000000001" customHeight="1" x14ac:dyDescent="0.25"/>
    <row r="271" spans="1:28" ht="20.100000000000001" customHeight="1" x14ac:dyDescent="0.25"/>
    <row r="272" spans="1:28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J178" sqref="J178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676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hidden="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hidden="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hidden="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hidden="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322</v>
      </c>
      <c r="W40" s="51"/>
    </row>
    <row r="41" spans="1:23" ht="20.100000000000001" hidden="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hidden="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322</v>
      </c>
      <c r="W42" s="51"/>
    </row>
    <row r="43" spans="1:23" ht="20.100000000000001" hidden="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hidden="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hidden="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hidden="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hidden="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hidden="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hidden="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hidden="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3" t="s">
        <v>462</v>
      </c>
      <c r="N79" s="53" t="s">
        <v>370</v>
      </c>
      <c r="O79" s="51"/>
      <c r="P79" s="51"/>
      <c r="Q79" s="51"/>
      <c r="R79" s="51"/>
      <c r="S79" s="51"/>
      <c r="T79" s="51"/>
      <c r="U79" s="51"/>
      <c r="V79" s="51" t="s">
        <v>252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252</v>
      </c>
      <c r="W92" s="51" t="s">
        <v>592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569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56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198</v>
      </c>
      <c r="W93" s="51" t="s">
        <v>566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569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56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198</v>
      </c>
      <c r="W94" s="51" t="s">
        <v>566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569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56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198</v>
      </c>
      <c r="W95" s="51" t="s">
        <v>566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569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569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569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569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569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570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571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570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572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570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573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570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570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570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570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570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578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570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570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570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570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570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570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570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570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574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570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575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570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576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577</v>
      </c>
    </row>
    <row r="119" spans="1:23" ht="20.100000000000001" hidden="1" customHeight="1" x14ac:dyDescent="0.25">
      <c r="A119" s="78">
        <v>1053</v>
      </c>
      <c r="B119" s="78" t="s">
        <v>63</v>
      </c>
      <c r="C119" s="51" t="s">
        <v>612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56</v>
      </c>
      <c r="L119" s="51" t="s">
        <v>613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198</v>
      </c>
      <c r="W119" s="51"/>
    </row>
    <row r="120" spans="1:23" ht="20.100000000000001" hidden="1" customHeight="1" x14ac:dyDescent="0.25">
      <c r="A120" s="78">
        <v>1053</v>
      </c>
      <c r="B120" s="78" t="s">
        <v>63</v>
      </c>
      <c r="C120" s="51" t="s">
        <v>612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56</v>
      </c>
      <c r="L120" s="51" t="s">
        <v>614</v>
      </c>
      <c r="M120" s="51" t="s">
        <v>469</v>
      </c>
      <c r="N120" s="51" t="s">
        <v>620</v>
      </c>
      <c r="O120" s="51" t="s">
        <v>220</v>
      </c>
      <c r="P120" s="51" t="s">
        <v>621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198</v>
      </c>
      <c r="W120" s="51"/>
    </row>
    <row r="121" spans="1:23" ht="20.100000000000001" hidden="1" customHeight="1" x14ac:dyDescent="0.25">
      <c r="A121" s="78">
        <v>1053</v>
      </c>
      <c r="B121" s="78" t="s">
        <v>63</v>
      </c>
      <c r="C121" s="51" t="s">
        <v>612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56</v>
      </c>
      <c r="L121" s="51" t="s">
        <v>615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198</v>
      </c>
      <c r="W121" s="51"/>
    </row>
    <row r="122" spans="1:23" ht="20.100000000000001" hidden="1" customHeight="1" x14ac:dyDescent="0.25">
      <c r="A122" s="78">
        <v>1053</v>
      </c>
      <c r="B122" s="78" t="s">
        <v>63</v>
      </c>
      <c r="C122" s="51" t="s">
        <v>612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56</v>
      </c>
      <c r="L122" s="51" t="s">
        <v>616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198</v>
      </c>
      <c r="W122" s="51"/>
    </row>
    <row r="123" spans="1:23" ht="20.100000000000001" hidden="1" customHeight="1" x14ac:dyDescent="0.25">
      <c r="A123" s="78">
        <v>1053</v>
      </c>
      <c r="B123" s="78" t="s">
        <v>63</v>
      </c>
      <c r="C123" s="51" t="s">
        <v>612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56</v>
      </c>
      <c r="L123" s="51" t="s">
        <v>617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198</v>
      </c>
      <c r="W123" s="51"/>
    </row>
    <row r="124" spans="1:23" ht="20.100000000000001" hidden="1" customHeight="1" x14ac:dyDescent="0.25">
      <c r="A124" s="78">
        <v>1053</v>
      </c>
      <c r="B124" s="78" t="s">
        <v>63</v>
      </c>
      <c r="C124" s="51" t="s">
        <v>612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56</v>
      </c>
      <c r="L124" s="51" t="s">
        <v>618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198</v>
      </c>
      <c r="W124" s="51"/>
    </row>
    <row r="125" spans="1:23" ht="20.100000000000001" hidden="1" customHeight="1" x14ac:dyDescent="0.25">
      <c r="A125" s="78">
        <v>1053</v>
      </c>
      <c r="B125" s="78" t="s">
        <v>63</v>
      </c>
      <c r="C125" s="51" t="s">
        <v>612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56</v>
      </c>
      <c r="L125" s="51" t="s">
        <v>619</v>
      </c>
      <c r="M125" s="51" t="s">
        <v>469</v>
      </c>
      <c r="N125" s="51" t="s">
        <v>620</v>
      </c>
      <c r="O125" s="51" t="s">
        <v>220</v>
      </c>
      <c r="P125" s="51" t="s">
        <v>621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198</v>
      </c>
      <c r="W125" s="51"/>
    </row>
    <row r="126" spans="1:23" ht="20.100000000000001" hidden="1" customHeight="1" x14ac:dyDescent="0.25">
      <c r="A126" s="78">
        <v>924</v>
      </c>
      <c r="B126" s="78" t="s">
        <v>63</v>
      </c>
      <c r="C126" s="51" t="s">
        <v>630</v>
      </c>
      <c r="D126" s="51" t="s">
        <v>631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hidden="1" customHeight="1" x14ac:dyDescent="0.25">
      <c r="A127" s="78">
        <v>1043</v>
      </c>
      <c r="B127" s="78" t="s">
        <v>63</v>
      </c>
      <c r="C127" s="51" t="s">
        <v>567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635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hidden="1" customHeight="1" x14ac:dyDescent="0.25">
      <c r="A128" s="78">
        <v>1043</v>
      </c>
      <c r="B128" s="78" t="s">
        <v>63</v>
      </c>
      <c r="C128" s="51" t="s">
        <v>567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636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hidden="1" customHeight="1" x14ac:dyDescent="0.25">
      <c r="A129" s="78">
        <v>1043</v>
      </c>
      <c r="B129" s="78" t="s">
        <v>63</v>
      </c>
      <c r="C129" s="51" t="s">
        <v>567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637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hidden="1" customHeight="1" x14ac:dyDescent="0.25">
      <c r="A130" s="78">
        <v>1043</v>
      </c>
      <c r="B130" s="78" t="s">
        <v>63</v>
      </c>
      <c r="C130" s="51" t="s">
        <v>567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638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hidden="1" customHeight="1" x14ac:dyDescent="0.25">
      <c r="A131" s="78">
        <v>1043</v>
      </c>
      <c r="B131" s="78" t="s">
        <v>63</v>
      </c>
      <c r="C131" s="51" t="s">
        <v>567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639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hidden="1" customHeight="1" x14ac:dyDescent="0.25">
      <c r="A132" s="78">
        <v>1043</v>
      </c>
      <c r="B132" s="78" t="s">
        <v>63</v>
      </c>
      <c r="C132" s="51" t="s">
        <v>567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640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hidden="1" customHeight="1" x14ac:dyDescent="0.25">
      <c r="A133" s="78">
        <v>1043</v>
      </c>
      <c r="B133" s="78" t="s">
        <v>63</v>
      </c>
      <c r="C133" s="51" t="s">
        <v>567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641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hidden="1" customHeight="1" x14ac:dyDescent="0.25">
      <c r="A134" s="78">
        <v>1043</v>
      </c>
      <c r="B134" s="78" t="s">
        <v>63</v>
      </c>
      <c r="C134" s="51" t="s">
        <v>567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642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hidden="1" customHeight="1" x14ac:dyDescent="0.25">
      <c r="A135" s="78">
        <v>1043</v>
      </c>
      <c r="B135" s="78" t="s">
        <v>63</v>
      </c>
      <c r="C135" s="51" t="s">
        <v>567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643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hidden="1" customHeight="1" x14ac:dyDescent="0.25">
      <c r="A136" s="78">
        <v>1043</v>
      </c>
      <c r="B136" s="78" t="s">
        <v>63</v>
      </c>
      <c r="C136" s="51" t="s">
        <v>567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644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hidden="1" customHeight="1" x14ac:dyDescent="0.25">
      <c r="A137" s="78">
        <v>1043</v>
      </c>
      <c r="B137" s="78" t="s">
        <v>63</v>
      </c>
      <c r="C137" s="51" t="s">
        <v>567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653</v>
      </c>
      <c r="J137" s="51" t="s">
        <v>58</v>
      </c>
      <c r="K137" s="51" t="s">
        <v>58</v>
      </c>
      <c r="L137" s="51" t="s">
        <v>645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hidden="1" customHeight="1" x14ac:dyDescent="0.25">
      <c r="A138" s="78">
        <v>1043</v>
      </c>
      <c r="B138" s="78" t="s">
        <v>63</v>
      </c>
      <c r="C138" s="51" t="s">
        <v>567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646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hidden="1" customHeight="1" x14ac:dyDescent="0.25">
      <c r="A139" s="78">
        <v>1043</v>
      </c>
      <c r="B139" s="78" t="s">
        <v>63</v>
      </c>
      <c r="C139" s="51" t="s">
        <v>567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647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hidden="1" customHeight="1" x14ac:dyDescent="0.25">
      <c r="A140" s="78">
        <v>1043</v>
      </c>
      <c r="B140" s="78" t="s">
        <v>63</v>
      </c>
      <c r="C140" s="51" t="s">
        <v>567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648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hidden="1" customHeight="1" x14ac:dyDescent="0.25">
      <c r="A141" s="78">
        <v>1043</v>
      </c>
      <c r="B141" s="78" t="s">
        <v>63</v>
      </c>
      <c r="C141" s="51" t="s">
        <v>567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649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hidden="1" customHeight="1" x14ac:dyDescent="0.25">
      <c r="A142" s="78">
        <v>1043</v>
      </c>
      <c r="B142" s="78" t="s">
        <v>63</v>
      </c>
      <c r="C142" s="51" t="s">
        <v>567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650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hidden="1" customHeight="1" x14ac:dyDescent="0.25">
      <c r="A143" s="78">
        <v>1043</v>
      </c>
      <c r="B143" s="78" t="s">
        <v>63</v>
      </c>
      <c r="C143" s="51" t="s">
        <v>567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651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hidden="1" customHeight="1" x14ac:dyDescent="0.25">
      <c r="A144" s="78">
        <v>1043</v>
      </c>
      <c r="B144" s="78" t="s">
        <v>63</v>
      </c>
      <c r="C144" s="51" t="s">
        <v>567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652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hidden="1" customHeight="1" x14ac:dyDescent="0.25">
      <c r="A145" s="78">
        <v>1047</v>
      </c>
      <c r="B145" s="78" t="s">
        <v>63</v>
      </c>
      <c r="C145" s="51" t="s">
        <v>267</v>
      </c>
      <c r="D145" s="51" t="s">
        <v>674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672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673</v>
      </c>
    </row>
    <row r="146" spans="1:23" ht="20.100000000000001" hidden="1" customHeight="1" x14ac:dyDescent="0.25">
      <c r="A146" s="51">
        <v>1055</v>
      </c>
      <c r="B146" s="51" t="s">
        <v>63</v>
      </c>
      <c r="C146" s="51" t="s">
        <v>678</v>
      </c>
      <c r="D146" s="51" t="s">
        <v>378</v>
      </c>
      <c r="E146" s="51">
        <v>1</v>
      </c>
      <c r="F146" s="51">
        <v>2000</v>
      </c>
      <c r="G146" s="51" t="s">
        <v>367</v>
      </c>
      <c r="H146" s="51" t="s">
        <v>200</v>
      </c>
      <c r="I146" s="52">
        <v>46297</v>
      </c>
      <c r="J146" s="51" t="s">
        <v>58</v>
      </c>
      <c r="K146" s="51" t="s">
        <v>58</v>
      </c>
      <c r="L146" s="51">
        <v>60</v>
      </c>
      <c r="M146" s="51" t="s">
        <v>365</v>
      </c>
      <c r="N146" s="51" t="s">
        <v>370</v>
      </c>
      <c r="O146" s="51" t="s">
        <v>242</v>
      </c>
      <c r="P146" s="51"/>
      <c r="Q146" s="51"/>
      <c r="R146" s="51"/>
      <c r="S146" s="51"/>
      <c r="T146" s="51"/>
      <c r="U146" s="51"/>
      <c r="V146" s="51" t="s">
        <v>196</v>
      </c>
      <c r="W146" s="51"/>
    </row>
    <row r="147" spans="1:23" ht="20.100000000000001" hidden="1" customHeight="1" x14ac:dyDescent="0.25">
      <c r="A147" s="51">
        <v>1055</v>
      </c>
      <c r="B147" s="51" t="s">
        <v>63</v>
      </c>
      <c r="C147" s="51" t="s">
        <v>678</v>
      </c>
      <c r="D147" s="51" t="s">
        <v>378</v>
      </c>
      <c r="E147" s="51">
        <v>1</v>
      </c>
      <c r="F147" s="51">
        <v>2000</v>
      </c>
      <c r="G147" s="51" t="s">
        <v>684</v>
      </c>
      <c r="H147" s="51" t="s">
        <v>200</v>
      </c>
      <c r="I147" s="52">
        <v>46311</v>
      </c>
      <c r="J147" s="51" t="s">
        <v>58</v>
      </c>
      <c r="K147" s="51" t="s">
        <v>58</v>
      </c>
      <c r="L147" s="51">
        <v>61</v>
      </c>
      <c r="M147" s="51" t="s">
        <v>365</v>
      </c>
      <c r="N147" s="51" t="s">
        <v>370</v>
      </c>
      <c r="O147" s="51" t="s">
        <v>242</v>
      </c>
      <c r="P147" s="51"/>
      <c r="Q147" s="51"/>
      <c r="R147" s="51"/>
      <c r="S147" s="51"/>
      <c r="T147" s="51"/>
      <c r="U147" s="51"/>
      <c r="V147" s="51" t="s">
        <v>196</v>
      </c>
      <c r="W147" s="51"/>
    </row>
    <row r="148" spans="1:23" ht="20.100000000000001" hidden="1" customHeight="1" x14ac:dyDescent="0.25">
      <c r="A148" s="51">
        <v>1055</v>
      </c>
      <c r="B148" s="51" t="s">
        <v>63</v>
      </c>
      <c r="C148" s="51" t="s">
        <v>678</v>
      </c>
      <c r="D148" s="51" t="s">
        <v>378</v>
      </c>
      <c r="E148" s="51">
        <v>1</v>
      </c>
      <c r="F148" s="51">
        <v>2000</v>
      </c>
      <c r="G148" s="51" t="s">
        <v>250</v>
      </c>
      <c r="H148" s="51" t="s">
        <v>200</v>
      </c>
      <c r="I148" s="52">
        <v>46420</v>
      </c>
      <c r="J148" s="51" t="s">
        <v>58</v>
      </c>
      <c r="K148" s="51" t="s">
        <v>58</v>
      </c>
      <c r="L148" s="51" t="s">
        <v>685</v>
      </c>
      <c r="M148" s="51" t="s">
        <v>365</v>
      </c>
      <c r="N148" s="51" t="s">
        <v>370</v>
      </c>
      <c r="O148" s="51" t="s">
        <v>242</v>
      </c>
      <c r="P148" s="51"/>
      <c r="Q148" s="51"/>
      <c r="R148" s="51"/>
      <c r="S148" s="51"/>
      <c r="T148" s="51"/>
      <c r="U148" s="51"/>
      <c r="V148" s="51" t="s">
        <v>196</v>
      </c>
      <c r="W148" s="51"/>
    </row>
    <row r="149" spans="1:23" ht="20.100000000000001" hidden="1" customHeight="1" x14ac:dyDescent="0.25">
      <c r="A149" s="51">
        <v>1055</v>
      </c>
      <c r="B149" s="51" t="s">
        <v>63</v>
      </c>
      <c r="C149" s="51" t="s">
        <v>678</v>
      </c>
      <c r="D149" s="51" t="s">
        <v>378</v>
      </c>
      <c r="E149" s="51">
        <v>1</v>
      </c>
      <c r="F149" s="51">
        <v>2000</v>
      </c>
      <c r="G149" s="51" t="s">
        <v>369</v>
      </c>
      <c r="H149" s="51" t="s">
        <v>200</v>
      </c>
      <c r="I149" s="52">
        <v>46424</v>
      </c>
      <c r="J149" s="51" t="s">
        <v>58</v>
      </c>
      <c r="K149" s="51" t="s">
        <v>58</v>
      </c>
      <c r="L149" s="51">
        <v>58</v>
      </c>
      <c r="M149" s="51" t="s">
        <v>365</v>
      </c>
      <c r="N149" s="51" t="s">
        <v>370</v>
      </c>
      <c r="O149" s="51" t="s">
        <v>242</v>
      </c>
      <c r="P149" s="51"/>
      <c r="Q149" s="51"/>
      <c r="R149" s="51"/>
      <c r="S149" s="51"/>
      <c r="T149" s="51"/>
      <c r="U149" s="51"/>
      <c r="V149" s="51" t="s">
        <v>196</v>
      </c>
      <c r="W149" s="51"/>
    </row>
    <row r="150" spans="1:23" ht="20.100000000000001" hidden="1" customHeight="1" x14ac:dyDescent="0.25">
      <c r="A150" s="51">
        <v>1055</v>
      </c>
      <c r="B150" s="51" t="s">
        <v>63</v>
      </c>
      <c r="C150" s="51" t="s">
        <v>678</v>
      </c>
      <c r="D150" s="51" t="s">
        <v>378</v>
      </c>
      <c r="E150" s="51">
        <v>1</v>
      </c>
      <c r="F150" s="51">
        <v>1700</v>
      </c>
      <c r="G150" s="51" t="s">
        <v>367</v>
      </c>
      <c r="H150" s="51" t="s">
        <v>201</v>
      </c>
      <c r="I150" s="52">
        <v>46297</v>
      </c>
      <c r="J150" s="51" t="s">
        <v>58</v>
      </c>
      <c r="K150" s="51" t="s">
        <v>58</v>
      </c>
      <c r="L150" s="51">
        <v>2</v>
      </c>
      <c r="M150" s="51" t="s">
        <v>365</v>
      </c>
      <c r="N150" s="51" t="s">
        <v>370</v>
      </c>
      <c r="O150" s="51" t="s">
        <v>242</v>
      </c>
      <c r="P150" s="51"/>
      <c r="Q150" s="51"/>
      <c r="R150" s="51"/>
      <c r="S150" s="51"/>
      <c r="T150" s="51"/>
      <c r="U150" s="51"/>
      <c r="V150" s="51" t="s">
        <v>196</v>
      </c>
      <c r="W150" s="51"/>
    </row>
    <row r="151" spans="1:23" ht="20.100000000000001" hidden="1" customHeight="1" x14ac:dyDescent="0.25">
      <c r="A151" s="51">
        <v>1055</v>
      </c>
      <c r="B151" s="51" t="s">
        <v>63</v>
      </c>
      <c r="C151" s="51" t="s">
        <v>678</v>
      </c>
      <c r="D151" s="51" t="s">
        <v>378</v>
      </c>
      <c r="E151" s="51">
        <v>1</v>
      </c>
      <c r="F151" s="51">
        <v>1700</v>
      </c>
      <c r="G151" s="51" t="s">
        <v>684</v>
      </c>
      <c r="H151" s="51" t="s">
        <v>201</v>
      </c>
      <c r="I151" s="52">
        <v>46318</v>
      </c>
      <c r="J151" s="51" t="s">
        <v>58</v>
      </c>
      <c r="K151" s="51" t="s">
        <v>58</v>
      </c>
      <c r="L151" s="51">
        <v>20</v>
      </c>
      <c r="M151" s="51" t="s">
        <v>365</v>
      </c>
      <c r="N151" s="51" t="s">
        <v>370</v>
      </c>
      <c r="O151" s="51" t="s">
        <v>242</v>
      </c>
      <c r="P151" s="51"/>
      <c r="Q151" s="51"/>
      <c r="R151" s="51"/>
      <c r="S151" s="51"/>
      <c r="T151" s="51"/>
      <c r="U151" s="51"/>
      <c r="V151" s="51" t="s">
        <v>196</v>
      </c>
      <c r="W151" s="51"/>
    </row>
    <row r="152" spans="1:23" ht="20.100000000000001" hidden="1" customHeight="1" x14ac:dyDescent="0.25">
      <c r="A152" s="51">
        <v>1055</v>
      </c>
      <c r="B152" s="51" t="s">
        <v>63</v>
      </c>
      <c r="C152" s="51" t="s">
        <v>678</v>
      </c>
      <c r="D152" s="51" t="s">
        <v>378</v>
      </c>
      <c r="E152" s="51">
        <v>1</v>
      </c>
      <c r="F152" s="51">
        <v>1700</v>
      </c>
      <c r="G152" s="51" t="s">
        <v>250</v>
      </c>
      <c r="H152" s="51" t="s">
        <v>201</v>
      </c>
      <c r="I152" s="52">
        <v>46424</v>
      </c>
      <c r="J152" s="51" t="s">
        <v>58</v>
      </c>
      <c r="K152" s="51" t="s">
        <v>58</v>
      </c>
      <c r="L152" s="51" t="s">
        <v>686</v>
      </c>
      <c r="M152" s="51" t="s">
        <v>365</v>
      </c>
      <c r="N152" s="51" t="s">
        <v>370</v>
      </c>
      <c r="O152" s="51" t="s">
        <v>242</v>
      </c>
      <c r="P152" s="51"/>
      <c r="Q152" s="51"/>
      <c r="R152" s="51"/>
      <c r="S152" s="51"/>
      <c r="T152" s="51"/>
      <c r="U152" s="51"/>
      <c r="V152" s="51" t="s">
        <v>196</v>
      </c>
      <c r="W152" s="51"/>
    </row>
    <row r="153" spans="1:23" ht="20.100000000000001" hidden="1" customHeight="1" x14ac:dyDescent="0.25">
      <c r="A153" s="51">
        <v>1055</v>
      </c>
      <c r="B153" s="51" t="s">
        <v>63</v>
      </c>
      <c r="C153" s="51" t="s">
        <v>678</v>
      </c>
      <c r="D153" s="51" t="s">
        <v>378</v>
      </c>
      <c r="E153" s="51">
        <v>1</v>
      </c>
      <c r="F153" s="51">
        <v>1700</v>
      </c>
      <c r="G153" s="51" t="s">
        <v>369</v>
      </c>
      <c r="H153" s="51" t="s">
        <v>201</v>
      </c>
      <c r="I153" s="52">
        <v>46426</v>
      </c>
      <c r="J153" s="51" t="s">
        <v>58</v>
      </c>
      <c r="K153" s="51" t="s">
        <v>58</v>
      </c>
      <c r="L153" s="51">
        <v>19</v>
      </c>
      <c r="M153" s="51" t="s">
        <v>365</v>
      </c>
      <c r="N153" s="51" t="s">
        <v>370</v>
      </c>
      <c r="O153" s="51" t="s">
        <v>242</v>
      </c>
      <c r="P153" s="51"/>
      <c r="Q153" s="51"/>
      <c r="R153" s="51"/>
      <c r="S153" s="51"/>
      <c r="T153" s="51"/>
      <c r="U153" s="51"/>
      <c r="V153" s="51" t="s">
        <v>196</v>
      </c>
      <c r="W153" s="51"/>
    </row>
    <row r="154" spans="1:23" ht="20.100000000000001" hidden="1" customHeight="1" x14ac:dyDescent="0.25">
      <c r="A154" s="51">
        <v>1055</v>
      </c>
      <c r="B154" s="51" t="s">
        <v>63</v>
      </c>
      <c r="C154" s="51" t="s">
        <v>678</v>
      </c>
      <c r="D154" s="51" t="s">
        <v>378</v>
      </c>
      <c r="E154" s="51">
        <v>1</v>
      </c>
      <c r="F154" s="51">
        <v>1700</v>
      </c>
      <c r="G154" s="51" t="s">
        <v>367</v>
      </c>
      <c r="H154" s="51" t="s">
        <v>202</v>
      </c>
      <c r="I154" s="52">
        <v>46304</v>
      </c>
      <c r="J154" s="51" t="s">
        <v>58</v>
      </c>
      <c r="K154" s="51" t="s">
        <v>58</v>
      </c>
      <c r="L154" s="51">
        <v>16</v>
      </c>
      <c r="M154" s="51" t="s">
        <v>365</v>
      </c>
      <c r="N154" s="51" t="s">
        <v>370</v>
      </c>
      <c r="O154" s="51" t="s">
        <v>242</v>
      </c>
      <c r="P154" s="51"/>
      <c r="Q154" s="51"/>
      <c r="R154" s="51"/>
      <c r="S154" s="51"/>
      <c r="T154" s="51"/>
      <c r="U154" s="51"/>
      <c r="V154" s="51" t="s">
        <v>196</v>
      </c>
      <c r="W154" s="51"/>
    </row>
    <row r="155" spans="1:23" ht="20.100000000000001" hidden="1" customHeight="1" x14ac:dyDescent="0.25">
      <c r="A155" s="51">
        <v>1055</v>
      </c>
      <c r="B155" s="51" t="s">
        <v>63</v>
      </c>
      <c r="C155" s="51" t="s">
        <v>678</v>
      </c>
      <c r="D155" s="51" t="s">
        <v>378</v>
      </c>
      <c r="E155" s="51">
        <v>1</v>
      </c>
      <c r="F155" s="51">
        <v>1700</v>
      </c>
      <c r="G155" s="51" t="s">
        <v>684</v>
      </c>
      <c r="H155" s="51" t="s">
        <v>202</v>
      </c>
      <c r="I155" s="52">
        <v>46318</v>
      </c>
      <c r="J155" s="51" t="s">
        <v>58</v>
      </c>
      <c r="K155" s="51" t="s">
        <v>58</v>
      </c>
      <c r="L155" s="51">
        <v>5</v>
      </c>
      <c r="M155" s="51" t="s">
        <v>365</v>
      </c>
      <c r="N155" s="51" t="s">
        <v>370</v>
      </c>
      <c r="O155" s="51" t="s">
        <v>242</v>
      </c>
      <c r="P155" s="51"/>
      <c r="Q155" s="51"/>
      <c r="R155" s="51"/>
      <c r="S155" s="51"/>
      <c r="T155" s="51"/>
      <c r="U155" s="51"/>
      <c r="V155" s="51" t="s">
        <v>196</v>
      </c>
      <c r="W155" s="51"/>
    </row>
    <row r="156" spans="1:23" ht="20.100000000000001" hidden="1" customHeight="1" x14ac:dyDescent="0.25">
      <c r="A156" s="51">
        <v>1055</v>
      </c>
      <c r="B156" s="51" t="s">
        <v>63</v>
      </c>
      <c r="C156" s="51" t="s">
        <v>678</v>
      </c>
      <c r="D156" s="51" t="s">
        <v>378</v>
      </c>
      <c r="E156" s="51">
        <v>1</v>
      </c>
      <c r="F156" s="51">
        <v>1700</v>
      </c>
      <c r="G156" s="51" t="s">
        <v>369</v>
      </c>
      <c r="H156" s="51" t="s">
        <v>202</v>
      </c>
      <c r="I156" s="52">
        <v>46429</v>
      </c>
      <c r="J156" s="51" t="s">
        <v>58</v>
      </c>
      <c r="K156" s="51" t="s">
        <v>58</v>
      </c>
      <c r="L156" s="51">
        <v>18</v>
      </c>
      <c r="M156" s="51" t="s">
        <v>365</v>
      </c>
      <c r="N156" s="51" t="s">
        <v>370</v>
      </c>
      <c r="O156" s="51" t="s">
        <v>242</v>
      </c>
      <c r="P156" s="51"/>
      <c r="Q156" s="51"/>
      <c r="R156" s="51"/>
      <c r="S156" s="51"/>
      <c r="T156" s="51"/>
      <c r="U156" s="51"/>
      <c r="V156" s="51" t="s">
        <v>196</v>
      </c>
      <c r="W156" s="51"/>
    </row>
    <row r="157" spans="1:23" ht="20.100000000000001" hidden="1" customHeight="1" x14ac:dyDescent="0.25">
      <c r="A157" s="51">
        <v>1055</v>
      </c>
      <c r="B157" s="51" t="s">
        <v>63</v>
      </c>
      <c r="C157" s="51" t="s">
        <v>678</v>
      </c>
      <c r="D157" s="51" t="s">
        <v>378</v>
      </c>
      <c r="E157" s="51">
        <v>1</v>
      </c>
      <c r="F157" s="51">
        <v>1700</v>
      </c>
      <c r="G157" s="51" t="s">
        <v>367</v>
      </c>
      <c r="H157" s="51" t="s">
        <v>203</v>
      </c>
      <c r="I157" s="52">
        <v>46304</v>
      </c>
      <c r="J157" s="51" t="s">
        <v>58</v>
      </c>
      <c r="K157" s="51" t="s">
        <v>58</v>
      </c>
      <c r="L157" s="51">
        <v>17</v>
      </c>
      <c r="M157" s="51" t="s">
        <v>365</v>
      </c>
      <c r="N157" s="51" t="s">
        <v>370</v>
      </c>
      <c r="O157" s="51" t="s">
        <v>242</v>
      </c>
      <c r="P157" s="51"/>
      <c r="Q157" s="51"/>
      <c r="R157" s="51"/>
      <c r="S157" s="51"/>
      <c r="T157" s="51"/>
      <c r="U157" s="51"/>
      <c r="V157" s="51" t="s">
        <v>196</v>
      </c>
      <c r="W157" s="51"/>
    </row>
    <row r="158" spans="1:23" ht="20.100000000000001" hidden="1" customHeight="1" x14ac:dyDescent="0.25">
      <c r="A158" s="51">
        <v>1055</v>
      </c>
      <c r="B158" s="51" t="s">
        <v>63</v>
      </c>
      <c r="C158" s="51" t="s">
        <v>678</v>
      </c>
      <c r="D158" s="51" t="s">
        <v>378</v>
      </c>
      <c r="E158" s="51">
        <v>1</v>
      </c>
      <c r="F158" s="51">
        <v>1700</v>
      </c>
      <c r="G158" s="51" t="s">
        <v>684</v>
      </c>
      <c r="H158" s="51" t="s">
        <v>203</v>
      </c>
      <c r="I158" s="52">
        <v>46325</v>
      </c>
      <c r="J158" s="51" t="s">
        <v>58</v>
      </c>
      <c r="K158" s="51" t="s">
        <v>58</v>
      </c>
      <c r="L158" s="51">
        <v>10</v>
      </c>
      <c r="M158" s="51" t="s">
        <v>365</v>
      </c>
      <c r="N158" s="51" t="s">
        <v>370</v>
      </c>
      <c r="O158" s="51" t="s">
        <v>242</v>
      </c>
      <c r="P158" s="51"/>
      <c r="Q158" s="51"/>
      <c r="R158" s="51"/>
      <c r="S158" s="51"/>
      <c r="T158" s="51"/>
      <c r="U158" s="51"/>
      <c r="V158" s="51" t="s">
        <v>196</v>
      </c>
      <c r="W158" s="51"/>
    </row>
    <row r="159" spans="1:23" ht="20.100000000000001" hidden="1" customHeight="1" x14ac:dyDescent="0.25">
      <c r="A159" s="51">
        <v>1055</v>
      </c>
      <c r="B159" s="51" t="s">
        <v>63</v>
      </c>
      <c r="C159" s="51" t="s">
        <v>678</v>
      </c>
      <c r="D159" s="51" t="s">
        <v>378</v>
      </c>
      <c r="E159" s="51">
        <v>1</v>
      </c>
      <c r="F159" s="51">
        <v>1700</v>
      </c>
      <c r="G159" s="51" t="s">
        <v>369</v>
      </c>
      <c r="H159" s="51" t="s">
        <v>203</v>
      </c>
      <c r="I159" s="52">
        <v>46431</v>
      </c>
      <c r="J159" s="51" t="s">
        <v>58</v>
      </c>
      <c r="K159" s="51" t="s">
        <v>58</v>
      </c>
      <c r="L159" s="51">
        <v>4</v>
      </c>
      <c r="M159" s="51" t="s">
        <v>365</v>
      </c>
      <c r="N159" s="51" t="s">
        <v>370</v>
      </c>
      <c r="O159" s="51" t="s">
        <v>242</v>
      </c>
      <c r="P159" s="51"/>
      <c r="Q159" s="51"/>
      <c r="R159" s="51"/>
      <c r="S159" s="51"/>
      <c r="T159" s="51"/>
      <c r="U159" s="51"/>
      <c r="V159" s="51" t="s">
        <v>196</v>
      </c>
      <c r="W159" s="51"/>
    </row>
    <row r="160" spans="1:23" ht="20.100000000000001" hidden="1" customHeight="1" x14ac:dyDescent="0.25">
      <c r="A160" s="51">
        <v>1055</v>
      </c>
      <c r="B160" s="51" t="s">
        <v>63</v>
      </c>
      <c r="C160" s="51" t="s">
        <v>678</v>
      </c>
      <c r="D160" s="51" t="s">
        <v>378</v>
      </c>
      <c r="E160" s="51">
        <v>1</v>
      </c>
      <c r="F160" s="51">
        <v>1700</v>
      </c>
      <c r="G160" s="51" t="s">
        <v>367</v>
      </c>
      <c r="H160" s="51" t="s">
        <v>204</v>
      </c>
      <c r="I160" s="52">
        <v>46403</v>
      </c>
      <c r="J160" s="51" t="s">
        <v>58</v>
      </c>
      <c r="K160" s="51" t="s">
        <v>58</v>
      </c>
      <c r="L160" s="51">
        <v>21</v>
      </c>
      <c r="M160" s="51" t="s">
        <v>365</v>
      </c>
      <c r="N160" s="51" t="s">
        <v>370</v>
      </c>
      <c r="O160" s="51" t="s">
        <v>242</v>
      </c>
      <c r="P160" s="51"/>
      <c r="Q160" s="51"/>
      <c r="R160" s="51"/>
      <c r="S160" s="51"/>
      <c r="T160" s="51"/>
      <c r="U160" s="51"/>
      <c r="V160" s="51" t="s">
        <v>196</v>
      </c>
      <c r="W160" s="51"/>
    </row>
    <row r="161" spans="1:23" ht="20.100000000000001" hidden="1" customHeight="1" x14ac:dyDescent="0.25">
      <c r="A161" s="51">
        <v>1055</v>
      </c>
      <c r="B161" s="51" t="s">
        <v>63</v>
      </c>
      <c r="C161" s="51" t="s">
        <v>678</v>
      </c>
      <c r="D161" s="51" t="s">
        <v>378</v>
      </c>
      <c r="E161" s="51">
        <v>1</v>
      </c>
      <c r="F161" s="51">
        <v>1700</v>
      </c>
      <c r="G161" s="51" t="s">
        <v>684</v>
      </c>
      <c r="H161" s="51" t="s">
        <v>204</v>
      </c>
      <c r="I161" s="52">
        <v>46325</v>
      </c>
      <c r="J161" s="51" t="s">
        <v>58</v>
      </c>
      <c r="K161" s="51" t="s">
        <v>58</v>
      </c>
      <c r="L161" s="51">
        <v>23</v>
      </c>
      <c r="M161" s="51" t="s">
        <v>365</v>
      </c>
      <c r="N161" s="51" t="s">
        <v>370</v>
      </c>
      <c r="O161" s="51" t="s">
        <v>242</v>
      </c>
      <c r="P161" s="51"/>
      <c r="Q161" s="51"/>
      <c r="R161" s="51"/>
      <c r="S161" s="51"/>
      <c r="T161" s="51"/>
      <c r="U161" s="51"/>
      <c r="V161" s="51" t="s">
        <v>196</v>
      </c>
      <c r="W161" s="51"/>
    </row>
    <row r="162" spans="1:23" ht="20.100000000000001" hidden="1" customHeight="1" x14ac:dyDescent="0.25">
      <c r="A162" s="51">
        <v>1055</v>
      </c>
      <c r="B162" s="51" t="s">
        <v>63</v>
      </c>
      <c r="C162" s="51" t="s">
        <v>678</v>
      </c>
      <c r="D162" s="51" t="s">
        <v>378</v>
      </c>
      <c r="E162" s="51">
        <v>1</v>
      </c>
      <c r="F162" s="51">
        <v>1700</v>
      </c>
      <c r="G162" s="51" t="s">
        <v>369</v>
      </c>
      <c r="H162" s="51" t="s">
        <v>204</v>
      </c>
      <c r="I162" s="52">
        <v>46433</v>
      </c>
      <c r="J162" s="51" t="s">
        <v>58</v>
      </c>
      <c r="K162" s="51" t="s">
        <v>58</v>
      </c>
      <c r="L162" s="51">
        <v>12</v>
      </c>
      <c r="M162" s="51" t="s">
        <v>365</v>
      </c>
      <c r="N162" s="51" t="s">
        <v>370</v>
      </c>
      <c r="O162" s="51" t="s">
        <v>242</v>
      </c>
      <c r="P162" s="51"/>
      <c r="Q162" s="51"/>
      <c r="R162" s="51"/>
      <c r="S162" s="51"/>
      <c r="T162" s="51"/>
      <c r="U162" s="51"/>
      <c r="V162" s="51" t="s">
        <v>196</v>
      </c>
      <c r="W162" s="51"/>
    </row>
    <row r="163" spans="1:23" ht="20.100000000000001" hidden="1" customHeight="1" x14ac:dyDescent="0.25">
      <c r="A163" s="51">
        <v>1055</v>
      </c>
      <c r="B163" s="51" t="s">
        <v>63</v>
      </c>
      <c r="C163" s="51" t="s">
        <v>678</v>
      </c>
      <c r="D163" s="51" t="s">
        <v>378</v>
      </c>
      <c r="E163" s="51">
        <v>1</v>
      </c>
      <c r="F163" s="51">
        <v>2000</v>
      </c>
      <c r="G163" s="51" t="s">
        <v>367</v>
      </c>
      <c r="H163" s="51" t="s">
        <v>244</v>
      </c>
      <c r="I163" s="52">
        <v>46415</v>
      </c>
      <c r="J163" s="51" t="s">
        <v>58</v>
      </c>
      <c r="K163" s="51" t="s">
        <v>58</v>
      </c>
      <c r="L163" s="51">
        <v>54</v>
      </c>
      <c r="M163" s="51" t="s">
        <v>365</v>
      </c>
      <c r="N163" s="51" t="s">
        <v>370</v>
      </c>
      <c r="O163" s="51" t="s">
        <v>242</v>
      </c>
      <c r="P163" s="51"/>
      <c r="Q163" s="51"/>
      <c r="R163" s="51"/>
      <c r="S163" s="51"/>
      <c r="T163" s="51"/>
      <c r="U163" s="51"/>
      <c r="V163" s="51" t="s">
        <v>196</v>
      </c>
      <c r="W163" s="51"/>
    </row>
    <row r="164" spans="1:23" ht="20.100000000000001" hidden="1" customHeight="1" x14ac:dyDescent="0.25">
      <c r="A164" s="51">
        <v>1055</v>
      </c>
      <c r="B164" s="51" t="s">
        <v>63</v>
      </c>
      <c r="C164" s="51" t="s">
        <v>678</v>
      </c>
      <c r="D164" s="51" t="s">
        <v>378</v>
      </c>
      <c r="E164" s="51">
        <v>1</v>
      </c>
      <c r="F164" s="51">
        <v>2000</v>
      </c>
      <c r="G164" s="51" t="s">
        <v>684</v>
      </c>
      <c r="H164" s="51" t="s">
        <v>244</v>
      </c>
      <c r="I164" s="52">
        <v>46418</v>
      </c>
      <c r="J164" s="51" t="s">
        <v>58</v>
      </c>
      <c r="K164" s="51" t="s">
        <v>58</v>
      </c>
      <c r="L164" s="51">
        <v>63</v>
      </c>
      <c r="M164" s="51" t="s">
        <v>365</v>
      </c>
      <c r="N164" s="51" t="s">
        <v>370</v>
      </c>
      <c r="O164" s="51" t="s">
        <v>242</v>
      </c>
      <c r="P164" s="51"/>
      <c r="Q164" s="51"/>
      <c r="R164" s="51"/>
      <c r="S164" s="51"/>
      <c r="T164" s="51"/>
      <c r="U164" s="51"/>
      <c r="V164" s="51" t="s">
        <v>196</v>
      </c>
      <c r="W164" s="51"/>
    </row>
    <row r="165" spans="1:23" ht="20.100000000000001" hidden="1" customHeight="1" x14ac:dyDescent="0.25">
      <c r="A165" s="51">
        <v>1055</v>
      </c>
      <c r="B165" s="51" t="s">
        <v>63</v>
      </c>
      <c r="C165" s="51" t="s">
        <v>678</v>
      </c>
      <c r="D165" s="51" t="s">
        <v>378</v>
      </c>
      <c r="E165" s="51">
        <v>1</v>
      </c>
      <c r="F165" s="51">
        <v>2000</v>
      </c>
      <c r="G165" s="51" t="s">
        <v>369</v>
      </c>
      <c r="H165" s="51" t="s">
        <v>244</v>
      </c>
      <c r="I165" s="52">
        <v>46436</v>
      </c>
      <c r="J165" s="51" t="s">
        <v>58</v>
      </c>
      <c r="K165" s="51" t="s">
        <v>58</v>
      </c>
      <c r="L165" s="51">
        <v>62</v>
      </c>
      <c r="M165" s="51" t="s">
        <v>365</v>
      </c>
      <c r="N165" s="51" t="s">
        <v>370</v>
      </c>
      <c r="O165" s="51" t="s">
        <v>242</v>
      </c>
      <c r="P165" s="51"/>
      <c r="Q165" s="51"/>
      <c r="R165" s="51"/>
      <c r="S165" s="51"/>
      <c r="T165" s="51"/>
      <c r="U165" s="51"/>
      <c r="V165" s="51" t="s">
        <v>196</v>
      </c>
      <c r="W165" s="51"/>
    </row>
    <row r="166" spans="1:23" ht="20.100000000000001" hidden="1" customHeight="1" x14ac:dyDescent="0.25">
      <c r="A166" s="78">
        <v>2371</v>
      </c>
      <c r="B166" s="51" t="s">
        <v>63</v>
      </c>
      <c r="C166" s="51" t="s">
        <v>678</v>
      </c>
      <c r="D166" s="51" t="s">
        <v>562</v>
      </c>
      <c r="E166" s="51">
        <v>1</v>
      </c>
      <c r="F166" s="51">
        <v>2000</v>
      </c>
      <c r="G166" s="54" t="s">
        <v>63</v>
      </c>
      <c r="H166" s="54" t="s">
        <v>63</v>
      </c>
      <c r="I166" s="52">
        <v>46388</v>
      </c>
      <c r="J166" s="51" t="s">
        <v>58</v>
      </c>
      <c r="K166" s="51" t="s">
        <v>58</v>
      </c>
      <c r="L166" s="51" t="s">
        <v>58</v>
      </c>
      <c r="M166" s="51" t="s">
        <v>365</v>
      </c>
      <c r="N166" s="51" t="s">
        <v>471</v>
      </c>
      <c r="O166" s="51" t="s">
        <v>220</v>
      </c>
      <c r="P166" s="51" t="s">
        <v>462</v>
      </c>
      <c r="Q166" s="51" t="s">
        <v>370</v>
      </c>
      <c r="R166" s="51"/>
      <c r="S166" s="51"/>
      <c r="T166" s="51"/>
      <c r="U166" s="51"/>
      <c r="V166" s="51" t="s">
        <v>196</v>
      </c>
      <c r="W166" s="51"/>
    </row>
    <row r="167" spans="1:23" ht="20.100000000000001" hidden="1" customHeight="1" x14ac:dyDescent="0.25">
      <c r="A167" s="78">
        <v>2371</v>
      </c>
      <c r="B167" s="51" t="s">
        <v>63</v>
      </c>
      <c r="C167" s="51" t="s">
        <v>678</v>
      </c>
      <c r="D167" s="51" t="s">
        <v>562</v>
      </c>
      <c r="E167" s="51">
        <v>1</v>
      </c>
      <c r="F167" s="51">
        <v>1700</v>
      </c>
      <c r="G167" s="54" t="s">
        <v>63</v>
      </c>
      <c r="H167" s="54" t="s">
        <v>63</v>
      </c>
      <c r="I167" s="52">
        <v>46388</v>
      </c>
      <c r="J167" s="51" t="s">
        <v>58</v>
      </c>
      <c r="K167" s="51" t="s">
        <v>58</v>
      </c>
      <c r="L167" s="51" t="s">
        <v>58</v>
      </c>
      <c r="M167" s="51" t="s">
        <v>365</v>
      </c>
      <c r="N167" s="51" t="s">
        <v>471</v>
      </c>
      <c r="O167" s="51" t="s">
        <v>220</v>
      </c>
      <c r="P167" s="51" t="s">
        <v>462</v>
      </c>
      <c r="Q167" s="51" t="s">
        <v>370</v>
      </c>
      <c r="R167" s="51"/>
      <c r="S167" s="51"/>
      <c r="T167" s="51"/>
      <c r="U167" s="51"/>
      <c r="V167" s="51" t="s">
        <v>196</v>
      </c>
      <c r="W167" s="51"/>
    </row>
    <row r="168" spans="1:23" ht="20.100000000000001" customHeight="1" x14ac:dyDescent="0.25"/>
    <row r="169" spans="1:23" ht="20.100000000000001" customHeight="1" x14ac:dyDescent="0.25"/>
    <row r="170" spans="1:23" ht="20.100000000000001" customHeight="1" x14ac:dyDescent="0.25"/>
    <row r="171" spans="1:23" ht="20.100000000000001" customHeight="1" x14ac:dyDescent="0.25"/>
    <row r="172" spans="1:23" ht="20.100000000000001" customHeight="1" x14ac:dyDescent="0.25"/>
    <row r="173" spans="1:23" ht="20.100000000000001" customHeight="1" x14ac:dyDescent="0.25"/>
    <row r="174" spans="1:23" ht="20.100000000000001" customHeight="1" x14ac:dyDescent="0.25"/>
    <row r="175" spans="1:23" ht="20.100000000000001" customHeight="1" x14ac:dyDescent="0.25"/>
    <row r="176" spans="1:23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J37" sqref="J3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609</v>
      </c>
      <c r="I1" s="19" t="s">
        <v>605</v>
      </c>
      <c r="J1" s="19" t="s">
        <v>608</v>
      </c>
      <c r="K1" s="19" t="s">
        <v>606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604</v>
      </c>
      <c r="H2" s="22">
        <v>46220</v>
      </c>
      <c r="I2" s="22"/>
      <c r="J2" s="22">
        <v>46592</v>
      </c>
      <c r="K2" s="22"/>
      <c r="L2" s="22">
        <v>46694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604</v>
      </c>
      <c r="H3" s="22">
        <v>46220</v>
      </c>
      <c r="I3" s="22"/>
      <c r="J3" s="22">
        <v>46592</v>
      </c>
      <c r="K3" s="22"/>
      <c r="L3" s="22">
        <v>46473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604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607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604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607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604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604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607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604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607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604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607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604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607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604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607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604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607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604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607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603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607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604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604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607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604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607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604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607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603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607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604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604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607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604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607</v>
      </c>
      <c r="O22" s="47" t="s">
        <v>611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604</v>
      </c>
      <c r="H23" s="22">
        <v>46578</v>
      </c>
      <c r="I23" s="22"/>
      <c r="J23" s="22">
        <v>46220</v>
      </c>
      <c r="K23" s="22"/>
      <c r="L23" s="22">
        <v>46593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604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607</v>
      </c>
      <c r="O24" s="47" t="s">
        <v>611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604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604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604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603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607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603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607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603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607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603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607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604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604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604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604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604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603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607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603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607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603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607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603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603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604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604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604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604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604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604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604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604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604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603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604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604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604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604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604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604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604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604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603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610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610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3</vt:i4>
      </vt:variant>
    </vt:vector>
  </HeadingPairs>
  <TitlesOfParts>
    <vt:vector size="14" baseType="lpstr">
      <vt:lpstr>BAGACEIRAS</vt:lpstr>
      <vt:lpstr>PENTES</vt:lpstr>
      <vt:lpstr>RODETES NOVOS</vt:lpstr>
      <vt:lpstr>REFORMA DIVERSAS</vt:lpstr>
      <vt:lpstr>PERIFÉRICOS</vt:lpstr>
      <vt:lpstr>ROLOS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2026-08-12T11:27:33Z</dcterms:modified>
</cp:coreProperties>
</file>