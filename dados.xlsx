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dados\"/>
    </mc:Choice>
  </mc:AlternateContent>
  <xr:revisionPtr revIDLastSave="0" documentId="13_ncr:1_{88827D53-3F2E-4B18-81FB-C791794A6D9E}" xr6:coauthVersionLast="47" xr6:coauthVersionMax="47" xr10:uidLastSave="{00000000-0000-0000-0000-000000000000}"/>
  <bookViews>
    <workbookView xWindow="-120" yWindow="-120" windowWidth="21840" windowHeight="1314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 e EIXO" sheetId="7" r:id="rId6"/>
    <sheet name="VI DIVERSOS" sheetId="10" r:id="rId7"/>
    <sheet name="PLANEJADO BAGACEIRA" sheetId="5" state="hidden" r:id="rId8"/>
  </sheets>
  <definedNames>
    <definedName name="_xlnm._FilterDatabase" localSheetId="6" hidden="1">'VI DIVERSOS'!$A$1:$N$53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6" l="1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4" i="2"/>
  <c r="AC5" i="2"/>
  <c r="AC6" i="2"/>
  <c r="AC7" i="2"/>
  <c r="AC12" i="2"/>
  <c r="AC13" i="2"/>
  <c r="AC14" i="2"/>
  <c r="AC15" i="2"/>
  <c r="AC20" i="2"/>
  <c r="AC21" i="2"/>
  <c r="AC22" i="2"/>
  <c r="AC23" i="2"/>
  <c r="AC24" i="2"/>
  <c r="AC25" i="2"/>
  <c r="AC26" i="2"/>
  <c r="AC27" i="2"/>
  <c r="AC28" i="2"/>
  <c r="AC29" i="2"/>
  <c r="AC30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<sst xmlns="http://schemas.openxmlformats.org/spreadsheetml/2006/main" count="4772" uniqueCount="292">
  <si>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</si>
  <si>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</si>
  <si>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</si>
  <si>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</si>
  <si>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</si>
  <si>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</si>
  <si>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</si>
  <si>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</si>
  <si>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</si>
  <si>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</si>
  <si>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</si>
  <si>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</si>
  <si>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</si>
  <si>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</si>
  <si>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</si>
  <si>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</si>
  <si>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</si>
  <si>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</si>
  <si>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</si>
  <si>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</si>
  <si>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</si>
  <si>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</si>
  <si>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</si>
  <si>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</si>
  <si>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</si>
  <si>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</si>
  <si>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</si>
  <si>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</si>
  <si>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</si>
  <si>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</si>
  <si>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</si>
  <si>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</si>
  <si>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</si>
  <si>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</si>
  <si>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</si>
  <si>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</si>
  <si>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</si>
  <si>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</si>
  <si>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</si>
  <si>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</si>
  <si>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</si>
  <si>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</si>
  <si>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</si>
  <si>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</si>
  <si>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</si>
  <si>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</si>
  <si>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</si>
  <si>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</si>
  <si>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</si>
  <si>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</si>
  <si>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</si>
  <si>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</si>
  <si>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</si>
  <si>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</si>
  <si>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</si>
  <si>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</si>
  <si>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</si>
  <si>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</si>
  <si>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</si>
  <si>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</si>
  <si>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</si>
  <si>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</si>
  <si>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</si>
  <si>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</si>
  <si>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</si>
  <si>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</si>
  <si>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</si>
  <si>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</si>
  <si>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</si>
  <si>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</si>
  <si>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</si>
  <si>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</si>
  <si>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</si>
  <si>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</si>
  <si>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</si>
  <si>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</si>
  <si>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</si>
  <si>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</si>
  <si>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</si>
  <si>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</si>
  <si>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</si>
  <si>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</si>
  <si>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</si>
  <si>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</si>
  <si>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</si>
  <si>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</si>
  <si>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</si>
  <si>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</si>
  <si>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</si>
  <si>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</si>
  <si>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</si>
  <si>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</si>
  <si>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</si>
  <si>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</si>
  <si>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</si>
  <si>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</si>
  <si>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</si>
  <si>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</si>
  <si>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</si>
  <si>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</si>
  <si>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</si>
  <si>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</si>
  <si>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</si>
  <si>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</si>
  <si>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</si>
  <si>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</si>
  <si>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</si>
  <si>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</si>
  <si>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</si>
  <si>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</si>
  <si>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</si>
  <si>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</si>
  <si>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</si>
  <si>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</si>
  <si>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</si>
  <si>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</si>
  <si>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</si>
  <si>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</si>
  <si>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</si>
  <si>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</si>
  <si>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</si>
  <si>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</si>
  <si>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</si>
  <si>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</si>
  <si>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</si>
  <si>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</si>
  <si>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</si>
  <si>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</si>
  <si>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</si>
  <si>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</si>
  <si>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</si>
  <si>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</si>
  <si>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</si>
  <si>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</si>
  <si>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</si>
  <si>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</si>
  <si>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</si>
  <si>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</si>
  <si>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</si>
  <si>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</si>
  <si>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</si>
  <si>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</si>
  <si>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</si>
  <si>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</si>
  <si>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</si>
  <si>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</si>
  <si>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</si>
  <si>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</si>
  <si>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</si>
  <si>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</si>
  <si>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</si>
  <si>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</si>
  <si>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</si>
  <si>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</si>
  <si>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</si>
  <si>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</si>
  <si>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</si>
  <si>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</si>
  <si>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</si>
  <si>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</si>
  <si>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</si>
  <si>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</si>
  <si>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</si>
  <si>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</si>
  <si>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</si>
  <si>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</si>
  <si>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</si>
  <si>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</si>
  <si>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</si>
  <si>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</si>
  <si>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RNC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</si>
  <si>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</si>
  <si>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</si>
  <si>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</si>
  <si>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</si>
  <si>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</si>
  <si>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</si>
  <si>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</si>
  <si>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</si>
  <si>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</si>
  <si>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</si>
  <si>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</si>
  <si>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</si>
  <si>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</si>
  <si>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</si>
  <si>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</si>
  <si>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</si>
  <si>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</si>
  <si>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</si>
  <si>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</si>
  <si>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</si>
  <si>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</si>
  <si>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</si>
  <si>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</si>
  <si>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</si>
  <si>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</si>
  <si>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</si>
  <si>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</si>
  <si>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</si>
  <si>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</si>
  <si>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</si>
  <si>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</si>
  <si>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</si>
  <si>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</si>
  <si>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</si>
  <si>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</si>
  <si>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</si>
  <si>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</si>
  <si>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ANEL DE AJUSTE HP500/HP600E FUND. C/ USIN. EM DESB.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</si>
  <si>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</si>
  <si>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</si>
  <si>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</si>
  <si>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</si>
  <si>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</si>
  <si>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</si>
  <si>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</si>
  <si>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</si>
  <si>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</si>
  <si>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</si>
  <si>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</si>
  <si>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</si>
  <si>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</si>
  <si>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</si>
  <si>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</si>
  <si>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</si>
  <si>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</si>
  <si>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</si>
  <si>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</si>
  <si>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</si>
  <si>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Recurso Usinagem
Eixo</t>
  </si>
  <si>
    <t>Insp - Laudo</t>
  </si>
  <si>
    <t>Nº Laudo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</si>
  <si>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</si>
  <si>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</si>
  <si>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</si>
  <si>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</si>
  <si>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</si>
  <si>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</si>
  <si>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</si>
  <si>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</si>
  <si>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</si>
  <si>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</si>
  <si>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</si>
  <si>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</si>
  <si>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</si>
  <si>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</si>
  <si>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</si>
  <si>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</si>
  <si>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</si>
  <si>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</si>
  <si>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</si>
  <si>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</si>
  <si>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</si>
  <si>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</si>
  <si>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</si>
  <si>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</si>
  <si>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</si>
  <si>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</si>
  <si>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AG. LIBERAÇÃO CLIENTE</t>
  </si>
  <si>
    <t xml:space="preserve"> Insp - Laudo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</si>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</sst>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1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44" dataDxfId="143">
  <autoFilter ref="A1:AI114" xr:uid="{0B979512-8F08-4F92-A755-B1320B33B48D}">
    <filterColumn colId="28">
      <filters>
        <filter val="EM INSPEÇÃO"/>
      </filters>
    </filterColumn>
  </autoFilter>
  <tableColumns count="35">
    <tableColumn id="1" xr3:uid="{2AE87B23-57FB-4D7F-8BFD-D65EC0053BA3}" name="PV" dataDxfId="142"/>
    <tableColumn id="2" xr3:uid="{81052488-0765-4420-B185-DA73AE55FD88}" name="Item" dataDxfId="141"/>
    <tableColumn id="3" xr3:uid="{0E7DB960-0044-4341-ADB4-2A033B27B993}" name="O.S." dataDxfId="140"/>
    <tableColumn id="4" xr3:uid="{B0F20CBE-FFF4-445B-B0BF-7A9C6A140189}" name="Item2" dataDxfId="139"/>
    <tableColumn id="5" xr3:uid="{D1656E30-4AB0-4CD0-BF13-6D5A49C6E4A0}" name="Cliente" dataDxfId="138"/>
    <tableColumn id="6" xr3:uid="{71A11213-5711-429D-A6E0-A2F44677AD5D}" name="Peça" dataDxfId="137"/>
    <tableColumn id="7" xr3:uid="{3F7FD9F6-0726-4021-82B3-E31575A97A46}" name="Seq." dataDxfId="136"/>
    <tableColumn id="8" xr3:uid="{0D871CDA-AC7B-4365-B4FD-95C8967CF254}" name="Descrição" dataDxfId="135"/>
    <tableColumn id="9" xr3:uid="{9C6311D3-DE8E-4A12-8716-11D7CF745EA9}" name="Qtde." dataDxfId="134"/>
    <tableColumn id="10" xr3:uid="{0D119764-5D6A-44D7-A0C6-EAAE37326AEF}" name="Prazo_x000a_Fundido" dataDxfId="133"/>
    <tableColumn id="20" xr3:uid="{2835FDBA-B893-4E1E-9252-D088967B6B9B}" name="Semana_x000a_Fundido" dataDxfId="132">
      <calculatedColumnFormula>WEEKNUM(Tabela1[[#This Row],[Prazo
Fundido]])</calculatedColumnFormula>
    </tableColumn>
    <tableColumn id="11" xr3:uid="{357F67DE-6B6F-4353-906F-4FBB26ED7226}" name="Pz Fundido_x000a_Real" dataDxfId="131"/>
    <tableColumn id="12" xr3:uid="{5CF37CA2-8EC2-4A06-8A50-1305C1129D14}" name="Prazo_x000a_Entrega" dataDxfId="130"/>
    <tableColumn id="36" xr3:uid="{903E641C-0F4A-465E-9B87-4C77A3724350}" name="Pz Entrega_x000a_Real" dataDxfId="129"/>
    <tableColumn id="14" xr3:uid="{49E3A48F-4FBA-45ED-9BE5-0D3F2C039F64}" name="Dias_x000a_Falta2" dataDxfId="128">
      <calculatedColumnFormula>Tabela1[[#This Row],[Prazo
Entrega]]-TODAY()</calculatedColumnFormula>
    </tableColumn>
    <tableColumn id="24" xr3:uid="{FE82CCB3-C196-4A10-9CDF-EC3AAB610284}" name="Indicador" dataDxfId="127">
      <calculatedColumnFormula>IF(O2&lt;0,"ATRASADO",IF(O2&lt;=15,"ATENÇÃO","NO PRAZO"))</calculatedColumnFormula>
    </tableColumn>
    <tableColumn id="21" xr3:uid="{0E3EA19A-D149-4026-9EFA-582C442CDE24}" name="Semana_x000a_Entrega" dataDxfId="126">
      <calculatedColumnFormula>WEEKNUM(Tabela1[[#This Row],[Prazo
Entrega]],1)</calculatedColumnFormula>
    </tableColumn>
    <tableColumn id="22" xr3:uid="{8BBF8940-A612-415C-B30B-5BED69C42E59}" name="CONDIÇÃO" dataDxfId="125"/>
    <tableColumn id="35" xr3:uid="{DF0F32C7-2632-41CB-B20E-BE67D32DDFF8}" name="Desenho_x000a_Previsão" dataDxfId="124"/>
    <tableColumn id="33" xr3:uid="{B0C0F319-983E-42D8-8584-16523AED9BC7}" name="Des." dataDxfId="123"/>
    <tableColumn id="32" xr3:uid="{BB84EAAB-24E7-433E-8DE8-B7705F525D65}" name="Plainar" dataDxfId="122"/>
    <tableColumn id="31" xr3:uid="{811011C2-9E33-4F8A-BCD2-260DDF4CC060}" name="Facear" dataDxfId="121"/>
    <tableColumn id="30" xr3:uid="{EFE986D2-325F-4223-A6FC-89AFC0782517}" name="Serrar" dataDxfId="120"/>
    <tableColumn id="29" xr3:uid="{806CC413-43AC-4EDE-9413-A2852780B283}" name="Solda Dura" dataDxfId="119"/>
    <tableColumn id="28" xr3:uid="{669E3B74-6C47-4551-B95C-DE764412CB09}" name="Encaixe" dataDxfId="118"/>
    <tableColumn id="27" xr3:uid="{33B1427B-026C-4955-BEDC-C39ECFB35542}" name="Furação" dataDxfId="117"/>
    <tableColumn id="34" xr3:uid="{2004DA6B-65E8-4CFF-8DD6-03937C8E23A7}" name="Acabam." dataDxfId="116"/>
    <tableColumn id="25" xr3:uid="{94AD153B-B1BE-422C-9B64-A3F125946AE5}" name="Liberação" dataDxfId="115"/>
    <tableColumn id="23" xr3:uid="{6FFD36BA-4C85-4732-ACA9-BC9D46F4C26B}" name="Status Usinagem" dataDxfId="114">
      <calculatedColumnFormula>IF(L2="","AG. FUNDIDO",IF(U2="AG","AG. USINAGEM","EM USINAGEM"))</calculatedColumnFormula>
    </tableColumn>
    <tableColumn id="26" xr3:uid="{DF8CD1DA-6F25-4291-9F78-DB8D5E9AF463}" name="Observação" dataDxfId="113"/>
    <tableColumn id="15" xr3:uid="{8F53CFFE-8E1C-41F5-9090-488AE701829C}" name="Plainar_x000a_Facear" dataDxfId="112"/>
    <tableColumn id="16" xr3:uid="{EB12A620-BA24-453B-B639-A28F83CF7950}" name="Serrar2" dataDxfId="111"/>
    <tableColumn id="17" xr3:uid="{46D65A07-940A-4560-AFE5-056D37171937}" name="Solda_x000a_Dura2" dataDxfId="110"/>
    <tableColumn id="18" xr3:uid="{97823986-0C6D-4D6F-9BEE-2E43C2286AB2}" name="Encaixe /_x000a_Furação" dataDxfId="109"/>
    <tableColumn id="19" xr3:uid="{6F1924AE-480F-421A-BD70-FA16D1D4E641}" name="Acabam./_x000a_Inspeção" dataDxfId="10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43" totalsRowShown="0" headerRowDxfId="107" dataDxfId="106">
  <autoFilter ref="A1:V143" xr:uid="{71E71FAB-CF6D-4765-90BA-ABDE8C3299DB}"/>
  <tableColumns count="22">
    <tableColumn id="1" xr3:uid="{8F000DF9-1B1A-450A-B138-9EDBA7F17698}" name="PV" dataDxfId="105"/>
    <tableColumn id="2" xr3:uid="{4269DD7F-E557-42AF-949B-69AB74B45D7E}" name="Item" dataDxfId="104"/>
    <tableColumn id="3" xr3:uid="{B8E3D127-9007-43BC-9B71-611446984BAE}" name="O.S." dataDxfId="103"/>
    <tableColumn id="4" xr3:uid="{8A9FBC4E-431D-4132-B7C4-86DD1CC31C1D}" name="Item2" dataDxfId="102"/>
    <tableColumn id="5" xr3:uid="{E43CCBA4-A724-44DA-9BFB-2AD45322EC54}" name="Cliente" dataDxfId="101"/>
    <tableColumn id="6" xr3:uid="{301560AA-7C28-4FE5-AC00-2A14532B12A0}" name="Peça" dataDxfId="100"/>
    <tableColumn id="7" xr3:uid="{864BB541-5CD2-4DAB-AEC1-ADDD341A77F2}" name="Seq." dataDxfId="99"/>
    <tableColumn id="8" xr3:uid="{39F09B1D-71EC-461C-93C5-C5FCECCA0EC0}" name="Descrição" dataDxfId="98"/>
    <tableColumn id="9" xr3:uid="{0CC8781A-4370-473C-AD18-F562622EB79C}" name="Qtde." dataDxfId="97"/>
    <tableColumn id="10" xr3:uid="{8FC48674-090B-441A-B05D-5E7E4AB5177C}" name="Prazo_x000a_Fundido" dataDxfId="96"/>
    <tableColumn id="11" xr3:uid="{2B85402B-261F-4CF1-8AC4-DE439E438480}" name="Semana_x000a_Fundido" dataDxfId="95">
      <calculatedColumnFormula>WEEKNUM(Tabela3[[#This Row],[Prazo
Fundido]])</calculatedColumnFormula>
    </tableColumn>
    <tableColumn id="12" xr3:uid="{F410DF31-AFC5-4525-B8D3-A2AB464611B3}" name="Pz Fundido_x000a_Real" dataDxfId="94"/>
    <tableColumn id="13" xr3:uid="{7330A8B8-B0FE-4571-921F-35503842576A}" name="Prazo_x000a_Entrega" dataDxfId="93"/>
    <tableColumn id="23" xr3:uid="{050BF892-6E0A-4C1A-85E3-06353D54D7AC}" name="Pz Entrega_x000a_Real" dataDxfId="92"/>
    <tableColumn id="22" xr3:uid="{07396B9E-F2A0-47CC-B1C1-8D6A8D782E82}" name="Desenho_x000a_Previsão" dataDxfId="91"/>
    <tableColumn id="14" xr3:uid="{98904960-EE6F-4F44-87C3-8646B8C2D461}" name="Des." dataDxfId="90"/>
    <tableColumn id="15" xr3:uid="{4C38D84D-3A40-493A-A007-3826C38C0F9D}" name="Dias_x000a_Falta2" dataDxfId="89">
      <calculatedColumnFormula>Tabela3[[#This Row],[Prazo
Entrega]]-TODAY()</calculatedColumnFormula>
    </tableColumn>
    <tableColumn id="16" xr3:uid="{431C9D70-8530-4071-911B-7AAC65DE848C}" name="Indicador" dataDxfId="88">
      <calculatedColumnFormula>IF(Q2&lt;0,"ATRASADO",IF(Q2&lt;=15,"ATENÇÃO","NO PRAZO"))</calculatedColumnFormula>
    </tableColumn>
    <tableColumn id="17" xr3:uid="{37B1BAB9-4A72-4AB5-85A7-CFF0F27D94A6}" name="Semana_x000a_Entrega" dataDxfId="87">
      <calculatedColumnFormula>WEEKNUM(Tabela3[[#This Row],[Prazo
Entrega]])</calculatedColumnFormula>
    </tableColumn>
    <tableColumn id="19" xr3:uid="{A127FC22-0D53-4D0F-B783-28394B3FD90C}" name="CONDIÇÃO" dataDxfId="86"/>
    <tableColumn id="20" xr3:uid="{F610A49E-78E2-480E-B901-6B99A41E5174}" name="Status Usinagem" dataDxfId="85"/>
    <tableColumn id="21" xr3:uid="{FA7288EB-0143-4C36-8591-BF7231A8226E}" name="Observação" dataDxfId="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83" dataDxfId="82">
  <autoFilter ref="A1:Z39" xr:uid="{2AC5416C-4E1B-4478-8A2A-B698870CAB96}"/>
  <tableColumns count="26">
    <tableColumn id="1" xr3:uid="{9A983B4E-3365-4153-9B40-D7FE26E8B98F}" name="PV " dataDxfId="81"/>
    <tableColumn id="2" xr3:uid="{4F16CD54-AAD4-4149-8D48-CC3FFEA93AA5}" name="Item" dataDxfId="80"/>
    <tableColumn id="3" xr3:uid="{27DB1DBC-B9DA-4067-9696-8CA5ACAAA450}" name="OS" dataDxfId="79"/>
    <tableColumn id="4" xr3:uid="{02C5E283-8ABF-44F8-B3B8-C3F186B4DF63}" name="Item2" dataDxfId="78"/>
    <tableColumn id="5" xr3:uid="{B1051CBE-EA72-4A43-8721-8756F3E2C9C9}" name="Cliente" dataDxfId="77"/>
    <tableColumn id="6" xr3:uid="{D81DBB81-327B-4EA3-89A3-229D33F3C14C}" name="Cod." dataDxfId="76"/>
    <tableColumn id="7" xr3:uid="{05B3DC4D-BFB9-401F-A18F-0D1B8527380B}" name="Seq." dataDxfId="75"/>
    <tableColumn id="8" xr3:uid="{9EBF401A-1F29-4CB3-BFA3-F2B326242AB0}" name="Descrição" dataDxfId="74"/>
    <tableColumn id="14" xr3:uid="{85D3397C-7F95-49C7-BFFB-35012CA3B716}" name="Qtd." dataDxfId="73"/>
    <tableColumn id="9" xr3:uid="{0D04583C-577A-446B-9773-A173C5C1C166}" name="Data Prev._x000a_Fundido" dataDxfId="72"/>
    <tableColumn id="10" xr3:uid="{935D3899-0C12-4408-89DF-490A507F79BA}" name="Data Real_x000a_Fundido" dataDxfId="71"/>
    <tableColumn id="11" xr3:uid="{0F06941F-293B-4C15-9764-BB3495C5D3BD}" name="Data Prev._x000a_Entrega" dataDxfId="70"/>
    <tableColumn id="12" xr3:uid="{92FF2511-5498-45BF-9B68-94DBEA588C5A}" name="Data Real_x000a_Entrega" dataDxfId="69"/>
    <tableColumn id="25" xr3:uid="{98545C7E-9674-485C-A07D-715E8945B00E}" name="Falta_x000a_Dias" dataDxfId="68">
      <calculatedColumnFormula>Tabela13[[#This Row],[Data Prev.
Entrega]]-TODAY()</calculatedColumnFormula>
    </tableColumn>
    <tableColumn id="27" xr3:uid="{4EB63243-AA79-4695-93C8-CEA977B11387}" name="Indicador" dataDxfId="67">
      <calculatedColumnFormula>IF(N2&lt;0,"ATRASADO",IF(N2&lt;=15,"ATENÇÃO","NO PRAZO"))</calculatedColumnFormula>
    </tableColumn>
    <tableColumn id="15" xr3:uid="{7AB992C1-F70E-4469-85BB-EBB7763B2038}" name="Condição" dataDxfId="66"/>
    <tableColumn id="24" xr3:uid="{B5965349-4BC8-4DF7-9EB4-857B6D471E8A}" name="Desenho_x000a_Previsão" dataDxfId="65"/>
    <tableColumn id="13" xr3:uid="{FD827F61-5F7F-4B65-8A60-B59D23455B46}" name="Des." dataDxfId="64"/>
    <tableColumn id="16" xr3:uid="{3D186A5F-076F-4232-B21C-37E58E5373B2}" name="Desb." dataDxfId="63"/>
    <tableColumn id="17" xr3:uid="{6EEDF11E-F341-4B3E-8CD2-5595785C3427}" name="T.T." dataDxfId="62"/>
    <tableColumn id="18" xr3:uid="{A84EFCF4-218F-4B17-8F46-8D5412141429}" name="Us. Final" dataDxfId="61"/>
    <tableColumn id="19" xr3:uid="{EBD50149-594D-440E-BFBB-E73ACAF7B6F8}" name="Fundo D." dataDxfId="60"/>
    <tableColumn id="20" xr3:uid="{91BE30ED-20C1-4F30-9041-45A50CCA04F0}" name="Acabam." dataDxfId="59"/>
    <tableColumn id="21" xr3:uid="{A1A12DF6-FC3D-4466-8284-DBD00DEAF994}" name="Liberação" dataDxfId="58"/>
    <tableColumn id="22" xr3:uid="{436F202D-DCF4-4376-A550-2541153BD99F}" name="Status Usinagem" dataDxfId="57">
      <calculatedColumnFormula>IF(K2="","AG. FUNDIDO",IF(X2="OK","LIBERADA","EM USINAGEM"))</calculatedColumnFormula>
    </tableColumn>
    <tableColumn id="23" xr3:uid="{F71E5739-8B79-47B3-9A24-E2E4D1DD46E6}" name="Observação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9" totalsRowShown="0" headerRowDxfId="55" dataDxfId="54">
  <autoFilter ref="A1:T89" xr:uid="{8F2F252D-0322-4579-B9EF-622E98B5994C}"/>
  <tableColumns count="20">
    <tableColumn id="1" xr3:uid="{56D3DA8E-4CA8-4DC6-8208-BAB93CDE51C0}" name="PV" dataDxfId="53"/>
    <tableColumn id="2" xr3:uid="{B14AE1B6-8C05-4725-BF42-3DBDB37AA4E3}" name="item" dataDxfId="52"/>
    <tableColumn id="3" xr3:uid="{24FE1002-C88A-4623-8882-5F391ECAB319}" name="OS" dataDxfId="51"/>
    <tableColumn id="4" xr3:uid="{4ED6249C-2003-4F3F-AE5A-67316434275E}" name="Item2" dataDxfId="50"/>
    <tableColumn id="5" xr3:uid="{6CE5B2E1-F32C-4D32-93F0-A17C05267ADB}" name="Cliente" dataDxfId="49"/>
    <tableColumn id="6" xr3:uid="{605F51C8-79D3-407B-8642-02F131952C62}" name="Qtd." dataDxfId="48"/>
    <tableColumn id="7" xr3:uid="{3AC59FFB-0DC5-477B-B780-880A1FD84811}" name="Peça" dataDxfId="47"/>
    <tableColumn id="8" xr3:uid="{2EE377A7-B17C-442E-A107-012310DB953B}" name="Seq." dataDxfId="46"/>
    <tableColumn id="9" xr3:uid="{5366226E-7F3B-42E4-AC0C-86C659505CC8}" name="Descrição" dataDxfId="45"/>
    <tableColumn id="10" xr3:uid="{B0D229C5-5F5A-4951-A0B4-FEA62AEFBB36}" name="Prazo_x000a_Fundido" dataDxfId="44"/>
    <tableColumn id="11" xr3:uid="{8AE09F18-EB17-4537-8FBD-24671292144B}" name="Pz Fundido_x000a_Real" dataDxfId="43"/>
    <tableColumn id="12" xr3:uid="{965E0234-7E4B-482D-8943-132C1520AD21}" name="Prazo_x000a_Entrega" dataDxfId="42"/>
    <tableColumn id="13" xr3:uid="{D70BE32E-86AF-4C0F-893D-AC939E731683}" name="Pz Entrega_x000a_Real" dataDxfId="41"/>
    <tableColumn id="15" xr3:uid="{2FE637E5-62E2-4AE9-AE5A-BC264DC93D4F}" name="Falta_x000a_Dias" dataDxfId="40">
      <calculatedColumnFormula>Tabela4[[#This Row],[Prazo
Entrega]]-TODAY()</calculatedColumnFormula>
    </tableColumn>
    <tableColumn id="14" xr3:uid="{23AEF4D3-817F-4A15-AFBA-EC837E4BE1AE}" name="Indicador" dataDxfId="39">
      <calculatedColumnFormula>IF(N2&lt;0,"ATRASADO",IF(N2&lt;=15,"ATENÇÃO","NO PRAZO"))</calculatedColumnFormula>
    </tableColumn>
    <tableColumn id="16" xr3:uid="{78F55B7C-8E60-49C5-B1F7-B023E76BDA6E}" name="Condição" dataDxfId="38"/>
    <tableColumn id="20" xr3:uid="{A889C1FB-2FE0-407A-B849-FEB9F2CA4F96}" name="Desenho_x000a_Previsão" dataDxfId="37"/>
    <tableColumn id="19" xr3:uid="{FB1E21D0-A118-422F-AA5B-F56FFBA7B5E4}" name="Des." dataDxfId="36"/>
    <tableColumn id="17" xr3:uid="{C14325D6-C653-45B3-B85F-6AF107A71546}" name="Status" dataDxfId="35"/>
    <tableColumn id="18" xr3:uid="{C6F7CA6A-B8B3-4E22-B3E8-05FFB1A03AB6}" name="Observação" dataDxfId="3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F18" totalsRowShown="0" headerRowDxfId="33" dataDxfId="32">
  <autoFilter ref="A1:AF18" xr:uid="{08F50CE1-35A6-4ABA-9594-79B9C39908E8}"/>
  <tableColumns count="32">
    <tableColumn id="1" xr3:uid="{C25E2119-68FD-4765-BAFB-8CC2FA75E790}" name="PV" dataDxfId="31"/>
    <tableColumn id="2" xr3:uid="{39E67E43-7C76-4E6C-9319-15A91DE1C08C}" name="Item" dataDxfId="30"/>
    <tableColumn id="4" xr3:uid="{5B6759FC-B832-438E-B60C-770FAF7723FA}" name="Cliente" dataDxfId="29"/>
    <tableColumn id="5" xr3:uid="{20CFBF4C-4BD9-4F05-86D4-8A4AFFC243B2}" name="_x000a_O.S./Peça" dataDxfId="28"/>
    <tableColumn id="6" xr3:uid="{3994BD48-BFFD-46D2-9740-EDD282F2590D}" name="Descrição" dataDxfId="27"/>
    <tableColumn id="7" xr3:uid="{261AA518-FC82-431F-8839-D26554B59355}" name="Qtde." dataDxfId="26"/>
    <tableColumn id="24" xr3:uid="{0C566A21-B9D9-4AD7-A8B3-328E480EA286}" name="Bit" dataDxfId="25"/>
    <tableColumn id="26" xr3:uid="{C41F63A6-DC4C-42FE-A13B-3E56F237270D}" name="Terno" dataDxfId="24"/>
    <tableColumn id="16" xr3:uid="{FF0A908E-E8EE-4CA0-96FA-38C032BFEFDE}" name="Forma" dataDxfId="23"/>
    <tableColumn id="9" xr3:uid="{DE0283F8-D4F6-449C-A9CA-7DBCB898DFD9}" name="Prazo_x000a_Fund" dataDxfId="22"/>
    <tableColumn id="10" xr3:uid="{663D9716-4C25-4ACC-A105-E9E7A474BCE6}" name="Prazo_x000a_Fund Real" dataDxfId="21"/>
    <tableColumn id="11" xr3:uid="{6EF58C27-546C-4B57-B05D-BB07C2046388}" name="Prazo_x000a_Entrega_x000a_Camisa" dataDxfId="20"/>
    <tableColumn id="12" xr3:uid="{AC626966-9CA5-4150-82F1-50338494E847}" name="Pz Entrega_x000a_Real" dataDxfId="19"/>
    <tableColumn id="13" xr3:uid="{506EC589-7ED2-4A3B-BED8-6CA8F57277E1}" name="Desenho_x000a_Previsão" dataDxfId="18"/>
    <tableColumn id="14" xr3:uid="{A31AB572-7F13-4A5C-A42E-7E7A20433BDA}" name="Des." dataDxfId="17"/>
    <tableColumn id="33" xr3:uid="{9D21190D-5788-4F29-AED2-63644BCE6C32}" name="OP1" dataDxfId="1"/>
    <tableColumn id="30" xr3:uid="{6C8FD4D3-300E-4009-A264-D6FBC780DE60}" name="OP2" dataDxfId="2"/>
    <tableColumn id="28" xr3:uid="{533BCCB9-B72A-4E3A-BE20-626EE2E49D83}" name="OP3" dataDxfId="3"/>
    <tableColumn id="27" xr3:uid="{58435D6B-01D7-44DD-9B21-62EB23C9AA4F}" name="OP4" dataDxfId="4"/>
    <tableColumn id="25" xr3:uid="{B00B175A-D2BA-4783-8EBD-A000C46B6055}" name="OP5" dataDxfId="5"/>
    <tableColumn id="20" xr3:uid="{1C48207C-2D30-42CB-BD4E-0C9B569C9BCB}" name="OP6" dataDxfId="6"/>
    <tableColumn id="35" xr3:uid="{5857075F-D742-43D2-AD1F-F2BB8219D8E7}" name="OP7" dataDxfId="0"/>
    <tableColumn id="15" xr3:uid="{46F62312-EE93-4C00-9352-8A9BF48479C9}" name="OP8" dataDxfId="7"/>
    <tableColumn id="8" xr3:uid="{81AAED83-3114-4366-BECD-21F933A26FE9}" name="OP9" dataDxfId="8"/>
    <tableColumn id="18" xr3:uid="{F5387D14-C7D5-4022-901B-04E5D65304C7}" name="Status_x000a_Camisa" dataDxfId="16"/>
    <tableColumn id="32" xr3:uid="{BEC53105-CFFD-422E-9C30-4E4BC1816678}" name="Nº Eixo2" dataDxfId="15"/>
    <tableColumn id="31" xr3:uid="{75A53AF4-0F54-4590-BD96-F05C1573DAAA}" name="Rec_x000a_Eixo" dataDxfId="14"/>
    <tableColumn id="21" xr3:uid="{E4F9165E-8213-4A74-8458-2B70C50F9169}" name="Recurso Usinagem_x000a_Eixo" dataDxfId="13"/>
    <tableColumn id="22" xr3:uid="{DD97A210-9E2B-4A0B-AAFA-22D7F8571D7D}" name="Nº Laudo" dataDxfId="12"/>
    <tableColumn id="29" xr3:uid="{9A0D9E97-0991-4A6E-8B85-EED9CC983F8A}" name="Prazo_x000a_Entrega_x000a_Eixo" dataDxfId="11"/>
    <tableColumn id="23" xr3:uid="{28D59365-C375-479F-85A6-0CBB39E36BC5}" name="Status_x000a_Eixo" dataDxfId="10"/>
    <tableColumn id="19" xr3:uid="{A08285BC-8B0E-4492-A6AF-090B851B036D}" name="Observação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topLeftCell="K1" zoomScaleNormal="100" zoomScaleSheetLayoutView="100" workbookViewId="0">
      <selection activeCell="AD8" sqref="AD8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12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85</v>
      </c>
      <c r="AC2" s="10" t="s">
        <v>266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19</v>
      </c>
      <c r="P3" s="40" t="str">
        <f t="shared" ca="1" si="0"/>
        <v>NO PRAZO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85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19</v>
      </c>
      <c r="P4" s="40" t="str">
        <f t="shared" ca="1" si="0"/>
        <v>NO PRAZO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85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19</v>
      </c>
      <c r="P5" s="40" t="str">
        <f t="shared" ca="1" si="0"/>
        <v>NO PRAZO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19</v>
      </c>
      <c r="P6" s="40" t="str">
        <f t="shared" ca="1" si="0"/>
        <v>NO PRAZO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85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19</v>
      </c>
      <c r="P7" s="40" t="str">
        <f t="shared" ca="1" si="0"/>
        <v>NO PRAZO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85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12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85</v>
      </c>
      <c r="AC8" s="10" t="s">
        <v>266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12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85</v>
      </c>
      <c r="AC9" s="10" t="s">
        <v>266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12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85</v>
      </c>
      <c r="AC10" s="10" t="s">
        <v>266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12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85</v>
      </c>
      <c r="AC11" s="10" t="s">
        <v>266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19</v>
      </c>
      <c r="P12" s="40" t="str">
        <f t="shared" ca="1" si="0"/>
        <v>NO PRAZO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85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19</v>
      </c>
      <c r="P13" s="40" t="str">
        <f t="shared" ca="1" si="0"/>
        <v>NO PRAZO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85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19</v>
      </c>
      <c r="P14" s="40" t="str">
        <f t="shared" ca="1" si="0"/>
        <v>NO PRAZO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85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19</v>
      </c>
      <c r="P15" s="40" t="str">
        <f t="shared" ca="1" si="0"/>
        <v>NO PRAZO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12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266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12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85</v>
      </c>
      <c r="AC17" s="10" t="s">
        <v>266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12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85</v>
      </c>
      <c r="AC18" s="10" t="s">
        <v>266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12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266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M20" s="16">
        <v>46227</v>
      </c>
      <c r="N20" s="16"/>
      <c r="O20" s="40">
        <f ca="1">Tabela1[[#This Row],[Prazo
Entrega]]-TODAY()</f>
        <v>26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M21" s="16">
        <v>46220</v>
      </c>
      <c r="N21" s="16"/>
      <c r="O21" s="40">
        <f ca="1">Tabela1[[#This Row],[Prazo
Entrega]]-TODAY()</f>
        <v>19</v>
      </c>
      <c r="P21" s="40" t="str">
        <f t="shared" ca="1" si="0"/>
        <v>NO PRAZO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26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26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9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9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9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9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85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9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9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26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12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85</v>
      </c>
      <c r="AC31" s="10" t="s">
        <v>266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26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26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26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26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26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85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26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33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/>
      <c r="O39" s="40">
        <f ca="1">Tabela1[[#This Row],[Prazo
Entrega]]-TODAY()</f>
        <v>33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33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33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33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33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33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33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33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33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M48" s="16">
        <v>46241</v>
      </c>
      <c r="N48" s="16"/>
      <c r="O48" s="40">
        <f ca="1">Tabela1[[#This Row],[Prazo
Entrega]]-TODAY()</f>
        <v>40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40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40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40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40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40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M54" s="16">
        <v>46241</v>
      </c>
      <c r="N54" s="16"/>
      <c r="O54" s="40">
        <f ca="1">Tabela1[[#This Row],[Prazo
Entrega]]-TODAY()</f>
        <v>40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40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M56" s="16">
        <v>46241</v>
      </c>
      <c r="N56" s="16"/>
      <c r="O56" s="40">
        <f ca="1">Tabela1[[#This Row],[Prazo
Entrega]]-TODAY()</f>
        <v>40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40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47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47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M60" s="16">
        <v>46234</v>
      </c>
      <c r="N60" s="16"/>
      <c r="O60" s="40">
        <f ca="1">Tabela1[[#This Row],[Prazo
Entrega]]-TODAY()</f>
        <v>33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FUNDIDO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M61" s="16">
        <v>46234</v>
      </c>
      <c r="N61" s="16"/>
      <c r="O61" s="40">
        <f ca="1">Tabela1[[#This Row],[Prazo
Entrega]]-TODAY()</f>
        <v>33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FUNDIDO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33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33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33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M65" s="16">
        <v>46234</v>
      </c>
      <c r="N65" s="16"/>
      <c r="O65" s="40">
        <f ca="1">Tabela1[[#This Row],[Prazo
Entrega]]-TODAY()</f>
        <v>33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FUNDIDO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33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47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47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54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54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54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54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54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54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58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58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58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34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94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34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65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65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94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109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109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109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109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109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109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80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80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80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80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80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155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155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155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155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155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155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155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155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155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155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155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155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155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155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155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46295</v>
      </c>
      <c r="K110" s="40">
        <f>WEEKNUM(Tabela1[[#This Row],[Prazo
Fundido]])</f>
        <v>40</v>
      </c>
      <c r="M110" s="16">
        <v>46356</v>
      </c>
      <c r="N110" s="16"/>
      <c r="O110" s="40">
        <f ca="1">Tabela1[[#This Row],[Prazo
Entrega]]-TODAY()</f>
        <v>155</v>
      </c>
      <c r="P110" s="40" t="str">
        <f ca="1">IF(O110&lt;0,"ATRASADO",IF(O110&lt;=15,"ATENÇÃO","NO PRAZO"))</f>
        <v>NO PRAZO</v>
      </c>
      <c r="Q110" s="40">
        <f>WEEKNUM(Tabela1[[#This Row],[Prazo
Entrega]],1)</f>
        <v>49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46295</v>
      </c>
      <c r="K111" s="40">
        <f>WEEKNUM(Tabela1[[#This Row],[Prazo
Fundido]])</f>
        <v>40</v>
      </c>
      <c r="M111" s="16">
        <v>46356</v>
      </c>
      <c r="N111" s="16"/>
      <c r="O111" s="40">
        <f ca="1">Tabela1[[#This Row],[Prazo
Entrega]]-TODAY()</f>
        <v>155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49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46295</v>
      </c>
      <c r="K112" s="40">
        <f>WEEKNUM(Tabela1[[#This Row],[Prazo
Fundido]])</f>
        <v>40</v>
      </c>
      <c r="M112" s="16">
        <v>46356</v>
      </c>
      <c r="N112" s="16"/>
      <c r="O112" s="40">
        <f ca="1">Tabela1[[#This Row],[Prazo
Entrega]]-TODAY()</f>
        <v>155</v>
      </c>
      <c r="P112" s="40" t="str">
        <f t="shared" ca="1" si="10"/>
        <v>NO PRAZO</v>
      </c>
      <c r="Q112" s="40">
        <f>WEEKNUM(Tabela1[[#This Row],[Prazo
Entrega]],1)</f>
        <v>49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46295</v>
      </c>
      <c r="K113" s="40">
        <f>WEEKNUM(Tabela1[[#This Row],[Prazo
Fundido]])</f>
        <v>40</v>
      </c>
      <c r="M113" s="16">
        <v>46356</v>
      </c>
      <c r="N113" s="16"/>
      <c r="O113" s="40">
        <f ca="1">Tabela1[[#This Row],[Prazo
Entrega]]-TODAY()</f>
        <v>155</v>
      </c>
      <c r="P113" s="40" t="str">
        <f t="shared" ca="1" si="10"/>
        <v>NO PRAZO</v>
      </c>
      <c r="Q113" s="40">
        <f>WEEKNUM(Tabela1[[#This Row],[Prazo
Entrega]],1)</f>
        <v>49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46295</v>
      </c>
      <c r="K114" s="40">
        <f>WEEKNUM(Tabela1[[#This Row],[Prazo
Fundido]])</f>
        <v>40</v>
      </c>
      <c r="M114" s="16">
        <v>46356</v>
      </c>
      <c r="N114" s="16"/>
      <c r="O114" s="40">
        <f ca="1">Tabela1[[#This Row],[Prazo
Entrega]]-TODAY()</f>
        <v>155</v>
      </c>
      <c r="P114" s="40" t="str">
        <f t="shared" ca="1" si="10"/>
        <v>NO PRAZO</v>
      </c>
      <c r="Q114" s="40">
        <f>WEEKNUM(Tabela1[[#This Row],[Prazo
Entrega]],1)</f>
        <v>49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43"/>
  <sheetViews>
    <sheetView topLeftCell="A113" workbookViewId="0">
      <selection activeCell="J146" sqref="J146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10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265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10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265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10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265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10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265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10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265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10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265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10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265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10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265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10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265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10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170</v>
      </c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10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170</v>
      </c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10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170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10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10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10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10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10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10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10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10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10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10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10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10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10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10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10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10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10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10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10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32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32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32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32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32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65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65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65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65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65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65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65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65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65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65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65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65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75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75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75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75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75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75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75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75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75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75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75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75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75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75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75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85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85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85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85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85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85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85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85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85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85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85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85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85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85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85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65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65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65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95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95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95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95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95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95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95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95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95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171</v>
      </c>
      <c r="I92" s="10">
        <v>1</v>
      </c>
      <c r="J92" s="11">
        <v>46266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124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171</v>
      </c>
      <c r="I93" s="10">
        <v>1</v>
      </c>
      <c r="J93" s="11">
        <v>46266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124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171</v>
      </c>
      <c r="I94" s="10">
        <v>1</v>
      </c>
      <c r="J94" s="11">
        <v>46266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124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171</v>
      </c>
      <c r="I95" s="10">
        <v>1</v>
      </c>
      <c r="J95" s="11">
        <v>46266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124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171</v>
      </c>
      <c r="I96" s="10">
        <v>1</v>
      </c>
      <c r="J96" s="11">
        <v>46266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124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171</v>
      </c>
      <c r="I97" s="10">
        <v>1</v>
      </c>
      <c r="J97" s="11">
        <v>46266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124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171</v>
      </c>
      <c r="I98" s="10">
        <v>1</v>
      </c>
      <c r="J98" s="11">
        <v>46266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124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171</v>
      </c>
      <c r="I99" s="10">
        <v>1</v>
      </c>
      <c r="J99" s="11">
        <v>46266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124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171</v>
      </c>
      <c r="I100" s="10">
        <v>1</v>
      </c>
      <c r="J100" s="11">
        <v>46266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124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171</v>
      </c>
      <c r="I101" s="10">
        <v>1</v>
      </c>
      <c r="J101" s="11">
        <v>46266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124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171</v>
      </c>
      <c r="I102" s="10">
        <v>1</v>
      </c>
      <c r="J102" s="11">
        <v>46266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124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171</v>
      </c>
      <c r="I103" s="10">
        <v>1</v>
      </c>
      <c r="J103" s="11">
        <v>46266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124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171</v>
      </c>
      <c r="I104" s="10">
        <v>1</v>
      </c>
      <c r="J104" s="11">
        <v>46266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124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172</v>
      </c>
      <c r="I105" s="10">
        <v>1</v>
      </c>
      <c r="J105" s="11">
        <v>46266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124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172</v>
      </c>
      <c r="I106" s="10">
        <v>1</v>
      </c>
      <c r="J106" s="11">
        <v>46266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124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172</v>
      </c>
      <c r="I107" s="10">
        <v>1</v>
      </c>
      <c r="J107" s="11">
        <v>46266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124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172</v>
      </c>
      <c r="I108" s="10">
        <v>1</v>
      </c>
      <c r="J108" s="11">
        <v>46266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124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172</v>
      </c>
      <c r="I109" s="10">
        <v>1</v>
      </c>
      <c r="J109" s="11">
        <v>46266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124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172</v>
      </c>
      <c r="I110" s="10">
        <v>1</v>
      </c>
      <c r="J110" s="11">
        <v>46266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124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172</v>
      </c>
      <c r="I111" s="10">
        <v>1</v>
      </c>
      <c r="J111" s="11">
        <v>46266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124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172</v>
      </c>
      <c r="I112" s="10">
        <v>1</v>
      </c>
      <c r="J112" s="11">
        <v>46266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124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172</v>
      </c>
      <c r="I113" s="10">
        <v>1</v>
      </c>
      <c r="J113" s="11">
        <v>46266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124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172</v>
      </c>
      <c r="I114" s="10">
        <v>1</v>
      </c>
      <c r="J114" s="11">
        <v>46266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124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172</v>
      </c>
      <c r="I115" s="10">
        <v>1</v>
      </c>
      <c r="J115" s="11">
        <v>46266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124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173</v>
      </c>
      <c r="I116" s="10">
        <v>1</v>
      </c>
      <c r="J116" s="11">
        <v>46266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124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173</v>
      </c>
      <c r="I117" s="10">
        <v>1</v>
      </c>
      <c r="J117" s="11">
        <v>46266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124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173</v>
      </c>
      <c r="I118" s="10">
        <v>1</v>
      </c>
      <c r="J118" s="11">
        <v>46266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124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173</v>
      </c>
      <c r="I119" s="10">
        <v>1</v>
      </c>
      <c r="J119" s="11">
        <v>46266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124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173</v>
      </c>
      <c r="I120" s="10">
        <v>1</v>
      </c>
      <c r="J120" s="11">
        <v>46266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124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173</v>
      </c>
      <c r="I121" s="10">
        <v>1</v>
      </c>
      <c r="J121" s="11">
        <v>46266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124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173</v>
      </c>
      <c r="I122" s="10">
        <v>1</v>
      </c>
      <c r="J122" s="11">
        <v>46266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124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173</v>
      </c>
      <c r="I123" s="10">
        <v>1</v>
      </c>
      <c r="J123" s="11">
        <v>46266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124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174</v>
      </c>
      <c r="I124" s="10">
        <v>1</v>
      </c>
      <c r="J124" s="11">
        <v>46266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124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174</v>
      </c>
      <c r="I125" s="10">
        <v>1</v>
      </c>
      <c r="J125" s="11">
        <v>46266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124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174</v>
      </c>
      <c r="I126" s="10">
        <v>1</v>
      </c>
      <c r="J126" s="11">
        <v>46266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124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174</v>
      </c>
      <c r="I127" s="10">
        <v>1</v>
      </c>
      <c r="J127" s="11">
        <v>46266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124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174</v>
      </c>
      <c r="I128" s="10">
        <v>1</v>
      </c>
      <c r="J128" s="11">
        <v>46266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124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174</v>
      </c>
      <c r="I129" s="10">
        <v>1</v>
      </c>
      <c r="J129" s="11">
        <v>46266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124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174</v>
      </c>
      <c r="I130" s="10">
        <v>1</v>
      </c>
      <c r="J130" s="11">
        <v>46266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124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174</v>
      </c>
      <c r="I131" s="10">
        <v>1</v>
      </c>
      <c r="J131" s="11">
        <v>46266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124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x14ac:dyDescent="0.25">
      <c r="A132" s="10">
        <v>2335</v>
      </c>
      <c r="B132" s="10">
        <v>1</v>
      </c>
      <c r="C132" s="10">
        <v>27619</v>
      </c>
      <c r="D132" s="10">
        <v>1</v>
      </c>
      <c r="E132" s="10" t="s">
        <v>103</v>
      </c>
      <c r="F132" s="10" t="s">
        <v>77</v>
      </c>
      <c r="G132" s="10" t="s">
        <v>77</v>
      </c>
      <c r="H132" s="10" t="s">
        <v>267</v>
      </c>
      <c r="I132" s="10">
        <v>1</v>
      </c>
      <c r="J132" s="11">
        <v>46219</v>
      </c>
      <c r="K132" s="10">
        <f>WEEKNUM(Tabela3[[#This Row],[Prazo
Fundido]])</f>
        <v>29</v>
      </c>
      <c r="L132" s="10"/>
      <c r="M132" s="11">
        <v>46233</v>
      </c>
      <c r="N132" s="18"/>
      <c r="O132" s="11">
        <v>46203</v>
      </c>
      <c r="P132" s="10" t="s">
        <v>72</v>
      </c>
      <c r="Q132" s="12">
        <f ca="1">Tabela3[[#This Row],[Prazo
Entrega]]-TODAY()</f>
        <v>32</v>
      </c>
      <c r="R132" s="10" t="str">
        <f ca="1">IF(Q132&lt;0,"ATRASADO",IF(Q132&lt;=15,"ATENÇÃO","NO PRAZO"))</f>
        <v>NO PRAZO</v>
      </c>
      <c r="S132" s="10">
        <f>WEEKNUM(Tabela3[[#This Row],[Prazo
Entrega]])</f>
        <v>31</v>
      </c>
      <c r="T132" s="10" t="s">
        <v>43</v>
      </c>
      <c r="U132" s="10" t="s">
        <v>61</v>
      </c>
      <c r="V132" s="10"/>
    </row>
    <row r="133" spans="1:22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 t="s">
        <v>77</v>
      </c>
      <c r="G133" s="10" t="s">
        <v>77</v>
      </c>
      <c r="H133" s="10" t="s">
        <v>267</v>
      </c>
      <c r="I133" s="10">
        <v>1</v>
      </c>
      <c r="J133" s="11">
        <v>46219</v>
      </c>
      <c r="K133" s="10">
        <f>WEEKNUM(Tabela3[[#This Row],[Prazo
Fundido]])</f>
        <v>29</v>
      </c>
      <c r="L133" s="10"/>
      <c r="M133" s="11">
        <v>46248</v>
      </c>
      <c r="N133" s="18"/>
      <c r="O133" s="11">
        <v>46203</v>
      </c>
      <c r="P133" s="10" t="s">
        <v>72</v>
      </c>
      <c r="Q133" s="12">
        <f ca="1">Tabela3[[#This Row],[Prazo
Entrega]]-TODAY()</f>
        <v>47</v>
      </c>
      <c r="R133" s="10" t="str">
        <f t="shared" ref="R133:R143" ca="1" si="4">IF(Q133&lt;0,"ATRASADO",IF(Q133&lt;=15,"ATENÇÃO","NO PRAZO"))</f>
        <v>NO PRAZO</v>
      </c>
      <c r="S133" s="10">
        <f>WEEKNUM(Tabela3[[#This Row],[Prazo
Entrega]])</f>
        <v>33</v>
      </c>
      <c r="T133" s="10" t="s">
        <v>43</v>
      </c>
      <c r="U133" s="10" t="s">
        <v>61</v>
      </c>
      <c r="V133" s="10"/>
    </row>
    <row r="134" spans="1:22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 t="s">
        <v>77</v>
      </c>
      <c r="G134" s="10" t="s">
        <v>77</v>
      </c>
      <c r="H134" s="10" t="s">
        <v>267</v>
      </c>
      <c r="I134" s="10">
        <v>1</v>
      </c>
      <c r="J134" s="11">
        <v>46219</v>
      </c>
      <c r="K134" s="10">
        <f>WEEKNUM(Tabela3[[#This Row],[Prazo
Fundido]])</f>
        <v>29</v>
      </c>
      <c r="L134" s="10"/>
      <c r="M134" s="11">
        <v>46248</v>
      </c>
      <c r="N134" s="18"/>
      <c r="O134" s="11">
        <v>46203</v>
      </c>
      <c r="P134" s="10" t="s">
        <v>72</v>
      </c>
      <c r="Q134" s="12">
        <f ca="1">Tabela3[[#This Row],[Prazo
Entrega]]-TODAY()</f>
        <v>47</v>
      </c>
      <c r="R134" s="10" t="str">
        <f t="shared" ca="1" si="4"/>
        <v>NO PRAZO</v>
      </c>
      <c r="S134" s="10">
        <f>WEEKNUM(Tabela3[[#This Row],[Prazo
Entrega]])</f>
        <v>33</v>
      </c>
      <c r="T134" s="10" t="s">
        <v>43</v>
      </c>
      <c r="U134" s="10" t="s">
        <v>61</v>
      </c>
      <c r="V134" s="10"/>
    </row>
    <row r="135" spans="1:22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 t="s">
        <v>77</v>
      </c>
      <c r="G135" s="10" t="s">
        <v>77</v>
      </c>
      <c r="H135" s="10" t="s">
        <v>269</v>
      </c>
      <c r="I135" s="10">
        <v>1</v>
      </c>
      <c r="J135" s="11">
        <v>46219</v>
      </c>
      <c r="K135" s="10">
        <f>WEEKNUM(Tabela3[[#This Row],[Prazo
Fundido]])</f>
        <v>29</v>
      </c>
      <c r="L135" s="10"/>
      <c r="M135" s="11">
        <v>46233</v>
      </c>
      <c r="N135" s="18"/>
      <c r="O135" s="11">
        <v>46203</v>
      </c>
      <c r="P135" s="10" t="s">
        <v>72</v>
      </c>
      <c r="Q135" s="12">
        <f ca="1">Tabela3[[#This Row],[Prazo
Entrega]]-TODAY()</f>
        <v>32</v>
      </c>
      <c r="R135" s="10" t="str">
        <f t="shared" ca="1" si="4"/>
        <v>NO PRAZO</v>
      </c>
      <c r="S135" s="10">
        <f>WEEKNUM(Tabela3[[#This Row],[Prazo
Entrega]])</f>
        <v>31</v>
      </c>
      <c r="T135" s="10" t="s">
        <v>43</v>
      </c>
      <c r="U135" s="10" t="s">
        <v>61</v>
      </c>
      <c r="V135" s="10"/>
    </row>
    <row r="136" spans="1:22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 t="s">
        <v>77</v>
      </c>
      <c r="G136" s="10" t="s">
        <v>77</v>
      </c>
      <c r="H136" s="10" t="s">
        <v>269</v>
      </c>
      <c r="I136" s="10">
        <v>1</v>
      </c>
      <c r="J136" s="11">
        <v>46219</v>
      </c>
      <c r="K136" s="10">
        <f>WEEKNUM(Tabela3[[#This Row],[Prazo
Fundido]])</f>
        <v>29</v>
      </c>
      <c r="L136" s="10"/>
      <c r="M136" s="11">
        <v>46233</v>
      </c>
      <c r="N136" s="18"/>
      <c r="O136" s="11">
        <v>46203</v>
      </c>
      <c r="P136" s="10" t="s">
        <v>72</v>
      </c>
      <c r="Q136" s="12">
        <f ca="1">Tabela3[[#This Row],[Prazo
Entrega]]-TODAY()</f>
        <v>32</v>
      </c>
      <c r="R136" s="10" t="str">
        <f t="shared" ca="1" si="4"/>
        <v>NO PRAZO</v>
      </c>
      <c r="S136" s="10">
        <f>WEEKNUM(Tabela3[[#This Row],[Prazo
Entrega]])</f>
        <v>31</v>
      </c>
      <c r="T136" s="10" t="s">
        <v>43</v>
      </c>
      <c r="U136" s="10" t="s">
        <v>61</v>
      </c>
      <c r="V136" s="10"/>
    </row>
    <row r="137" spans="1:22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 t="s">
        <v>77</v>
      </c>
      <c r="G137" s="10" t="s">
        <v>77</v>
      </c>
      <c r="H137" s="10" t="s">
        <v>269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46248</v>
      </c>
      <c r="N137" s="18"/>
      <c r="O137" s="11">
        <v>46203</v>
      </c>
      <c r="P137" s="10" t="s">
        <v>72</v>
      </c>
      <c r="Q137" s="12">
        <f ca="1">Tabela3[[#This Row],[Prazo
Entrega]]-TODAY()</f>
        <v>47</v>
      </c>
      <c r="R137" s="10" t="str">
        <f t="shared" ca="1" si="4"/>
        <v>NO PRAZO</v>
      </c>
      <c r="S137" s="10">
        <f>WEEKNUM(Tabela3[[#This Row],[Prazo
Entrega]])</f>
        <v>33</v>
      </c>
      <c r="T137" s="10" t="s">
        <v>43</v>
      </c>
      <c r="U137" s="10" t="s">
        <v>61</v>
      </c>
      <c r="V137" s="10"/>
    </row>
    <row r="138" spans="1:22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 t="s">
        <v>77</v>
      </c>
      <c r="G138" s="10" t="s">
        <v>77</v>
      </c>
      <c r="H138" s="10" t="s">
        <v>269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47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 t="s">
        <v>77</v>
      </c>
      <c r="G139" s="10" t="s">
        <v>77</v>
      </c>
      <c r="H139" s="10" t="s">
        <v>269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47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 t="s">
        <v>77</v>
      </c>
      <c r="G140" s="10" t="s">
        <v>77</v>
      </c>
      <c r="H140" s="10" t="s">
        <v>268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32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 t="s">
        <v>77</v>
      </c>
      <c r="G141" s="10" t="s">
        <v>77</v>
      </c>
      <c r="H141" s="10" t="s">
        <v>268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32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 t="s">
        <v>77</v>
      </c>
      <c r="G142" s="10" t="s">
        <v>77</v>
      </c>
      <c r="H142" s="10" t="s">
        <v>268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47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 t="s">
        <v>77</v>
      </c>
      <c r="G143" s="10" t="s">
        <v>77</v>
      </c>
      <c r="H143" s="10" t="s">
        <v>268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47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A36" sqref="A36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68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68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38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38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38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94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38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65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65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65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65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65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94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94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94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79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79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79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79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79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79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79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79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79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173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173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173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85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85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85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173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173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173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173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270</v>
      </c>
      <c r="F36" s="14" t="s">
        <v>77</v>
      </c>
      <c r="G36" s="14" t="s">
        <v>77</v>
      </c>
      <c r="H36" s="6" t="s">
        <v>271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94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270</v>
      </c>
      <c r="F37" s="14" t="s">
        <v>77</v>
      </c>
      <c r="G37" s="14" t="s">
        <v>77</v>
      </c>
      <c r="H37" s="6" t="s">
        <v>272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94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270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94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270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94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9"/>
  <sheetViews>
    <sheetView topLeftCell="A62" workbookViewId="0">
      <selection activeCell="I96" sqref="I95:I96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46204</v>
      </c>
      <c r="L2" s="7">
        <v>46254</v>
      </c>
      <c r="N2" s="13">
        <f ca="1">Tabela4[[#This Row],[Prazo
Entrega]]-TODAY()</f>
        <v>53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46204</v>
      </c>
      <c r="L3" s="7">
        <v>46254</v>
      </c>
      <c r="N3" s="13">
        <f ca="1">Tabela4[[#This Row],[Prazo
Entrega]]-TODAY()</f>
        <v>53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46204</v>
      </c>
      <c r="L4" s="7">
        <v>46254</v>
      </c>
      <c r="N4" s="13">
        <f ca="1">Tabela4[[#This Row],[Prazo
Entrega]]-TODAY()</f>
        <v>53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46204</v>
      </c>
      <c r="L5" s="7">
        <v>46254</v>
      </c>
      <c r="N5" s="13">
        <f ca="1">Tabela4[[#This Row],[Prazo
Entrega]]-TODAY()</f>
        <v>53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46204</v>
      </c>
      <c r="L6" s="7">
        <v>46254</v>
      </c>
      <c r="N6" s="13">
        <f ca="1">Tabela4[[#This Row],[Prazo
Entrega]]-TODAY()</f>
        <v>53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46204</v>
      </c>
      <c r="L7" s="7">
        <v>46254</v>
      </c>
      <c r="N7" s="13">
        <f ca="1">Tabela4[[#This Row],[Prazo
Entrega]]-TODAY()</f>
        <v>53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46204</v>
      </c>
      <c r="L8" s="7">
        <v>46254</v>
      </c>
      <c r="N8" s="13">
        <f ca="1">Tabela4[[#This Row],[Prazo
Entrega]]-TODAY()</f>
        <v>53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46204</v>
      </c>
      <c r="L9" s="7">
        <v>46254</v>
      </c>
      <c r="N9" s="13">
        <f ca="1">Tabela4[[#This Row],[Prazo
Entrega]]-TODAY()</f>
        <v>53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-23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175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175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175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175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175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175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80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80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175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175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175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175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175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175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175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175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175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175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175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175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175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175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175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175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175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175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175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175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175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175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175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175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175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175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175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175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175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175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175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175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175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175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19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2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19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155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19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155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19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155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19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155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19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155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19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155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19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155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</row>
    <row r="61" spans="1:19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155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</row>
    <row r="62" spans="1:19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155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</row>
    <row r="63" spans="1:19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155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19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155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155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155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155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155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155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155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155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155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155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155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155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155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155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155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155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155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155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155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155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155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155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155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155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155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181</v>
      </c>
      <c r="F89" s="14">
        <v>1</v>
      </c>
      <c r="G89" s="14" t="s">
        <v>77</v>
      </c>
      <c r="H89" s="14" t="s">
        <v>77</v>
      </c>
      <c r="I89" s="6" t="s">
        <v>182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2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F18"/>
  <sheetViews>
    <sheetView tabSelected="1" topLeftCell="D1" zoomScale="90" zoomScaleNormal="90" workbookViewId="0">
      <selection activeCell="X1" sqref="X1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5.7109375" style="53" bestFit="1" customWidth="1"/>
    <col min="6" max="6" width="9.85546875" style="53" bestFit="1" customWidth="1"/>
    <col min="7" max="7" width="8.42578125" style="53" bestFit="1" customWidth="1"/>
    <col min="8" max="8" width="7.42578125" style="53" customWidth="1"/>
    <col min="9" max="9" width="9.140625" style="53"/>
    <col min="10" max="10" width="10.140625" style="53" bestFit="1" customWidth="1"/>
    <col min="11" max="11" width="10.28515625" style="53" customWidth="1"/>
    <col min="12" max="12" width="10.140625" style="53" bestFit="1" customWidth="1"/>
    <col min="13" max="24" width="9.140625" style="53"/>
    <col min="25" max="26" width="18.5703125" style="53" customWidth="1"/>
    <col min="27" max="27" width="9.7109375" style="53" bestFit="1" customWidth="1"/>
    <col min="28" max="28" width="22.5703125" style="53" bestFit="1" customWidth="1"/>
    <col min="29" max="29" width="13" style="53" bestFit="1" customWidth="1"/>
    <col min="30" max="30" width="13" style="53" customWidth="1"/>
    <col min="31" max="31" width="19.28515625" style="53" customWidth="1"/>
    <col min="32" max="32" width="25.42578125" style="53" customWidth="1"/>
    <col min="33" max="16384" width="9.140625" style="53"/>
  </cols>
  <sheetData>
    <row r="1" spans="1:32" ht="40.5" x14ac:dyDescent="0.25">
      <c r="A1" s="51" t="s">
        <v>7</v>
      </c>
      <c r="B1" s="51" t="s">
        <v>1</v>
      </c>
      <c r="C1" s="51" t="s">
        <v>3</v>
      </c>
      <c r="D1" s="52" t="s">
        <v>263</v>
      </c>
      <c r="E1" s="51" t="s">
        <v>6</v>
      </c>
      <c r="F1" s="51" t="s">
        <v>2</v>
      </c>
      <c r="G1" s="51" t="s">
        <v>264</v>
      </c>
      <c r="H1" s="51" t="s">
        <v>240</v>
      </c>
      <c r="I1" s="51" t="s">
        <v>226</v>
      </c>
      <c r="J1" s="52" t="s">
        <v>255</v>
      </c>
      <c r="K1" s="52" t="s">
        <v>256</v>
      </c>
      <c r="L1" s="52" t="s">
        <v>254</v>
      </c>
      <c r="M1" s="52" t="s">
        <v>21</v>
      </c>
      <c r="N1" s="52" t="s">
        <v>109</v>
      </c>
      <c r="O1" s="52" t="s">
        <v>84</v>
      </c>
      <c r="P1" s="52" t="s">
        <v>283</v>
      </c>
      <c r="Q1" s="52" t="s">
        <v>284</v>
      </c>
      <c r="R1" s="52" t="s">
        <v>285</v>
      </c>
      <c r="S1" s="52" t="s">
        <v>286</v>
      </c>
      <c r="T1" s="52" t="s">
        <v>287</v>
      </c>
      <c r="U1" s="52" t="s">
        <v>288</v>
      </c>
      <c r="V1" s="52" t="s">
        <v>289</v>
      </c>
      <c r="W1" s="52" t="s">
        <v>290</v>
      </c>
      <c r="X1" s="52" t="s">
        <v>291</v>
      </c>
      <c r="Y1" s="52" t="s">
        <v>228</v>
      </c>
      <c r="Z1" s="52" t="s">
        <v>247</v>
      </c>
      <c r="AA1" s="52" t="s">
        <v>257</v>
      </c>
      <c r="AB1" s="52" t="s">
        <v>229</v>
      </c>
      <c r="AC1" s="52" t="s">
        <v>231</v>
      </c>
      <c r="AD1" s="52" t="s">
        <v>253</v>
      </c>
      <c r="AE1" s="52" t="s">
        <v>232</v>
      </c>
      <c r="AF1" s="52" t="s">
        <v>73</v>
      </c>
    </row>
    <row r="2" spans="1:32" x14ac:dyDescent="0.25">
      <c r="A2" s="54">
        <v>1015</v>
      </c>
      <c r="B2" s="54">
        <v>1</v>
      </c>
      <c r="C2" s="54" t="s">
        <v>233</v>
      </c>
      <c r="D2" s="54">
        <v>6635</v>
      </c>
      <c r="E2" s="54" t="s">
        <v>260</v>
      </c>
      <c r="F2" s="54">
        <v>1</v>
      </c>
      <c r="G2" s="54">
        <v>2300</v>
      </c>
      <c r="H2" s="54" t="s">
        <v>77</v>
      </c>
      <c r="I2" s="54" t="s">
        <v>227</v>
      </c>
      <c r="J2" s="55">
        <v>46233</v>
      </c>
      <c r="K2" s="54"/>
      <c r="L2" s="55"/>
      <c r="M2" s="54"/>
      <c r="N2" s="54" t="s">
        <v>69</v>
      </c>
      <c r="O2" s="54" t="s">
        <v>69</v>
      </c>
      <c r="P2" s="56" t="s">
        <v>273</v>
      </c>
      <c r="Q2" s="56" t="s">
        <v>275</v>
      </c>
      <c r="R2" s="56" t="s">
        <v>276</v>
      </c>
      <c r="S2" s="56" t="s">
        <v>278</v>
      </c>
      <c r="T2" s="54" t="s">
        <v>279</v>
      </c>
      <c r="U2" s="54" t="s">
        <v>280</v>
      </c>
      <c r="V2" s="54" t="s">
        <v>277</v>
      </c>
      <c r="W2" s="54" t="s">
        <v>281</v>
      </c>
      <c r="X2" s="54" t="s">
        <v>282</v>
      </c>
      <c r="Y2" s="54" t="s">
        <v>237</v>
      </c>
      <c r="Z2" s="54">
        <v>2</v>
      </c>
      <c r="AA2" s="54" t="s">
        <v>69</v>
      </c>
      <c r="AB2" s="54" t="s">
        <v>259</v>
      </c>
      <c r="AC2" s="54" t="s">
        <v>100</v>
      </c>
      <c r="AD2" s="54"/>
      <c r="AE2" s="54" t="s">
        <v>258</v>
      </c>
      <c r="AF2" s="54" t="s">
        <v>235</v>
      </c>
    </row>
    <row r="3" spans="1:32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261</v>
      </c>
      <c r="F3" s="54">
        <v>1</v>
      </c>
      <c r="G3" s="54" t="s">
        <v>236</v>
      </c>
      <c r="H3" s="54" t="s">
        <v>241</v>
      </c>
      <c r="I3" s="54" t="s">
        <v>246</v>
      </c>
      <c r="J3" s="54" t="s">
        <v>77</v>
      </c>
      <c r="K3" s="54" t="s">
        <v>77</v>
      </c>
      <c r="L3" s="55">
        <v>46410</v>
      </c>
      <c r="M3" s="54"/>
      <c r="N3" s="54" t="s">
        <v>72</v>
      </c>
      <c r="O3" s="54" t="s">
        <v>72</v>
      </c>
      <c r="P3" s="54" t="s">
        <v>274</v>
      </c>
      <c r="Q3" s="54" t="s">
        <v>273</v>
      </c>
      <c r="R3" s="54" t="s">
        <v>277</v>
      </c>
      <c r="S3" s="54"/>
      <c r="T3" s="54"/>
      <c r="U3" s="54"/>
      <c r="V3" s="54"/>
      <c r="W3" s="54"/>
      <c r="X3" s="54"/>
      <c r="Y3" s="54" t="s">
        <v>234</v>
      </c>
      <c r="Z3" s="54" t="s">
        <v>248</v>
      </c>
      <c r="AA3" s="54" t="s">
        <v>72</v>
      </c>
      <c r="AB3" s="54" t="s">
        <v>230</v>
      </c>
      <c r="AC3" s="54" t="s">
        <v>100</v>
      </c>
      <c r="AD3" s="55">
        <v>46410</v>
      </c>
      <c r="AE3" s="54" t="s">
        <v>234</v>
      </c>
      <c r="AF3" s="54"/>
    </row>
    <row r="4" spans="1:32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261</v>
      </c>
      <c r="F4" s="54">
        <v>1</v>
      </c>
      <c r="G4" s="54" t="s">
        <v>236</v>
      </c>
      <c r="H4" s="54" t="s">
        <v>241</v>
      </c>
      <c r="I4" s="54" t="s">
        <v>246</v>
      </c>
      <c r="J4" s="54" t="s">
        <v>77</v>
      </c>
      <c r="K4" s="54" t="s">
        <v>77</v>
      </c>
      <c r="L4" s="55">
        <v>46414</v>
      </c>
      <c r="M4" s="54"/>
      <c r="N4" s="54" t="s">
        <v>72</v>
      </c>
      <c r="O4" s="54" t="s">
        <v>72</v>
      </c>
      <c r="P4" s="54" t="s">
        <v>274</v>
      </c>
      <c r="Q4" s="54" t="s">
        <v>273</v>
      </c>
      <c r="R4" s="54" t="s">
        <v>277</v>
      </c>
      <c r="S4" s="54"/>
      <c r="T4" s="54"/>
      <c r="U4" s="54"/>
      <c r="V4" s="54"/>
      <c r="W4" s="54"/>
      <c r="X4" s="54"/>
      <c r="Y4" s="54" t="s">
        <v>234</v>
      </c>
      <c r="Z4" s="54" t="s">
        <v>249</v>
      </c>
      <c r="AA4" s="54" t="s">
        <v>72</v>
      </c>
      <c r="AB4" s="54" t="s">
        <v>230</v>
      </c>
      <c r="AC4" s="54" t="s">
        <v>100</v>
      </c>
      <c r="AD4" s="55">
        <v>46414</v>
      </c>
      <c r="AE4" s="54" t="s">
        <v>234</v>
      </c>
      <c r="AF4" s="54"/>
    </row>
    <row r="5" spans="1:32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261</v>
      </c>
      <c r="F5" s="54">
        <v>1</v>
      </c>
      <c r="G5" s="54" t="s">
        <v>236</v>
      </c>
      <c r="H5" s="54" t="s">
        <v>242</v>
      </c>
      <c r="I5" s="54" t="s">
        <v>246</v>
      </c>
      <c r="J5" s="54" t="s">
        <v>77</v>
      </c>
      <c r="K5" s="54" t="s">
        <v>77</v>
      </c>
      <c r="L5" s="55">
        <v>46416</v>
      </c>
      <c r="M5" s="54"/>
      <c r="N5" s="54" t="s">
        <v>72</v>
      </c>
      <c r="O5" s="54" t="s">
        <v>72</v>
      </c>
      <c r="P5" s="54" t="s">
        <v>274</v>
      </c>
      <c r="Q5" s="54" t="s">
        <v>273</v>
      </c>
      <c r="R5" s="54" t="s">
        <v>277</v>
      </c>
      <c r="S5" s="54"/>
      <c r="T5" s="54"/>
      <c r="U5" s="54"/>
      <c r="V5" s="54"/>
      <c r="W5" s="54"/>
      <c r="X5" s="54"/>
      <c r="Y5" s="54" t="s">
        <v>234</v>
      </c>
      <c r="Z5" s="54">
        <v>9</v>
      </c>
      <c r="AA5" s="54" t="s">
        <v>72</v>
      </c>
      <c r="AB5" s="54" t="s">
        <v>230</v>
      </c>
      <c r="AC5" s="54" t="s">
        <v>100</v>
      </c>
      <c r="AD5" s="55">
        <v>46416</v>
      </c>
      <c r="AE5" s="54" t="s">
        <v>234</v>
      </c>
      <c r="AF5" s="54"/>
    </row>
    <row r="6" spans="1:32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261</v>
      </c>
      <c r="F6" s="54">
        <v>1</v>
      </c>
      <c r="G6" s="54">
        <v>1700</v>
      </c>
      <c r="H6" s="54" t="s">
        <v>242</v>
      </c>
      <c r="I6" s="54" t="s">
        <v>246</v>
      </c>
      <c r="J6" s="54" t="s">
        <v>77</v>
      </c>
      <c r="K6" s="54" t="s">
        <v>77</v>
      </c>
      <c r="L6" s="55">
        <v>46417</v>
      </c>
      <c r="M6" s="54"/>
      <c r="N6" s="54" t="s">
        <v>72</v>
      </c>
      <c r="O6" s="54" t="s">
        <v>72</v>
      </c>
      <c r="P6" s="54" t="s">
        <v>274</v>
      </c>
      <c r="Q6" s="54" t="s">
        <v>273</v>
      </c>
      <c r="R6" s="54" t="s">
        <v>277</v>
      </c>
      <c r="S6" s="54"/>
      <c r="T6" s="54"/>
      <c r="U6" s="54"/>
      <c r="V6" s="54"/>
      <c r="W6" s="54"/>
      <c r="X6" s="54"/>
      <c r="Y6" s="54" t="s">
        <v>234</v>
      </c>
      <c r="Z6" s="54">
        <v>17</v>
      </c>
      <c r="AA6" s="54" t="s">
        <v>72</v>
      </c>
      <c r="AB6" s="54" t="s">
        <v>230</v>
      </c>
      <c r="AC6" s="54" t="s">
        <v>100</v>
      </c>
      <c r="AD6" s="55">
        <v>46417</v>
      </c>
      <c r="AE6" s="54" t="s">
        <v>234</v>
      </c>
      <c r="AF6" s="54"/>
    </row>
    <row r="7" spans="1:32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261</v>
      </c>
      <c r="F7" s="54">
        <v>1</v>
      </c>
      <c r="G7" s="54">
        <v>1700</v>
      </c>
      <c r="H7" s="54" t="s">
        <v>243</v>
      </c>
      <c r="I7" s="54" t="s">
        <v>246</v>
      </c>
      <c r="J7" s="54" t="s">
        <v>77</v>
      </c>
      <c r="K7" s="54" t="s">
        <v>77</v>
      </c>
      <c r="L7" s="55">
        <v>46420</v>
      </c>
      <c r="M7" s="54"/>
      <c r="N7" s="54" t="s">
        <v>72</v>
      </c>
      <c r="O7" s="54" t="s">
        <v>72</v>
      </c>
      <c r="P7" s="54" t="s">
        <v>274</v>
      </c>
      <c r="Q7" s="54" t="s">
        <v>273</v>
      </c>
      <c r="R7" s="54" t="s">
        <v>277</v>
      </c>
      <c r="S7" s="54"/>
      <c r="T7" s="54"/>
      <c r="U7" s="54"/>
      <c r="V7" s="54"/>
      <c r="W7" s="54"/>
      <c r="X7" s="54"/>
      <c r="Y7" s="54" t="s">
        <v>234</v>
      </c>
      <c r="Z7" s="54">
        <v>7</v>
      </c>
      <c r="AA7" s="54" t="s">
        <v>72</v>
      </c>
      <c r="AB7" s="54" t="s">
        <v>230</v>
      </c>
      <c r="AC7" s="54" t="s">
        <v>100</v>
      </c>
      <c r="AD7" s="55">
        <v>46420</v>
      </c>
      <c r="AE7" s="54" t="s">
        <v>234</v>
      </c>
      <c r="AF7" s="54"/>
    </row>
    <row r="8" spans="1:32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261</v>
      </c>
      <c r="F8" s="54">
        <v>1</v>
      </c>
      <c r="G8" s="54">
        <v>1700</v>
      </c>
      <c r="H8" s="54" t="s">
        <v>243</v>
      </c>
      <c r="I8" s="54" t="s">
        <v>227</v>
      </c>
      <c r="J8" s="55">
        <v>46233</v>
      </c>
      <c r="K8" s="54"/>
      <c r="L8" s="55">
        <v>46408</v>
      </c>
      <c r="M8" s="54"/>
      <c r="N8" s="54" t="s">
        <v>72</v>
      </c>
      <c r="O8" s="54" t="s">
        <v>72</v>
      </c>
      <c r="P8" s="54" t="s">
        <v>273</v>
      </c>
      <c r="Q8" s="54" t="s">
        <v>276</v>
      </c>
      <c r="R8" s="54" t="s">
        <v>277</v>
      </c>
      <c r="S8" s="54" t="s">
        <v>281</v>
      </c>
      <c r="T8" s="54" t="s">
        <v>282</v>
      </c>
      <c r="U8" s="54"/>
      <c r="V8" s="54"/>
      <c r="W8" s="54"/>
      <c r="X8" s="54"/>
      <c r="Y8" s="54" t="s">
        <v>234</v>
      </c>
      <c r="Z8" s="54">
        <v>2</v>
      </c>
      <c r="AA8" s="54" t="s">
        <v>72</v>
      </c>
      <c r="AB8" s="54" t="s">
        <v>259</v>
      </c>
      <c r="AC8" s="54" t="s">
        <v>100</v>
      </c>
      <c r="AD8" s="55">
        <v>46408</v>
      </c>
      <c r="AE8" s="54" t="s">
        <v>234</v>
      </c>
      <c r="AF8" s="54"/>
    </row>
    <row r="9" spans="1:32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261</v>
      </c>
      <c r="F9" s="54">
        <v>1</v>
      </c>
      <c r="G9" s="54">
        <v>1700</v>
      </c>
      <c r="H9" s="54" t="s">
        <v>244</v>
      </c>
      <c r="I9" s="54" t="s">
        <v>246</v>
      </c>
      <c r="J9" s="54" t="s">
        <v>77</v>
      </c>
      <c r="K9" s="54" t="s">
        <v>77</v>
      </c>
      <c r="L9" s="55">
        <v>46421</v>
      </c>
      <c r="M9" s="54"/>
      <c r="N9" s="54" t="s">
        <v>72</v>
      </c>
      <c r="O9" s="54" t="s">
        <v>72</v>
      </c>
      <c r="P9" s="54" t="s">
        <v>274</v>
      </c>
      <c r="Q9" s="54" t="s">
        <v>273</v>
      </c>
      <c r="R9" s="54" t="s">
        <v>277</v>
      </c>
      <c r="S9" s="54"/>
      <c r="T9" s="54"/>
      <c r="U9" s="54"/>
      <c r="V9" s="54"/>
      <c r="W9" s="54"/>
      <c r="X9" s="54"/>
      <c r="Y9" s="54" t="s">
        <v>234</v>
      </c>
      <c r="Z9" s="54">
        <v>3</v>
      </c>
      <c r="AA9" s="54" t="s">
        <v>72</v>
      </c>
      <c r="AB9" s="54" t="s">
        <v>259</v>
      </c>
      <c r="AC9" s="54" t="s">
        <v>100</v>
      </c>
      <c r="AD9" s="55">
        <v>46421</v>
      </c>
      <c r="AE9" s="54" t="s">
        <v>234</v>
      </c>
      <c r="AF9" s="54"/>
    </row>
    <row r="10" spans="1:32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261</v>
      </c>
      <c r="F10" s="54">
        <v>1</v>
      </c>
      <c r="G10" s="54">
        <v>1700</v>
      </c>
      <c r="H10" s="54" t="s">
        <v>244</v>
      </c>
      <c r="I10" s="54" t="s">
        <v>227</v>
      </c>
      <c r="J10" s="55">
        <v>46233</v>
      </c>
      <c r="K10" s="54"/>
      <c r="L10" s="55">
        <v>46403</v>
      </c>
      <c r="M10" s="54"/>
      <c r="N10" s="54" t="s">
        <v>72</v>
      </c>
      <c r="O10" s="54" t="s">
        <v>72</v>
      </c>
      <c r="P10" s="54" t="s">
        <v>273</v>
      </c>
      <c r="Q10" s="54" t="s">
        <v>276</v>
      </c>
      <c r="R10" s="54" t="s">
        <v>277</v>
      </c>
      <c r="S10" s="54" t="s">
        <v>281</v>
      </c>
      <c r="T10" s="54" t="s">
        <v>282</v>
      </c>
      <c r="U10" s="54"/>
      <c r="V10" s="54"/>
      <c r="W10" s="54"/>
      <c r="X10" s="54"/>
      <c r="Y10" s="54" t="s">
        <v>234</v>
      </c>
      <c r="Z10" s="54">
        <v>10</v>
      </c>
      <c r="AA10" s="54" t="s">
        <v>72</v>
      </c>
      <c r="AB10" s="54" t="s">
        <v>259</v>
      </c>
      <c r="AC10" s="54" t="s">
        <v>100</v>
      </c>
      <c r="AD10" s="55">
        <v>46403</v>
      </c>
      <c r="AE10" s="54" t="s">
        <v>234</v>
      </c>
      <c r="AF10" s="54"/>
    </row>
    <row r="11" spans="1:32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261</v>
      </c>
      <c r="F11" s="54">
        <v>1</v>
      </c>
      <c r="G11" s="54">
        <v>1700</v>
      </c>
      <c r="H11" s="54" t="s">
        <v>245</v>
      </c>
      <c r="I11" s="54" t="s">
        <v>246</v>
      </c>
      <c r="J11" s="54" t="s">
        <v>77</v>
      </c>
      <c r="K11" s="54" t="s">
        <v>77</v>
      </c>
      <c r="L11" s="55">
        <v>46423</v>
      </c>
      <c r="M11" s="54"/>
      <c r="N11" s="54" t="s">
        <v>72</v>
      </c>
      <c r="O11" s="54" t="s">
        <v>72</v>
      </c>
      <c r="P11" s="54" t="s">
        <v>274</v>
      </c>
      <c r="Q11" s="54" t="s">
        <v>273</v>
      </c>
      <c r="R11" s="54" t="s">
        <v>277</v>
      </c>
      <c r="S11" s="54"/>
      <c r="T11" s="54"/>
      <c r="U11" s="54"/>
      <c r="V11" s="54"/>
      <c r="W11" s="54"/>
      <c r="X11" s="54"/>
      <c r="Y11" s="54" t="s">
        <v>234</v>
      </c>
      <c r="Z11" s="54">
        <v>20</v>
      </c>
      <c r="AA11" s="54" t="s">
        <v>72</v>
      </c>
      <c r="AB11" s="54" t="s">
        <v>259</v>
      </c>
      <c r="AC11" s="54" t="s">
        <v>100</v>
      </c>
      <c r="AD11" s="55">
        <v>46423</v>
      </c>
      <c r="AE11" s="54" t="s">
        <v>234</v>
      </c>
      <c r="AF11" s="54"/>
    </row>
    <row r="12" spans="1:32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239</v>
      </c>
      <c r="F12" s="54">
        <v>1</v>
      </c>
      <c r="G12" s="54">
        <v>1700</v>
      </c>
      <c r="H12" s="54" t="s">
        <v>245</v>
      </c>
      <c r="I12" s="54" t="s">
        <v>227</v>
      </c>
      <c r="J12" s="55">
        <v>46233</v>
      </c>
      <c r="K12" s="54"/>
      <c r="L12" s="55">
        <v>46406</v>
      </c>
      <c r="M12" s="54"/>
      <c r="N12" s="54" t="s">
        <v>72</v>
      </c>
      <c r="O12" s="54" t="s">
        <v>72</v>
      </c>
      <c r="P12" s="54" t="s">
        <v>273</v>
      </c>
      <c r="Q12" s="54" t="s">
        <v>275</v>
      </c>
      <c r="R12" s="54" t="s">
        <v>276</v>
      </c>
      <c r="S12" s="54" t="s">
        <v>278</v>
      </c>
      <c r="T12" s="54" t="s">
        <v>279</v>
      </c>
      <c r="U12" s="54" t="s">
        <v>280</v>
      </c>
      <c r="V12" s="54" t="s">
        <v>277</v>
      </c>
      <c r="W12" s="54" t="s">
        <v>281</v>
      </c>
      <c r="X12" s="54" t="s">
        <v>282</v>
      </c>
      <c r="Y12" s="54" t="s">
        <v>61</v>
      </c>
      <c r="Z12" s="54">
        <v>18</v>
      </c>
      <c r="AA12" s="54" t="s">
        <v>72</v>
      </c>
      <c r="AB12" s="54" t="s">
        <v>259</v>
      </c>
      <c r="AC12" s="54" t="s">
        <v>100</v>
      </c>
      <c r="AD12" s="55">
        <v>46406</v>
      </c>
      <c r="AE12" s="54" t="s">
        <v>234</v>
      </c>
      <c r="AF12" s="54"/>
    </row>
    <row r="13" spans="1:32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262</v>
      </c>
      <c r="F13" s="54">
        <v>1</v>
      </c>
      <c r="G13" s="54">
        <v>1700</v>
      </c>
      <c r="H13" s="54" t="s">
        <v>244</v>
      </c>
      <c r="I13" s="54" t="s">
        <v>250</v>
      </c>
      <c r="J13" s="54" t="s">
        <v>77</v>
      </c>
      <c r="K13" s="54" t="s">
        <v>77</v>
      </c>
      <c r="L13" s="55">
        <v>46424</v>
      </c>
      <c r="M13" s="54"/>
      <c r="N13" s="54" t="s">
        <v>72</v>
      </c>
      <c r="O13" s="54" t="s">
        <v>72</v>
      </c>
      <c r="P13" s="54" t="s">
        <v>274</v>
      </c>
      <c r="Q13" s="54" t="s">
        <v>273</v>
      </c>
      <c r="R13" s="54" t="s">
        <v>277</v>
      </c>
      <c r="S13" s="54"/>
      <c r="T13" s="54"/>
      <c r="U13" s="54"/>
      <c r="V13" s="54"/>
      <c r="W13" s="54"/>
      <c r="X13" s="54"/>
      <c r="Y13" s="54" t="s">
        <v>234</v>
      </c>
      <c r="Z13" s="54" t="s">
        <v>251</v>
      </c>
      <c r="AA13" s="54" t="s">
        <v>72</v>
      </c>
      <c r="AB13" s="54" t="s">
        <v>259</v>
      </c>
      <c r="AC13" s="54" t="s">
        <v>100</v>
      </c>
      <c r="AD13" s="55">
        <v>46424</v>
      </c>
      <c r="AE13" s="54" t="s">
        <v>234</v>
      </c>
      <c r="AF13" s="54"/>
    </row>
    <row r="14" spans="1:32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260</v>
      </c>
      <c r="F14" s="54">
        <v>1</v>
      </c>
      <c r="G14" s="54" t="s">
        <v>236</v>
      </c>
      <c r="H14" s="54" t="s">
        <v>241</v>
      </c>
      <c r="I14" s="54" t="s">
        <v>227</v>
      </c>
      <c r="J14" s="55">
        <v>46233</v>
      </c>
      <c r="K14" s="55">
        <v>46198</v>
      </c>
      <c r="L14" s="55">
        <v>46426</v>
      </c>
      <c r="M14" s="54"/>
      <c r="N14" s="54" t="s">
        <v>72</v>
      </c>
      <c r="O14" s="54" t="s">
        <v>72</v>
      </c>
      <c r="P14" s="54" t="s">
        <v>273</v>
      </c>
      <c r="Q14" s="54" t="s">
        <v>275</v>
      </c>
      <c r="R14" s="54" t="s">
        <v>276</v>
      </c>
      <c r="S14" s="54" t="s">
        <v>278</v>
      </c>
      <c r="T14" s="54" t="s">
        <v>279</v>
      </c>
      <c r="U14" s="54" t="s">
        <v>280</v>
      </c>
      <c r="V14" s="54" t="s">
        <v>277</v>
      </c>
      <c r="W14" s="54" t="s">
        <v>281</v>
      </c>
      <c r="X14" s="54" t="s">
        <v>282</v>
      </c>
      <c r="Y14" s="54" t="s">
        <v>151</v>
      </c>
      <c r="Z14" s="54" t="s">
        <v>238</v>
      </c>
      <c r="AA14" s="54" t="s">
        <v>72</v>
      </c>
      <c r="AB14" s="54" t="s">
        <v>259</v>
      </c>
      <c r="AC14" s="54" t="s">
        <v>100</v>
      </c>
      <c r="AD14" s="55">
        <v>46426</v>
      </c>
      <c r="AE14" s="54" t="s">
        <v>234</v>
      </c>
      <c r="AF14" s="54"/>
    </row>
    <row r="15" spans="1:32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260</v>
      </c>
      <c r="F15" s="54">
        <v>1</v>
      </c>
      <c r="G15" s="54">
        <v>1700</v>
      </c>
      <c r="H15" s="54" t="s">
        <v>242</v>
      </c>
      <c r="I15" s="54" t="s">
        <v>246</v>
      </c>
      <c r="J15" s="54" t="s">
        <v>77</v>
      </c>
      <c r="K15" s="54" t="s">
        <v>77</v>
      </c>
      <c r="L15" s="55">
        <v>46427</v>
      </c>
      <c r="M15" s="54"/>
      <c r="N15" s="54" t="s">
        <v>72</v>
      </c>
      <c r="O15" s="54" t="s">
        <v>72</v>
      </c>
      <c r="P15" s="54" t="s">
        <v>274</v>
      </c>
      <c r="Q15" s="54" t="s">
        <v>273</v>
      </c>
      <c r="R15" s="54" t="s">
        <v>277</v>
      </c>
      <c r="S15" s="54"/>
      <c r="T15" s="54"/>
      <c r="U15" s="54"/>
      <c r="V15" s="54"/>
      <c r="W15" s="54"/>
      <c r="X15" s="54"/>
      <c r="Y15" s="54" t="s">
        <v>61</v>
      </c>
      <c r="Z15" s="54" t="s">
        <v>252</v>
      </c>
      <c r="AA15" s="54" t="s">
        <v>72</v>
      </c>
      <c r="AB15" s="54" t="s">
        <v>259</v>
      </c>
      <c r="AC15" s="54" t="s">
        <v>100</v>
      </c>
      <c r="AD15" s="55">
        <v>46427</v>
      </c>
      <c r="AE15" s="54" t="s">
        <v>234</v>
      </c>
      <c r="AF15" s="54"/>
    </row>
    <row r="16" spans="1:32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260</v>
      </c>
      <c r="F16" s="54">
        <v>1</v>
      </c>
      <c r="G16" s="54">
        <v>1700</v>
      </c>
      <c r="H16" s="54" t="s">
        <v>243</v>
      </c>
      <c r="I16" s="54" t="s">
        <v>227</v>
      </c>
      <c r="J16" s="55">
        <v>46233</v>
      </c>
      <c r="K16" s="54"/>
      <c r="L16" s="55">
        <v>46428</v>
      </c>
      <c r="M16" s="54"/>
      <c r="N16" s="54" t="s">
        <v>72</v>
      </c>
      <c r="O16" s="54" t="s">
        <v>72</v>
      </c>
      <c r="P16" s="54" t="s">
        <v>273</v>
      </c>
      <c r="Q16" s="54" t="s">
        <v>275</v>
      </c>
      <c r="R16" s="54" t="s">
        <v>276</v>
      </c>
      <c r="S16" s="54" t="s">
        <v>278</v>
      </c>
      <c r="T16" s="54" t="s">
        <v>279</v>
      </c>
      <c r="U16" s="54" t="s">
        <v>280</v>
      </c>
      <c r="V16" s="54" t="s">
        <v>277</v>
      </c>
      <c r="W16" s="54" t="s">
        <v>281</v>
      </c>
      <c r="X16" s="54" t="s">
        <v>282</v>
      </c>
      <c r="Y16" s="54" t="s">
        <v>61</v>
      </c>
      <c r="Z16" s="54">
        <v>14</v>
      </c>
      <c r="AA16" s="54" t="s">
        <v>72</v>
      </c>
      <c r="AB16" s="54" t="s">
        <v>259</v>
      </c>
      <c r="AC16" s="54" t="s">
        <v>100</v>
      </c>
      <c r="AD16" s="55">
        <v>46428</v>
      </c>
      <c r="AE16" s="54" t="s">
        <v>234</v>
      </c>
      <c r="AF16" s="54"/>
    </row>
    <row r="17" spans="1:32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260</v>
      </c>
      <c r="F17" s="54">
        <v>1</v>
      </c>
      <c r="G17" s="54">
        <v>1700</v>
      </c>
      <c r="H17" s="54" t="s">
        <v>244</v>
      </c>
      <c r="I17" s="54" t="s">
        <v>246</v>
      </c>
      <c r="J17" s="54" t="s">
        <v>77</v>
      </c>
      <c r="K17" s="54" t="s">
        <v>77</v>
      </c>
      <c r="L17" s="55">
        <v>46430</v>
      </c>
      <c r="M17" s="54"/>
      <c r="N17" s="54" t="s">
        <v>72</v>
      </c>
      <c r="O17" s="54" t="s">
        <v>72</v>
      </c>
      <c r="P17" s="54" t="s">
        <v>274</v>
      </c>
      <c r="Q17" s="54" t="s">
        <v>273</v>
      </c>
      <c r="R17" s="54" t="s">
        <v>277</v>
      </c>
      <c r="S17" s="54"/>
      <c r="T17" s="54"/>
      <c r="U17" s="54"/>
      <c r="V17" s="54"/>
      <c r="W17" s="54"/>
      <c r="X17" s="54"/>
      <c r="Y17" s="54" t="s">
        <v>61</v>
      </c>
      <c r="Z17" s="54">
        <v>15</v>
      </c>
      <c r="AA17" s="54" t="s">
        <v>72</v>
      </c>
      <c r="AB17" s="54" t="s">
        <v>259</v>
      </c>
      <c r="AC17" s="54" t="s">
        <v>100</v>
      </c>
      <c r="AD17" s="55">
        <v>46430</v>
      </c>
      <c r="AE17" s="54" t="s">
        <v>234</v>
      </c>
      <c r="AF17" s="54"/>
    </row>
    <row r="18" spans="1:32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260</v>
      </c>
      <c r="F18" s="54">
        <v>1</v>
      </c>
      <c r="G18" s="54">
        <v>1700</v>
      </c>
      <c r="H18" s="54" t="s">
        <v>245</v>
      </c>
      <c r="I18" s="54" t="s">
        <v>246</v>
      </c>
      <c r="J18" s="54" t="s">
        <v>77</v>
      </c>
      <c r="K18" s="54" t="s">
        <v>77</v>
      </c>
      <c r="L18" s="55">
        <v>46431</v>
      </c>
      <c r="M18" s="54"/>
      <c r="N18" s="54" t="s">
        <v>72</v>
      </c>
      <c r="O18" s="54" t="s">
        <v>72</v>
      </c>
      <c r="P18" s="54" t="s">
        <v>274</v>
      </c>
      <c r="Q18" s="54" t="s">
        <v>273</v>
      </c>
      <c r="R18" s="54" t="s">
        <v>277</v>
      </c>
      <c r="S18" s="54"/>
      <c r="T18" s="54"/>
      <c r="U18" s="54"/>
      <c r="V18" s="54"/>
      <c r="W18" s="54"/>
      <c r="X18" s="54"/>
      <c r="Y18" s="54" t="s">
        <v>61</v>
      </c>
      <c r="Z18" s="54">
        <v>16</v>
      </c>
      <c r="AA18" s="54" t="s">
        <v>72</v>
      </c>
      <c r="AB18" s="54" t="s">
        <v>259</v>
      </c>
      <c r="AC18" s="54" t="s">
        <v>100</v>
      </c>
      <c r="AD18" s="55">
        <v>46431</v>
      </c>
      <c r="AE18" s="54" t="s">
        <v>234</v>
      </c>
      <c r="AF18" s="54"/>
    </row>
  </sheetData>
  <phoneticPr fontId="11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3"/>
  <sheetViews>
    <sheetView view="pageBreakPreview" zoomScale="106" zoomScaleNormal="100" zoomScaleSheetLayoutView="106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200</v>
      </c>
      <c r="G1" s="22" t="s">
        <v>201</v>
      </c>
      <c r="H1" s="22" t="s">
        <v>194</v>
      </c>
      <c r="I1" s="22" t="s">
        <v>193</v>
      </c>
      <c r="J1" s="22" t="s">
        <v>195</v>
      </c>
      <c r="K1" s="22" t="s">
        <v>196</v>
      </c>
      <c r="L1" s="22" t="s">
        <v>197</v>
      </c>
      <c r="M1" s="22" t="s">
        <v>197</v>
      </c>
      <c r="N1" s="22" t="s">
        <v>198</v>
      </c>
      <c r="O1" s="22" t="s">
        <v>199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175</v>
      </c>
      <c r="D2" s="23">
        <v>299368</v>
      </c>
      <c r="E2" s="24" t="s">
        <v>206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175</v>
      </c>
      <c r="D3" s="23">
        <v>299368</v>
      </c>
      <c r="E3" s="24" t="s">
        <v>206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176</v>
      </c>
      <c r="D4" s="23">
        <v>1449018</v>
      </c>
      <c r="E4" s="24" t="s">
        <v>207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/>
      <c r="N4" s="25">
        <v>46209</v>
      </c>
      <c r="O4" s="25"/>
      <c r="P4" s="25" t="s">
        <v>61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176</v>
      </c>
      <c r="D5" s="23">
        <v>1449018</v>
      </c>
      <c r="E5" s="24" t="s">
        <v>207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/>
      <c r="N5" s="25">
        <v>46209</v>
      </c>
      <c r="O5" s="25"/>
      <c r="P5" s="25" t="s">
        <v>61</v>
      </c>
      <c r="Q5" s="23">
        <v>496</v>
      </c>
      <c r="R5" s="50"/>
    </row>
    <row r="6" spans="1:18" x14ac:dyDescent="0.25">
      <c r="A6" s="47">
        <v>27522</v>
      </c>
      <c r="B6" s="47">
        <v>1</v>
      </c>
      <c r="C6" s="48" t="s">
        <v>175</v>
      </c>
      <c r="D6" s="23">
        <v>299374</v>
      </c>
      <c r="E6" s="24" t="s">
        <v>208</v>
      </c>
      <c r="F6" s="49">
        <v>1</v>
      </c>
      <c r="G6" s="25">
        <v>46204</v>
      </c>
      <c r="H6" s="25">
        <v>46192</v>
      </c>
      <c r="I6" s="25"/>
      <c r="J6" s="25">
        <v>46197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61</v>
      </c>
      <c r="Q6" s="23">
        <v>285</v>
      </c>
      <c r="R6" s="50"/>
    </row>
    <row r="7" spans="1:18" x14ac:dyDescent="0.25">
      <c r="A7" s="47">
        <v>27473</v>
      </c>
      <c r="B7" s="47">
        <v>1</v>
      </c>
      <c r="C7" s="48" t="s">
        <v>177</v>
      </c>
      <c r="D7" s="23">
        <v>1281005</v>
      </c>
      <c r="E7" s="24" t="s">
        <v>202</v>
      </c>
      <c r="F7" s="49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151</v>
      </c>
      <c r="Q7" s="23" t="s">
        <v>186</v>
      </c>
      <c r="R7" s="50"/>
    </row>
    <row r="8" spans="1:18" x14ac:dyDescent="0.25">
      <c r="A8" s="47">
        <v>27473</v>
      </c>
      <c r="B8" s="47">
        <v>2</v>
      </c>
      <c r="C8" s="48" t="s">
        <v>177</v>
      </c>
      <c r="D8" s="23">
        <v>1281006</v>
      </c>
      <c r="E8" s="24" t="s">
        <v>203</v>
      </c>
      <c r="F8" s="49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151</v>
      </c>
      <c r="Q8" s="23" t="s">
        <v>187</v>
      </c>
      <c r="R8" s="50"/>
    </row>
    <row r="9" spans="1:18" x14ac:dyDescent="0.25">
      <c r="A9" s="47">
        <v>27473</v>
      </c>
      <c r="B9" s="47">
        <v>3</v>
      </c>
      <c r="C9" s="48" t="s">
        <v>177</v>
      </c>
      <c r="D9" s="23">
        <v>1281007</v>
      </c>
      <c r="E9" s="24" t="s">
        <v>204</v>
      </c>
      <c r="F9" s="49">
        <v>1</v>
      </c>
      <c r="G9" s="25">
        <v>46209</v>
      </c>
      <c r="H9" s="25">
        <v>46192</v>
      </c>
      <c r="I9" s="25">
        <v>46196</v>
      </c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61</v>
      </c>
      <c r="Q9" s="23" t="s">
        <v>188</v>
      </c>
      <c r="R9" s="50"/>
    </row>
    <row r="10" spans="1:18" x14ac:dyDescent="0.25">
      <c r="A10" s="47">
        <v>27473</v>
      </c>
      <c r="B10" s="47">
        <v>4</v>
      </c>
      <c r="C10" s="48" t="s">
        <v>177</v>
      </c>
      <c r="D10" s="23">
        <v>1281007</v>
      </c>
      <c r="E10" s="24" t="s">
        <v>204</v>
      </c>
      <c r="F10" s="49">
        <v>1</v>
      </c>
      <c r="G10" s="25">
        <v>46209</v>
      </c>
      <c r="H10" s="25">
        <v>46192</v>
      </c>
      <c r="I10" s="25">
        <v>46196</v>
      </c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61</v>
      </c>
      <c r="Q10" s="23" t="s">
        <v>188</v>
      </c>
      <c r="R10" s="50"/>
    </row>
    <row r="11" spans="1:18" x14ac:dyDescent="0.25">
      <c r="A11" s="47">
        <v>27473</v>
      </c>
      <c r="B11" s="47">
        <v>5</v>
      </c>
      <c r="C11" s="48" t="s">
        <v>177</v>
      </c>
      <c r="D11" s="23">
        <v>1281007</v>
      </c>
      <c r="E11" s="24" t="s">
        <v>204</v>
      </c>
      <c r="F11" s="49">
        <v>1</v>
      </c>
      <c r="G11" s="25">
        <v>46209</v>
      </c>
      <c r="H11" s="25">
        <v>46192</v>
      </c>
      <c r="I11" s="25">
        <v>46196</v>
      </c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61</v>
      </c>
      <c r="Q11" s="23" t="s">
        <v>188</v>
      </c>
      <c r="R11" s="50"/>
    </row>
    <row r="12" spans="1:18" x14ac:dyDescent="0.25">
      <c r="A12" s="47">
        <v>27473</v>
      </c>
      <c r="B12" s="47">
        <v>6</v>
      </c>
      <c r="C12" s="48" t="s">
        <v>177</v>
      </c>
      <c r="D12" s="23">
        <v>1281007</v>
      </c>
      <c r="E12" s="24" t="s">
        <v>204</v>
      </c>
      <c r="F12" s="49">
        <v>1</v>
      </c>
      <c r="G12" s="25">
        <v>46209</v>
      </c>
      <c r="H12" s="25">
        <v>46192</v>
      </c>
      <c r="I12" s="25">
        <v>46196</v>
      </c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61</v>
      </c>
      <c r="Q12" s="23" t="s">
        <v>188</v>
      </c>
      <c r="R12" s="50"/>
    </row>
    <row r="13" spans="1:18" x14ac:dyDescent="0.25">
      <c r="A13" s="47">
        <v>27473</v>
      </c>
      <c r="B13" s="47">
        <v>7</v>
      </c>
      <c r="C13" s="48" t="s">
        <v>177</v>
      </c>
      <c r="D13" s="23">
        <v>1281007</v>
      </c>
      <c r="E13" s="24" t="s">
        <v>204</v>
      </c>
      <c r="F13" s="49">
        <v>1</v>
      </c>
      <c r="G13" s="25">
        <v>46209</v>
      </c>
      <c r="H13" s="25">
        <v>46192</v>
      </c>
      <c r="I13" s="25">
        <v>46196</v>
      </c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61</v>
      </c>
      <c r="Q13" s="23" t="s">
        <v>188</v>
      </c>
      <c r="R13" s="50"/>
    </row>
    <row r="14" spans="1:18" x14ac:dyDescent="0.25">
      <c r="A14" s="47">
        <v>27473</v>
      </c>
      <c r="B14" s="47">
        <v>8</v>
      </c>
      <c r="C14" s="48" t="s">
        <v>177</v>
      </c>
      <c r="D14" s="23">
        <v>1281008</v>
      </c>
      <c r="E14" s="24" t="s">
        <v>205</v>
      </c>
      <c r="F14" s="49">
        <v>1</v>
      </c>
      <c r="G14" s="25">
        <v>46209</v>
      </c>
      <c r="H14" s="25">
        <v>46192</v>
      </c>
      <c r="I14" s="25">
        <v>46196</v>
      </c>
      <c r="J14" s="25">
        <v>46199</v>
      </c>
      <c r="K14" s="25"/>
      <c r="L14" s="25" t="s">
        <v>77</v>
      </c>
      <c r="M14" s="25" t="s">
        <v>77</v>
      </c>
      <c r="N14" s="25" t="s">
        <v>77</v>
      </c>
      <c r="O14" s="25" t="s">
        <v>77</v>
      </c>
      <c r="P14" s="25" t="s">
        <v>151</v>
      </c>
      <c r="Q14" s="23" t="s">
        <v>188</v>
      </c>
      <c r="R14" s="50"/>
    </row>
    <row r="15" spans="1:18" x14ac:dyDescent="0.25">
      <c r="A15" s="47">
        <v>27416</v>
      </c>
      <c r="B15" s="47">
        <v>1</v>
      </c>
      <c r="C15" s="48" t="s">
        <v>178</v>
      </c>
      <c r="D15" s="23">
        <v>392291</v>
      </c>
      <c r="E15" s="24" t="s">
        <v>209</v>
      </c>
      <c r="F15" s="49">
        <v>1</v>
      </c>
      <c r="G15" s="25">
        <v>46211</v>
      </c>
      <c r="H15" s="27">
        <v>46197</v>
      </c>
      <c r="I15" s="27"/>
      <c r="J15" s="27">
        <v>46204</v>
      </c>
      <c r="K15" s="27"/>
      <c r="L15" s="27">
        <v>46211</v>
      </c>
      <c r="M15" s="27"/>
      <c r="N15" s="27">
        <v>46218</v>
      </c>
      <c r="O15" s="27"/>
      <c r="P15" s="25" t="s">
        <v>61</v>
      </c>
      <c r="Q15" s="26">
        <v>493</v>
      </c>
      <c r="R15" s="50"/>
    </row>
    <row r="16" spans="1:18" x14ac:dyDescent="0.25">
      <c r="A16" s="47">
        <v>27476</v>
      </c>
      <c r="B16" s="47">
        <v>1</v>
      </c>
      <c r="C16" s="48" t="s">
        <v>175</v>
      </c>
      <c r="D16" s="23">
        <v>299529</v>
      </c>
      <c r="E16" s="24" t="s">
        <v>210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25">
        <v>46205</v>
      </c>
      <c r="M16" s="25"/>
      <c r="N16" s="25">
        <v>46216</v>
      </c>
      <c r="O16" s="25"/>
      <c r="P16" s="25" t="s">
        <v>61</v>
      </c>
      <c r="Q16" s="23" t="s">
        <v>189</v>
      </c>
      <c r="R16" s="50"/>
    </row>
    <row r="17" spans="1:18" x14ac:dyDescent="0.25">
      <c r="A17" s="47">
        <v>27490</v>
      </c>
      <c r="B17" s="47">
        <v>1</v>
      </c>
      <c r="C17" s="48" t="s">
        <v>175</v>
      </c>
      <c r="D17" s="23">
        <v>299302</v>
      </c>
      <c r="E17" s="24" t="s">
        <v>211</v>
      </c>
      <c r="F17" s="49">
        <v>1</v>
      </c>
      <c r="G17" s="25">
        <v>46218</v>
      </c>
      <c r="H17" s="25">
        <v>46189</v>
      </c>
      <c r="I17" s="25"/>
      <c r="J17" s="25">
        <v>46199</v>
      </c>
      <c r="K17" s="25"/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61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178</v>
      </c>
      <c r="D18" s="23">
        <v>392292</v>
      </c>
      <c r="E18" s="24" t="s">
        <v>212</v>
      </c>
      <c r="F18" s="49">
        <v>1</v>
      </c>
      <c r="G18" s="25">
        <v>46218</v>
      </c>
      <c r="H18" s="25">
        <v>46204</v>
      </c>
      <c r="I18" s="25"/>
      <c r="J18" s="25">
        <v>46211</v>
      </c>
      <c r="K18" s="25"/>
      <c r="L18" s="25">
        <v>46218</v>
      </c>
      <c r="M18" s="25"/>
      <c r="N18" s="25">
        <v>46225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175</v>
      </c>
      <c r="D19" s="23">
        <v>299303</v>
      </c>
      <c r="E19" s="24" t="s">
        <v>213</v>
      </c>
      <c r="F19" s="49">
        <v>1</v>
      </c>
      <c r="G19" s="25">
        <v>46227</v>
      </c>
      <c r="H19" s="25">
        <v>46199</v>
      </c>
      <c r="I19" s="25"/>
      <c r="J19" s="25">
        <v>46206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175</v>
      </c>
      <c r="D20" s="23">
        <v>299217</v>
      </c>
      <c r="E20" s="24" t="s">
        <v>214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175</v>
      </c>
      <c r="D21" s="23">
        <v>299209</v>
      </c>
      <c r="E21" s="24" t="s">
        <v>215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175</v>
      </c>
      <c r="D22" s="23">
        <v>299217</v>
      </c>
      <c r="E22" s="24" t="s">
        <v>214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179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190</v>
      </c>
      <c r="R23" s="50"/>
    </row>
    <row r="24" spans="1:18" x14ac:dyDescent="0.25">
      <c r="A24" s="23">
        <v>27547</v>
      </c>
      <c r="B24" s="23">
        <v>2</v>
      </c>
      <c r="C24" s="24" t="s">
        <v>179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190</v>
      </c>
      <c r="R24" s="50"/>
    </row>
    <row r="25" spans="1:18" x14ac:dyDescent="0.25">
      <c r="A25" s="23">
        <v>27575</v>
      </c>
      <c r="B25" s="23">
        <v>1</v>
      </c>
      <c r="C25" s="24" t="s">
        <v>180</v>
      </c>
      <c r="D25" s="23">
        <v>774016</v>
      </c>
      <c r="E25" s="24" t="s">
        <v>216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191</v>
      </c>
      <c r="R25" s="50"/>
    </row>
    <row r="26" spans="1:18" x14ac:dyDescent="0.25">
      <c r="A26" s="23">
        <v>27575</v>
      </c>
      <c r="B26" s="23">
        <v>2</v>
      </c>
      <c r="C26" s="24" t="s">
        <v>180</v>
      </c>
      <c r="D26" s="23">
        <v>774016</v>
      </c>
      <c r="E26" s="24" t="s">
        <v>216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191</v>
      </c>
      <c r="R26" s="50"/>
    </row>
    <row r="27" spans="1:18" x14ac:dyDescent="0.25">
      <c r="A27" s="23">
        <v>27575</v>
      </c>
      <c r="B27" s="23">
        <v>3</v>
      </c>
      <c r="C27" s="24" t="s">
        <v>180</v>
      </c>
      <c r="D27" s="23">
        <v>774017</v>
      </c>
      <c r="E27" s="24" t="s">
        <v>217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191</v>
      </c>
      <c r="R27" s="50"/>
    </row>
    <row r="28" spans="1:18" x14ac:dyDescent="0.25">
      <c r="A28" s="23">
        <v>27575</v>
      </c>
      <c r="B28" s="23">
        <v>4</v>
      </c>
      <c r="C28" s="24" t="s">
        <v>180</v>
      </c>
      <c r="D28" s="23">
        <v>774017</v>
      </c>
      <c r="E28" s="24" t="s">
        <v>217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191</v>
      </c>
      <c r="R28" s="50"/>
    </row>
    <row r="29" spans="1:18" x14ac:dyDescent="0.25">
      <c r="A29" s="23">
        <v>27524</v>
      </c>
      <c r="B29" s="23">
        <v>1</v>
      </c>
      <c r="C29" s="24" t="s">
        <v>175</v>
      </c>
      <c r="D29" s="23">
        <v>299528</v>
      </c>
      <c r="E29" s="24" t="s">
        <v>218</v>
      </c>
      <c r="F29" s="49">
        <v>1</v>
      </c>
      <c r="G29" s="25">
        <v>46245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46234</v>
      </c>
      <c r="M29" s="25"/>
      <c r="N29" s="25">
        <v>46244</v>
      </c>
      <c r="O29" s="25"/>
      <c r="P29" s="25" t="s">
        <v>61</v>
      </c>
      <c r="Q29" s="23" t="s">
        <v>189</v>
      </c>
      <c r="R29" s="50"/>
    </row>
    <row r="30" spans="1:18" x14ac:dyDescent="0.25">
      <c r="A30" s="23">
        <v>27587</v>
      </c>
      <c r="B30" s="23">
        <v>1</v>
      </c>
      <c r="C30" s="24" t="s">
        <v>184</v>
      </c>
      <c r="D30" s="23">
        <v>1608001</v>
      </c>
      <c r="E30" s="24" t="s">
        <v>219</v>
      </c>
      <c r="F30" s="49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2</v>
      </c>
      <c r="C31" s="24" t="s">
        <v>184</v>
      </c>
      <c r="D31" s="23">
        <v>1608002</v>
      </c>
      <c r="E31" s="24" t="s">
        <v>219</v>
      </c>
      <c r="F31" s="49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3</v>
      </c>
      <c r="C32" s="24" t="s">
        <v>184</v>
      </c>
      <c r="D32" s="23">
        <v>1608002</v>
      </c>
      <c r="E32" s="24" t="s">
        <v>219</v>
      </c>
      <c r="F32" s="49">
        <v>1</v>
      </c>
      <c r="G32" s="25">
        <v>46246</v>
      </c>
      <c r="H32" s="25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27593</v>
      </c>
      <c r="B33" s="23">
        <v>1</v>
      </c>
      <c r="C33" s="24" t="s">
        <v>185</v>
      </c>
      <c r="D33" s="23">
        <v>1609001</v>
      </c>
      <c r="E33" s="24" t="s">
        <v>220</v>
      </c>
      <c r="F33" s="49">
        <v>1</v>
      </c>
      <c r="G33" s="25">
        <v>46253</v>
      </c>
      <c r="H33" s="27">
        <v>46213</v>
      </c>
      <c r="I33" s="27"/>
      <c r="J33" s="27">
        <v>46228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 t="s">
        <v>192</v>
      </c>
      <c r="R33" s="50"/>
    </row>
    <row r="34" spans="1:18" x14ac:dyDescent="0.25">
      <c r="A34" s="23">
        <v>27599</v>
      </c>
      <c r="B34" s="23">
        <v>1</v>
      </c>
      <c r="C34" s="48" t="s">
        <v>175</v>
      </c>
      <c r="D34" s="23">
        <v>299374</v>
      </c>
      <c r="E34" s="24" t="s">
        <v>221</v>
      </c>
      <c r="F34" s="49">
        <v>1</v>
      </c>
      <c r="G34" s="25">
        <v>46254</v>
      </c>
      <c r="H34" s="27">
        <v>46220</v>
      </c>
      <c r="I34" s="27"/>
      <c r="J34" s="27">
        <v>46234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>
        <v>285</v>
      </c>
      <c r="R34" s="50"/>
    </row>
    <row r="35" spans="1:18" x14ac:dyDescent="0.25">
      <c r="A35" s="23">
        <v>27542</v>
      </c>
      <c r="B35" s="23">
        <v>1</v>
      </c>
      <c r="C35" s="48" t="s">
        <v>175</v>
      </c>
      <c r="D35" s="23">
        <v>299528</v>
      </c>
      <c r="E35" s="24" t="s">
        <v>218</v>
      </c>
      <c r="F35" s="49">
        <v>1</v>
      </c>
      <c r="G35" s="25">
        <v>46255</v>
      </c>
      <c r="H35" s="26" t="s">
        <v>77</v>
      </c>
      <c r="I35" s="26" t="s">
        <v>77</v>
      </c>
      <c r="J35" s="26" t="s">
        <v>77</v>
      </c>
      <c r="K35" s="26" t="s">
        <v>77</v>
      </c>
      <c r="L35" s="27">
        <v>46241</v>
      </c>
      <c r="M35" s="27"/>
      <c r="N35" s="27">
        <v>46254</v>
      </c>
      <c r="O35" s="27"/>
      <c r="P35" s="25" t="s">
        <v>61</v>
      </c>
      <c r="Q35" s="26" t="s">
        <v>189</v>
      </c>
      <c r="R35" s="50"/>
    </row>
    <row r="36" spans="1:18" x14ac:dyDescent="0.25">
      <c r="A36" s="23">
        <v>27600</v>
      </c>
      <c r="B36" s="23">
        <v>1</v>
      </c>
      <c r="C36" s="24" t="s">
        <v>183</v>
      </c>
      <c r="D36" s="23" t="s">
        <v>77</v>
      </c>
      <c r="E36" s="24" t="s">
        <v>222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5</v>
      </c>
      <c r="C37" s="24" t="s">
        <v>183</v>
      </c>
      <c r="D37" s="23" t="s">
        <v>77</v>
      </c>
      <c r="E37" s="24" t="s">
        <v>223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9</v>
      </c>
      <c r="C38" s="24" t="s">
        <v>183</v>
      </c>
      <c r="D38" s="23" t="s">
        <v>77</v>
      </c>
      <c r="E38" s="24" t="s">
        <v>222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13</v>
      </c>
      <c r="C39" s="24" t="s">
        <v>183</v>
      </c>
      <c r="D39" s="23" t="s">
        <v>77</v>
      </c>
      <c r="E39" s="24" t="s">
        <v>223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2</v>
      </c>
      <c r="C40" s="24" t="s">
        <v>183</v>
      </c>
      <c r="D40" s="23" t="s">
        <v>77</v>
      </c>
      <c r="E40" s="24" t="s">
        <v>222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6</v>
      </c>
      <c r="C41" s="24" t="s">
        <v>183</v>
      </c>
      <c r="D41" s="23" t="s">
        <v>77</v>
      </c>
      <c r="E41" s="24" t="s">
        <v>223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10</v>
      </c>
      <c r="C42" s="24" t="s">
        <v>183</v>
      </c>
      <c r="D42" s="23" t="s">
        <v>77</v>
      </c>
      <c r="E42" s="24" t="s">
        <v>222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14</v>
      </c>
      <c r="C43" s="24" t="s">
        <v>183</v>
      </c>
      <c r="D43" s="23" t="s">
        <v>77</v>
      </c>
      <c r="E43" s="24" t="s">
        <v>223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27496</v>
      </c>
      <c r="B44" s="23">
        <v>1</v>
      </c>
      <c r="C44" s="24" t="s">
        <v>175</v>
      </c>
      <c r="D44" s="23">
        <v>299208</v>
      </c>
      <c r="E44" s="24" t="s">
        <v>224</v>
      </c>
      <c r="F44" s="49">
        <v>1</v>
      </c>
      <c r="G44" s="25">
        <v>46269</v>
      </c>
      <c r="H44" s="27">
        <v>46206</v>
      </c>
      <c r="I44" s="27"/>
      <c r="J44" s="27">
        <v>46213</v>
      </c>
      <c r="K44" s="27"/>
      <c r="L44" s="26" t="s">
        <v>77</v>
      </c>
      <c r="M44" s="26" t="s">
        <v>77</v>
      </c>
      <c r="N44" s="26" t="s">
        <v>77</v>
      </c>
      <c r="O44" s="26" t="s">
        <v>77</v>
      </c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3</v>
      </c>
      <c r="C45" s="24" t="s">
        <v>183</v>
      </c>
      <c r="D45" s="23" t="s">
        <v>77</v>
      </c>
      <c r="E45" s="24" t="s">
        <v>222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7</v>
      </c>
      <c r="C46" s="24" t="s">
        <v>183</v>
      </c>
      <c r="D46" s="23" t="s">
        <v>77</v>
      </c>
      <c r="E46" s="24" t="s">
        <v>223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11</v>
      </c>
      <c r="C47" s="24" t="s">
        <v>183</v>
      </c>
      <c r="D47" s="23" t="s">
        <v>77</v>
      </c>
      <c r="E47" s="24" t="s">
        <v>222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15</v>
      </c>
      <c r="C48" s="24" t="s">
        <v>183</v>
      </c>
      <c r="D48" s="23" t="s">
        <v>77</v>
      </c>
      <c r="E48" s="24" t="s">
        <v>223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4</v>
      </c>
      <c r="C49" s="24" t="s">
        <v>183</v>
      </c>
      <c r="D49" s="23" t="s">
        <v>77</v>
      </c>
      <c r="E49" s="24" t="s">
        <v>222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8</v>
      </c>
      <c r="C50" s="24" t="s">
        <v>183</v>
      </c>
      <c r="D50" s="23" t="s">
        <v>77</v>
      </c>
      <c r="E50" s="24" t="s">
        <v>223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12</v>
      </c>
      <c r="C51" s="24" t="s">
        <v>183</v>
      </c>
      <c r="D51" s="23" t="s">
        <v>77</v>
      </c>
      <c r="E51" s="24" t="s">
        <v>222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16</v>
      </c>
      <c r="C52" s="24" t="s">
        <v>183</v>
      </c>
      <c r="D52" s="23" t="s">
        <v>77</v>
      </c>
      <c r="E52" s="24" t="s">
        <v>223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27597</v>
      </c>
      <c r="B53" s="23">
        <v>1</v>
      </c>
      <c r="C53" s="24" t="s">
        <v>175</v>
      </c>
      <c r="D53" s="23">
        <v>299303</v>
      </c>
      <c r="E53" s="24" t="s">
        <v>225</v>
      </c>
      <c r="F53" s="49">
        <v>1</v>
      </c>
      <c r="G53" s="25">
        <v>46332</v>
      </c>
      <c r="H53" s="27">
        <v>46297</v>
      </c>
      <c r="I53" s="27"/>
      <c r="J53" s="27">
        <v>46307</v>
      </c>
      <c r="K53" s="27"/>
      <c r="L53" s="26" t="s">
        <v>77</v>
      </c>
      <c r="M53" s="26" t="s">
        <v>77</v>
      </c>
      <c r="N53" s="26" t="s">
        <v>77</v>
      </c>
      <c r="O53" s="26" t="s">
        <v>77</v>
      </c>
      <c r="P53" s="25" t="s">
        <v>61</v>
      </c>
      <c r="Q53" s="26">
        <v>496</v>
      </c>
      <c r="R53" s="50"/>
    </row>
  </sheetData>
  <autoFilter ref="A1:N53" xr:uid="{276B14C1-1A52-4B27-91DF-D329FDD63C7A}"/>
  <pageMargins left="0.25" right="0.25" top="0.75" bottom="0.75" header="0.3" footer="0.3"/>
  <pageSetup paperSize="9" scale="3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BAGACEIRAS</vt:lpstr>
      <vt:lpstr>PENTES</vt:lpstr>
      <vt:lpstr>RODETES NOVOS</vt:lpstr>
      <vt:lpstr>PERIFÉRICOS</vt:lpstr>
      <vt:lpstr>REFORMA DIVERSAS</vt:lpstr>
      <vt:lpstr>CAMISA e EIXO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2026-06-24T18:11:35Z</cp:lastPrinted>
  <dcterms:created xsi:type="dcterms:W3CDTF">2026-04-23T13:37:28Z</dcterms:created>
  <dcterms:modified xsi:type="dcterms:W3CDTF">2026-06-28T18:48:21Z</dcterms:modified>
</cp:coreProperties>
</file>