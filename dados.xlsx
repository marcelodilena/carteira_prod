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ário\Downloads\"/>
    </mc:Choice>
  </mc:AlternateContent>
  <xr:revisionPtr revIDLastSave="0" documentId="13_ncr:1_{C21B1CAE-EC49-42CD-AB5E-688F99C9298E}" xr6:coauthVersionLast="47" xr6:coauthVersionMax="47" xr10:uidLastSave="{00000000-0000-0000-0000-000000000000}"/>
  <bookViews>
    <workbookView xWindow="-120" yWindow="-120" windowWidth="21840" windowHeight="13140" firstSheet="2" activeTab="5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ROLOS" sheetId="14" r:id="rId6"/>
    <sheet name="CAMISAS" sheetId="7" r:id="rId7"/>
    <sheet name="EIXOS" sheetId="12" r:id="rId8"/>
    <sheet name="VI DIVERSOS" sheetId="10" r:id="rId9"/>
    <sheet name="Manganês" sheetId="13" r:id="rId10"/>
    <sheet name="PLANEJADO BAGACEIRA" sheetId="5" state="hidden" r:id="rId11"/>
  </sheets>
  <definedNames>
    <definedName name="_xlnm._FilterDatabase" localSheetId="9" hidden="1">Manganês!$A$1:$M$115</definedName>
    <definedName name="_xlnm._FilterDatabase" localSheetId="5" hidden="1">ROLOS!$A$2:$AF$30</definedName>
    <definedName name="_xlnm._FilterDatabase" localSheetId="8" hidden="1">'VI DIVERSOS'!$A$1:$O$60</definedName>
    <definedName name="_xlnm.Print_Area" localSheetId="0">Tabela1[#All]</definedName>
    <definedName name="_xlnm.Print_Area" localSheetId="8">'VI DIVERSOS'!$A$1:$O$60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E19" i="14" l="1"/>
  <c r="AE18" i="14"/>
  <c r="AE17" i="14"/>
  <c r="AE16" i="14"/>
  <c r="AE15" i="14"/>
  <c r="AE14" i="14"/>
  <c r="AE13" i="14"/>
  <c r="AE12" i="14"/>
  <c r="AE11" i="14"/>
  <c r="AE10" i="14"/>
  <c r="AE9" i="14"/>
  <c r="AE8" i="14"/>
  <c r="AE7" i="14"/>
  <c r="AE6" i="14"/>
  <c r="AE5" i="14"/>
  <c r="AE4" i="14"/>
  <c r="AE3" i="14"/>
  <c r="L146" i="2"/>
  <c r="M146" i="2" s="1"/>
  <c r="L147" i="2"/>
  <c r="M147" i="2" s="1"/>
  <c r="L148" i="2"/>
  <c r="M148" i="2" s="1"/>
  <c r="L149" i="2"/>
  <c r="M149" i="2" s="1"/>
  <c r="L150" i="2"/>
  <c r="M150" i="2" s="1"/>
  <c r="X146" i="2"/>
  <c r="X147" i="2"/>
  <c r="X148" i="2"/>
  <c r="X149" i="2"/>
  <c r="X150" i="2"/>
  <c r="L145" i="2"/>
  <c r="M145" i="2" s="1"/>
  <c r="X145" i="2"/>
  <c r="L86" i="6"/>
  <c r="M86" i="6" s="1"/>
  <c r="L87" i="6"/>
  <c r="M87" i="6" s="1"/>
  <c r="X86" i="6"/>
  <c r="X87" i="6"/>
  <c r="L85" i="6"/>
  <c r="M85" i="6" s="1"/>
  <c r="X85" i="6"/>
  <c r="L82" i="6"/>
  <c r="M82" i="6" s="1"/>
  <c r="L83" i="6"/>
  <c r="M83" i="6" s="1"/>
  <c r="L84" i="6"/>
  <c r="M84" i="6" s="1"/>
  <c r="X82" i="6"/>
  <c r="X83" i="6"/>
  <c r="X84" i="6"/>
  <c r="L81" i="6"/>
  <c r="M81" i="6" s="1"/>
  <c r="X81" i="6"/>
  <c r="N215" i="8"/>
  <c r="O215" i="8" s="1"/>
  <c r="N216" i="8"/>
  <c r="O216" i="8" s="1"/>
  <c r="N217" i="8"/>
  <c r="O217" i="8" s="1"/>
  <c r="N218" i="8"/>
  <c r="O218" i="8" s="1"/>
  <c r="N219" i="8"/>
  <c r="O219" i="8" s="1"/>
  <c r="N220" i="8"/>
  <c r="O220" i="8" s="1"/>
  <c r="N221" i="8"/>
  <c r="O221" i="8" s="1"/>
  <c r="N222" i="8"/>
  <c r="O222" i="8" s="1"/>
  <c r="L75" i="6"/>
  <c r="M75" i="6" s="1"/>
  <c r="L76" i="6"/>
  <c r="M76" i="6" s="1"/>
  <c r="L77" i="6"/>
  <c r="M77" i="6" s="1"/>
  <c r="L78" i="6"/>
  <c r="M78" i="6" s="1"/>
  <c r="L79" i="6"/>
  <c r="M79" i="6" s="1"/>
  <c r="L80" i="6"/>
  <c r="M80" i="6" s="1"/>
  <c r="X75" i="6"/>
  <c r="X76" i="6"/>
  <c r="X77" i="6"/>
  <c r="X78" i="6"/>
  <c r="X79" i="6"/>
  <c r="X80" i="6"/>
  <c r="L139" i="2"/>
  <c r="M139" i="2" s="1"/>
  <c r="L140" i="2"/>
  <c r="M140" i="2" s="1"/>
  <c r="L141" i="2"/>
  <c r="M141" i="2" s="1"/>
  <c r="L142" i="2"/>
  <c r="M142" i="2" s="1"/>
  <c r="L143" i="2"/>
  <c r="M143" i="2" s="1"/>
  <c r="L144" i="2"/>
  <c r="M144" i="2" s="1"/>
  <c r="X139" i="2"/>
  <c r="X140" i="2"/>
  <c r="X141" i="2"/>
  <c r="X142" i="2"/>
  <c r="X143" i="2"/>
  <c r="X144" i="2"/>
  <c r="L133" i="2"/>
  <c r="M133" i="2" s="1"/>
  <c r="L134" i="2"/>
  <c r="M134" i="2" s="1"/>
  <c r="L135" i="2"/>
  <c r="M135" i="2" s="1"/>
  <c r="L136" i="2"/>
  <c r="M136" i="2" s="1"/>
  <c r="L137" i="2"/>
  <c r="M137" i="2" s="1"/>
  <c r="L138" i="2"/>
  <c r="M138" i="2" s="1"/>
  <c r="X133" i="2"/>
  <c r="X134" i="2"/>
  <c r="X135" i="2"/>
  <c r="X136" i="2"/>
  <c r="X137" i="2"/>
  <c r="X138" i="2"/>
  <c r="L65" i="6"/>
  <c r="M65" i="6" s="1"/>
  <c r="L66" i="6"/>
  <c r="M66" i="6" s="1"/>
  <c r="L67" i="6"/>
  <c r="M67" i="6" s="1"/>
  <c r="L68" i="6"/>
  <c r="M68" i="6" s="1"/>
  <c r="L69" i="6"/>
  <c r="M69" i="6" s="1"/>
  <c r="L70" i="6"/>
  <c r="M70" i="6" s="1"/>
  <c r="L71" i="6"/>
  <c r="M71" i="6" s="1"/>
  <c r="L72" i="6"/>
  <c r="M72" i="6" s="1"/>
  <c r="L73" i="6"/>
  <c r="M73" i="6" s="1"/>
  <c r="L74" i="6"/>
  <c r="M74" i="6" s="1"/>
  <c r="X65" i="6"/>
  <c r="X66" i="6"/>
  <c r="X67" i="6"/>
  <c r="X68" i="6"/>
  <c r="X69" i="6"/>
  <c r="X70" i="6"/>
  <c r="X71" i="6"/>
  <c r="X72" i="6"/>
  <c r="X73" i="6"/>
  <c r="X74" i="6"/>
  <c r="L128" i="2"/>
  <c r="M128" i="2" s="1"/>
  <c r="L129" i="2"/>
  <c r="M129" i="2" s="1"/>
  <c r="L130" i="2"/>
  <c r="M130" i="2" s="1"/>
  <c r="L131" i="2"/>
  <c r="M131" i="2" s="1"/>
  <c r="L132" i="2"/>
  <c r="M132" i="2" s="1"/>
  <c r="X128" i="2"/>
  <c r="X129" i="2"/>
  <c r="X130" i="2"/>
  <c r="X131" i="2"/>
  <c r="X132" i="2"/>
  <c r="L127" i="2"/>
  <c r="M127" i="2" s="1"/>
  <c r="X127" i="2"/>
  <c r="L61" i="6"/>
  <c r="M61" i="6" s="1"/>
  <c r="L62" i="6"/>
  <c r="M62" i="6" s="1"/>
  <c r="L63" i="6"/>
  <c r="M63" i="6" s="1"/>
  <c r="L64" i="6"/>
  <c r="M64" i="6" s="1"/>
  <c r="X61" i="6"/>
  <c r="X62" i="6"/>
  <c r="X63" i="6"/>
  <c r="X64" i="6"/>
  <c r="L60" i="6"/>
  <c r="M60" i="6" s="1"/>
  <c r="X60" i="6"/>
  <c r="L57" i="6"/>
  <c r="M57" i="6" s="1"/>
  <c r="L58" i="6"/>
  <c r="M58" i="6" s="1"/>
  <c r="L59" i="6"/>
  <c r="M59" i="6" s="1"/>
  <c r="X57" i="6"/>
  <c r="X58" i="6"/>
  <c r="X59" i="6"/>
  <c r="L154" i="9"/>
  <c r="M154" i="9" s="1"/>
  <c r="L153" i="9"/>
  <c r="M153" i="9" s="1"/>
  <c r="L151" i="9"/>
  <c r="M151" i="9" s="1"/>
  <c r="L152" i="9"/>
  <c r="M152" i="9" s="1"/>
  <c r="L149" i="9"/>
  <c r="M149" i="9" s="1"/>
  <c r="L150" i="9"/>
  <c r="M150" i="9" s="1"/>
  <c r="L148" i="9"/>
  <c r="M148" i="9" s="1"/>
  <c r="L122" i="2"/>
  <c r="M122" i="2" s="1"/>
  <c r="L123" i="2"/>
  <c r="M123" i="2" s="1"/>
  <c r="L124" i="2"/>
  <c r="M124" i="2" s="1"/>
  <c r="L125" i="2"/>
  <c r="M125" i="2" s="1"/>
  <c r="L126" i="2"/>
  <c r="M126" i="2" s="1"/>
  <c r="X122" i="2"/>
  <c r="X123" i="2"/>
  <c r="X124" i="2"/>
  <c r="X125" i="2"/>
  <c r="X126" i="2"/>
  <c r="L121" i="2"/>
  <c r="M121" i="2" s="1"/>
  <c r="X121" i="2"/>
  <c r="N205" i="8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40" i="2"/>
  <c r="X41" i="2"/>
  <c r="X42" i="2"/>
  <c r="X43" i="2"/>
  <c r="X44" i="2"/>
  <c r="X46" i="2"/>
  <c r="X48" i="2"/>
  <c r="X53" i="2"/>
  <c r="X54" i="2"/>
  <c r="X55" i="2"/>
  <c r="X56" i="2"/>
  <c r="X57" i="2"/>
  <c r="X58" i="2"/>
  <c r="X59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<sst xmlns="http://schemas.openxmlformats.org/spreadsheetml/2006/main" count="15690" uniqueCount="774">
  <si>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</si>
  <si>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</si>
  <si>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</si>
  <si>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</si>
  <si>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</si>
  <si>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</si>
  <si>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</si>
  <si>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</si>
  <si>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</si>
  <si>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</si>
  <si>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</si>
  <si>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</si>
  <si>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</si>
  <si>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</si>
  <si>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</si>
  <si>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</si>
  <si>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</si>
  <si>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</si>
  <si>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</si>
  <si>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</si>
  <si>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</si>
  <si>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</si>
  <si>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</si>
  <si>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</si>
  <si>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</si>
  <si>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</si>
  <si>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</si>
  <si>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</si>
  <si>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</si>
  <si>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</si>
  <si>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</si>
  <si>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</si>
  <si>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</si>
  <si>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</si>
  <si>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</si>
  <si>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</si>
  <si>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</si>
  <si>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</si>
  <si>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</si>
  <si>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</si>
  <si>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</si>
  <si>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</si>
  <si>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</si>
  <si>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</si>
  <si>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</si>
  <si>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</si>
  <si>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</si>
  <si>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</si>
  <si>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</si>
  <si>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</si>
  <si>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</si>
  <si>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</si>
  <si>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</si>
  <si>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</si>
  <si>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</si>
  <si>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</si>
  <si>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</si>
  <si>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</si>
  <si>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</si>
  <si>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</si>
  <si>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</si>
  <si>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</si>
  <si>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</si>
  <si>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</si>
  <si>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</si>
  <si>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</si>
  <si>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</si>
  <si>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</si>
  <si>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</si>
  <si>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</si>
  <si>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</si>
  <si>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</si>
  <si>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</si>
  <si>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</si>
  <si>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</si>
  <si>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</si>
  <si>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</si>
  <si>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</si>
  <si>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</si>
  <si>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</si>
  <si>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</si>
  <si>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</si>
  <si>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</si>
  <si>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</si>
  <si>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</si>
  <si>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</si>
  <si>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</si>
  <si>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</si>
  <si>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</si>
  <si>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</si>
  <si>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</si>
  <si>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</si>
  <si>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</si>
  <si>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</si>
  <si>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</si>
  <si>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</si>
  <si>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</si>
  <si>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</si>
  <si>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</si>
  <si>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</si>
  <si>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</si>
  <si>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</si>
  <si>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</si>
  <si>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</si>
  <si>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</si>
  <si>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</si>
  <si>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</si>
  <si>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</si>
  <si>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</si>
  <si>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</si>
  <si>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</si>
  <si>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</si>
  <si>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</si>
  <si>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</si>
  <si>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</si>
  <si>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</si>
  <si>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</si>
  <si>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</si>
  <si>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</si>
  <si>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</si>
  <si>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</si>
  <si>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</si>
  <si>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</si>
  <si>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</si>
  <si>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</si>
  <si>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</si>
  <si>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</si>
  <si>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</si>
  <si>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</si>
  <si>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</si>
  <si>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</si>
  <si>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</si>
  <si>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</si>
  <si>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</si>
  <si>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</si>
  <si>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</si>
  <si>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</si>
  <si>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</si>
  <si>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</si>
  <si>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</si>
  <si>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</si>
  <si>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</si>
  <si>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</si>
  <si>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</si>
  <si>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</si>
  <si>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</si>
  <si>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</si>
  <si>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</si>
  <si>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</si>
  <si>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</si>
  <si>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</si>
  <si>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</si>
  <si>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</si>
  <si>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</si>
  <si>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</si>
  <si>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</si>
  <si>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</si>
  <si>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</si>
  <si>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</si>
  <si>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</si>
  <si>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</si>
  <si>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</si>
  <si>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</si>
  <si>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</si>
  <si>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</si>
  <si>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</si>
  <si>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</si>
  <si>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</si>
  <si>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</si>
  <si>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</si>
  <si>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</si>
  <si>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</si>
  <si>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</si>
  <si>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</si>
  <si>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</si>
  <si>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</si>
  <si>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</si>
  <si>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</si>
  <si>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</si>
  <si>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</si>
  <si>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</si>
  <si>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</si>
  <si>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</si>
  <si>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</si>
  <si>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</si>
  <si>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</si>
  <si>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</si>
  <si>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</si>
  <si>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</si>
  <si>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</si>
  <si>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</si>
  <si>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</si>
  <si>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</si>
  <si>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</si>
  <si>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</si>
  <si>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</si>
  <si>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</si>
  <si>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</si>
  <si>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</si>
  <si>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</si>
  <si>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</si>
  <si>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</si>
  <si>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</si>
  <si>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</si>
  <si>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</si>
  <si>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</si>
  <si>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</si>
  <si>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</si>
  <si>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</si>
  <si>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</si>
  <si>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</si>
  <si>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</si>
  <si>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</si>
  <si>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</si>
  <si>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</si>
  <si>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</si>
  <si>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</si>
  <si>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</si>
  <si>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</si>
  <si>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</si>
  <si>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</si>
  <si>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</si>
  <si>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</si>
  <si>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</si>
  <si>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</si>
  <si>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</si>
  <si>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</si>
  <si>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</si>
  <si>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</si>
  <si>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</si>
  <si>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</si>
  <si>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</si>
  <si>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</si>
  <si>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</si>
  <si>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</si>
  <si>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</si>
  <si>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</si>
  <si>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</si>
  <si>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</si>
  <si>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</si>
  <si>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</si>
  <si>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</si>
  <si>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</si>
  <si>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</si>
  <si>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</si>
  <si>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</si>
  <si>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</si>
  <si>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</si>
  <si>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</si>
  <si>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</si>
  <si>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</si>
  <si>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</si>
  <si>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</si>
  <si>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</si>
  <si>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</si>
  <si>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</si>
  <si>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</si>
  <si>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</si>
  <si>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</si>
  <si>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</si>
  <si>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</si>
  <si>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</si>
  <si>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</si>
  <si>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</si>
  <si>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</si>
  <si>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</si>
  <si>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</si>
  <si>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</si>
  <si>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</si>
  <si>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</si>
  <si>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</si>
  <si>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</si>
  <si>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</si>
  <si>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</si>
  <si>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</si>
  <si>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</si>
  <si>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</si>
  <si>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</si>
  <si>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</si>
  <si>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</si>
  <si>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</si>
  <si>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</si>
  <si>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</si>
  <si>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</si>
  <si>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</si>
  <si>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</si>
  <si>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</si>
  <si>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</si>
  <si>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</si>
  <si>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</si>
  <si>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</si>
  <si>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</si>
  <si>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</si>
  <si>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</si>
  <si>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</si>
  <si>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</si>
  <si>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</si>
  <si>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</si>
  <si>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</si>
  <si>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</si>
  <si>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</si>
  <si>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</si>
  <si>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</si>
  <si>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</si>
  <si>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</si>
  <si>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</si>
  <si>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</si>
  <si>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</si>
  <si>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</si>
  <si>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</si>
  <si>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</si>
  <si>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</si>
  <si>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</si>
  <si>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</si>
  <si>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</si>
  <si>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</si>
  <si>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</si>
  <si>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</si>
  <si>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</si>
  <si>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</si>
  <si>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</si>
  <si>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</si>
  <si>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</si>
  <si>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</si>
  <si>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</si>
  <si>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</si>
  <si>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</si>
  <si>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</si>
  <si>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</si>
  <si>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</si>
  <si>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</si>
  <si>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</si>
  <si>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</si>
  <si>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</si>
  <si>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</si>
  <si>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</si>
  <si>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</si>
  <si>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</si>
  <si>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</si>
  <si>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</si>
  <si>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</si>
  <si>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</si>
  <si>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</si>
  <si>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</si>
  <si>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</si>
  <si>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</si>
  <si>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</si>
  <si>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</si>
  <si>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</si>
  <si>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</si>
  <si>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</si>
  <si>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</si>
  <si>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</si>
  <si>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</si>
  <si>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</si>
  <si>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</si>
  <si>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</si>
  <si>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</si>
  <si>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</si>
  <si>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</si>
  <si>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</si>
  <si>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</si>
  <si>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</si>
  <si>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</si>
  <si>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</si>
  <si>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</si>
  <si>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</si>
  <si>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</si>
  <si>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</si>
  <si>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</si>
  <si>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</si>
  <si>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</si>
  <si>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</si>
  <si>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</si>
  <si>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</si>
  <si>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</si>
  <si>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</si>
  <si>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</si>
  <si>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</si>
  <si>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</si>
  <si>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</si>
  <si>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</si>
  <si>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</si>
  <si>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</si>
  <si>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</si>
  <si>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</si>
  <si>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</si>
  <si>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</si>
  <si>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</si>
  <si>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</si>
  <si>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</si>
  <si>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</si>
  <si>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</si>
  <si>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</si>
  <si>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</si>
  <si>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</si>
  <si>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</si>
  <si>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</si>
  <si>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</si>
  <si>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</si>
  <si>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</si>
  <si>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</si>
  <si>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</si>
  <si>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</si>
  <si>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</si>
  <si>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</si>
  <si>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</si>
  <si>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</si>
  <si>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</si>
  <si>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</si>
  <si>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</si>
  <si>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</si>
  <si>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</si>
  <si>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</si>
  <si>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</si>
  <si>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</si>
  <si>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</si>
  <si>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</si>
  <si>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</si>
  <si>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</si>
  <si>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</si>
  <si>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</si>
  <si>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</si>
  <si>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</si>
  <si>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</si>
  <si>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</si>
  <si>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</si>
  <si>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</si>
  <si>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</si>
  <si>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</si>
  <si>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</si>
  <si>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</si>
  <si>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</si>
  <si>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</si>
  <si>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</si>
  <si>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</si>
  <si>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</si>
  <si>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</si>
  <si>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</si>
  <si>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</si>
  <si>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</si>
  <si>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</si>
  <si>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</si>
  <si>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</si>
  <si>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</si>
  <si>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</si>
  <si>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</si>
  <si>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</si>
  <si>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</si>
  <si>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</si>
  <si>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</si>
  <si>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</si>
  <si>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</si>
  <si>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</si>
  <si>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</si>
  <si>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</si>
  <si>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</si>
  <si>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</si>
  <si>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</si>
  <si>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</si>
  <si>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</si>
  <si>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</si>
  <si>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</si>
  <si>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</si>
  <si>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</si>
  <si>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</si>
  <si>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</si>
  <si>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</si>
  <si>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</si>
  <si>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</si>
  <si>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</si>
  <si>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</si>
  <si>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</si>
  <si>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</si>
  <si>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</si>
  <si>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</si>
  <si>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</si>
  <si>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</si>
  <si>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</si>
  <si>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</si>
  <si>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</si>
  <si>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</si>
  <si>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</si>
  <si>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</si>
  <si>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</si>
  <si>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</si>
  <si>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</si>
  <si>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</si>
  <si>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</si>
  <si>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</si>
  <si>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</si>
  <si>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</si>
  <si>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</si>
  <si>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</si>
  <si>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</si>
  <si>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</si>
  <si>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</si>
  <si>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</si>
  <si>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</si>
  <si>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</si>
  <si>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</si>
  <si>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</si>
  <si>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</si>
  <si>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</si>
  <si>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</si>
  <si>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</si>
  <si>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</si>
  <si>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</si>
  <si>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</si>
  <si>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</si>
  <si>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</si>
  <si>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</si>
  <si>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</si>
  <si>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</si>
  <si>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</si>
  <si>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</si>
  <si>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</si>
  <si>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</si>
  <si>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</si>
  <si>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</si>
  <si>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</si>
  <si>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</si>
  <si>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</si>
  <si>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</si>
  <si>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</si>
  <si>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</si>
  <si>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</si>
  <si>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</si>
  <si>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</si>
  <si>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</si>
  <si>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</si>
  <si>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</si>
  <si>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</si>
  <si>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</si>
  <si>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</si>
  <si>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</si>
  <si>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</si>
  <si>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</si>
  <si>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</si>
  <si>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</si>
  <si>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</si>
  <si>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</si>
  <si>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</si>
  <si>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</si>
  <si>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</si>
  <si>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</si>
  <si>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</si>
  <si>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</si>
  <si>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</si>
  <si>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</si>
  <si>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</si>
  <si>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</si>
  <si>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</si>
  <si>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</si>
  <si>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</si>
  <si>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</si>
  <si>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</si>
  <si>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</si>
  <si>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</si>
  <si>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</si>
  <si>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</si>
  <si>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</si>
  <si>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</si>
  <si>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</si>
  <si>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</si>
  <si>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</si>
  <si>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</si>
  <si>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</si>
  <si>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</si>
  <si>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</si>
  <si>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</si>
  <si>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</si>
  <si>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</si>
  <si>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</si>
  <si>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</si>
  <si>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</si>
  <si>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</si>
  <si>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</si>
  <si>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</si>
  <si>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</si>
  <si>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</si>
  <si>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</si>
  <si>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</si>
  <si>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</si>
  <si>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</si>
  <si>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</si>
  <si>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</si>
  <si>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</si>
  <si>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</si>
  <si>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</si>
  <si>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</si>
  <si>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</si>
  <si>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</si>
  <si>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</si>
  <si>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</si>
  <si>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</si>
  <si>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</si>
  <si>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</si>
  <si>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</si>
  <si>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</si>
  <si>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</si>
  <si>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</si>
  <si>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</si>
  <si>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</si>
  <si>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</si>
  <si>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</si>
  <si>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</si>
  <si>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</si>
  <si>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</si>
  <si>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</si>
  <si>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</si>
  <si>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</si>
  <si>
    <t>Raizen Vale Rosário</t>
  </si>
  <si>
    <t>70Z</t>
  </si>
  <si>
    <t>66Z</t>
  </si>
  <si>
    <t>06Z</t>
  </si>
  <si>
    <t>44Z</t>
  </si>
  <si>
    <t>4/1Z</t>
  </si>
  <si>
    <t>46Z</t>
  </si>
  <si>
    <t>67Z</t>
  </si>
  <si>
    <t>Soldar Chv</t>
  </si>
  <si>
    <t>Arco Sub</t>
  </si>
  <si>
    <t>Manutenção Rodete Moenda 103</t>
  </si>
  <si>
    <t>Manutenção Rodete Moenda 46</t>
  </si>
  <si>
    <t>Manutenção Rodete Moenda 68</t>
  </si>
  <si>
    <t>LAUDO 24759/2026 - RECOMENDADO SUBSTITUIR</t>
  </si>
  <si>
    <t>LAUDO - 24770/2026-R0</t>
  </si>
  <si>
    <t>LAUDO - 24771/2026-R0</t>
  </si>
  <si>
    <t>Reformar</t>
  </si>
  <si>
    <t>BOQUILHAS - PRONTAS</t>
  </si>
  <si>
    <t>São Jose Estivas</t>
  </si>
  <si>
    <t>Transformar Eixo 78" em 78" RP</t>
  </si>
  <si>
    <t>Reforma Caixa Mancal Sup</t>
  </si>
  <si>
    <t>Reforma Caixa Mancal RP</t>
  </si>
  <si>
    <t>Reforma Caixa Mancal Inf</t>
  </si>
  <si>
    <t>JL22</t>
  </si>
  <si>
    <t>JL07</t>
  </si>
  <si>
    <t>JL19</t>
  </si>
  <si>
    <t>JL16</t>
  </si>
  <si>
    <t>JL15</t>
  </si>
  <si>
    <t>JL29</t>
  </si>
  <si>
    <t>JL20</t>
  </si>
  <si>
    <t>JL27</t>
  </si>
  <si>
    <t>JL30</t>
  </si>
  <si>
    <t>JL28</t>
  </si>
  <si>
    <t>JL01</t>
  </si>
  <si>
    <t>JL26</t>
  </si>
  <si>
    <t>JL04</t>
  </si>
  <si>
    <t>JL03</t>
  </si>
  <si>
    <t>JL21</t>
  </si>
  <si>
    <t>JL18</t>
  </si>
  <si>
    <t>JL06</t>
  </si>
  <si>
    <t>JL02</t>
  </si>
  <si>
    <t>07/20/27</t>
  </si>
  <si>
    <t>Manutentção Rolo Inferior-JL22</t>
  </si>
  <si>
    <t>Manutentção Rolo Inferior-JL07</t>
  </si>
  <si>
    <t>Manutentção Rolo Superior-JL19</t>
  </si>
  <si>
    <t>Manutentção Rolo Inferior-JL16</t>
  </si>
  <si>
    <t>Manutentção Rolo Inferior-JL15</t>
  </si>
  <si>
    <t>Manutentção Rolo Superior-JL29</t>
  </si>
  <si>
    <t>Manutentção Rolo Inferior-JL20</t>
  </si>
  <si>
    <t>Manutentção Rolo Inferior-JL27</t>
  </si>
  <si>
    <t>Manutentção Rolo Superior-JL30</t>
  </si>
  <si>
    <t>Manutentção Rolo Inferior-JL28</t>
  </si>
  <si>
    <t>Manutentção Rolo Inferior-JL01</t>
  </si>
  <si>
    <t>Manutentção Rolo Superior-JL26</t>
  </si>
  <si>
    <t>Manutentção Rolo Inferior-JL04</t>
  </si>
  <si>
    <t>Manutentção Rolo Inferior-JL03</t>
  </si>
  <si>
    <t>Manutentção Rolo Superior-JL21</t>
  </si>
  <si>
    <t>Manutentção Rolo Inferior-JL18</t>
  </si>
  <si>
    <t>Manutentção Rolo Inferior-JL06</t>
  </si>
  <si>
    <t>Manutentção Rolo Superior-JL02</t>
  </si>
  <si>
    <t>T96</t>
  </si>
  <si>
    <t>UTILIZAR EIXO 101 SANTA LUZIA</t>
  </si>
  <si>
    <t>Transformar Eixo 78" em 66" RP</t>
  </si>
  <si>
    <t>RNC 13924 - AG. LIB. CLIENTE PARA INICIAR SOLDA
AG. EIXO CLIENTE</t>
  </si>
  <si>
    <t>REPROGRAMADO DIA 30/07</t>
  </si>
  <si>
    <t>PREVISTO CANCELAR</t>
  </si>
  <si>
    <t>Uberaba</t>
  </si>
  <si>
    <t>BAGACEIRA 2000</t>
  </si>
  <si>
    <t>BAGACEIRA 1700</t>
  </si>
  <si>
    <t>Munhão Inox - 1700</t>
  </si>
  <si>
    <t>CJ. VEDAÇÃO INFERIOR - 2000</t>
  </si>
  <si>
    <t>CJ. VEDAÇÃO INFERIOR - 1700</t>
  </si>
  <si>
    <t>Sai.</t>
  </si>
  <si>
    <t>PIV-78</t>
  </si>
  <si>
    <t>PVI</t>
  </si>
  <si>
    <t>Broq</t>
  </si>
  <si>
    <t>Manutentção Rolo Superior-58</t>
  </si>
  <si>
    <t>Manutentção Rolo Superior-19</t>
  </si>
  <si>
    <t>Manutentção Rolo Superior-18</t>
  </si>
  <si>
    <t>Manutentção Rolo Superior-04</t>
  </si>
  <si>
    <t>Manutentção Rolo Superior-12</t>
  </si>
  <si>
    <t>Manutentção Rolo Superior-62</t>
  </si>
  <si>
    <t>São Francisco</t>
  </si>
  <si>
    <t>RODETE MD Z15 Ø1055 66"</t>
  </si>
  <si>
    <t>RODETE Z15 MD Ø1070 66"</t>
  </si>
  <si>
    <t>Santo Antônio</t>
  </si>
  <si>
    <t>RODETE Z15 Ø1197mm 60"</t>
  </si>
  <si>
    <t>RODETE Z10 Ø1152mm 78"</t>
  </si>
  <si>
    <t>RODETE Z10 Ø1414mm 78"</t>
  </si>
  <si>
    <t>PARALISADA</t>
  </si>
  <si>
    <t>AG. CHAPA</t>
  </si>
  <si>
    <t>SOL. 66489</t>
  </si>
  <si>
    <t>SOL. 66496</t>
  </si>
  <si>
    <t>BOQUILHA EM USINAGEM - FERRARI - PED. 26817</t>
  </si>
  <si>
    <t>BAGACEIRA 66"</t>
  </si>
  <si>
    <t>RODETE RP Z-21 Ø2030 90"</t>
  </si>
  <si>
    <t>RODETE RP Z-21 Ø1810 90"</t>
  </si>
  <si>
    <t>RODETE RP Z-20 Ø1870 84"</t>
  </si>
  <si>
    <t>RODETE RP Z-20 Ø1795 84"</t>
  </si>
  <si>
    <t>RODETE RP Z-20 Ø1730 84"</t>
  </si>
  <si>
    <t>RODETE Z-15 Ø1475 84"</t>
  </si>
  <si>
    <t>Bela Vista</t>
  </si>
  <si>
    <t>RODETE Z-15 Ø1530 84"</t>
  </si>
  <si>
    <t>RODETE RP Z-21 Ø1945 84"</t>
  </si>
  <si>
    <t>RODETE RP Z-21 Ø1660 78"</t>
  </si>
  <si>
    <t>RODETE RP Z-15 Ø1340 78"</t>
  </si>
  <si>
    <t>RODETE RP Z-20 Ø1720 78"</t>
  </si>
  <si>
    <t xml:space="preserve"> </t>
  </si>
  <si>
    <t>Salto Botelho</t>
  </si>
  <si>
    <t>RODETE MDA Z-22 Ø1440 78"</t>
  </si>
  <si>
    <t>RODETE RP Z15 Ø1040 - 54"</t>
  </si>
  <si>
    <t>RODETE MDA Z15 Ø1040 - 54"</t>
  </si>
  <si>
    <t>RODETE MDA Z15 Ø1235 - 78"</t>
  </si>
  <si>
    <t>RODETE MDA Z15 Ø1285 - 78"</t>
  </si>
  <si>
    <t>RODETE MDA Z15 Ø995 - 78"</t>
  </si>
  <si>
    <t>São José Estiva</t>
  </si>
  <si>
    <t>ROLOS</t>
  </si>
  <si>
    <t>CAMISA</t>
  </si>
  <si>
    <t>EIXOS</t>
  </si>
  <si>
    <t>Qtd</t>
  </si>
  <si>
    <t>Bitola</t>
  </si>
  <si>
    <t>Posição</t>
  </si>
  <si>
    <t>Data Final</t>
  </si>
  <si>
    <t>Fundido</t>
  </si>
  <si>
    <t>Prazo Camisa</t>
  </si>
  <si>
    <t>Status Camisa</t>
  </si>
  <si>
    <t>Prazo Eixo</t>
  </si>
  <si>
    <t>Status Eixo</t>
  </si>
  <si>
    <t>SANTA LUZIA</t>
  </si>
  <si>
    <t>ROLO INFERIOR ENTRADA DRENAGEM</t>
  </si>
  <si>
    <t>Refrisada</t>
  </si>
  <si>
    <t>121</t>
  </si>
  <si>
    <t>Soldar</t>
  </si>
  <si>
    <t>Ag. PÇ Cliente</t>
  </si>
  <si>
    <t>Laudar</t>
  </si>
  <si>
    <t>ROLO INFERIOR SAIDA</t>
  </si>
  <si>
    <t>103</t>
  </si>
  <si>
    <t>128</t>
  </si>
  <si>
    <t>127</t>
  </si>
  <si>
    <t>ROLO SUPERIOR DRENAGEM</t>
  </si>
  <si>
    <t>Em Usinagem</t>
  </si>
  <si>
    <t>ROLO INFERIOR ENTRADA</t>
  </si>
  <si>
    <t>125</t>
  </si>
  <si>
    <t>ROLO SUPERIOR</t>
  </si>
  <si>
    <t>119</t>
  </si>
  <si>
    <t>Furar</t>
  </si>
  <si>
    <t>Encam</t>
  </si>
  <si>
    <t>Ag. Eixo Cliente</t>
  </si>
  <si>
    <t>110</t>
  </si>
  <si>
    <t>111</t>
  </si>
  <si>
    <t>109</t>
  </si>
  <si>
    <t>115</t>
  </si>
  <si>
    <t>114</t>
  </si>
  <si>
    <t>129</t>
  </si>
  <si>
    <t>123</t>
  </si>
  <si>
    <t>BELA VISTA</t>
  </si>
  <si>
    <t>03B</t>
  </si>
  <si>
    <t>Ag. Fundido</t>
  </si>
  <si>
    <t>10B</t>
  </si>
  <si>
    <t>14B</t>
  </si>
  <si>
    <t>03C</t>
  </si>
  <si>
    <t>Aberto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</si>
</sst>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dd/mm/yy;@"/>
    <numFmt numFmtId="165" formatCode="##0"/>
    <numFmt numFmtId="166" formatCode="d/m;@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  <font>
      <sz val="10"/>
      <color theme="1"/>
      <name val="Aptos Narrow"/>
      <family val="2"/>
    </font>
    <font>
      <b/>
      <sz val="10"/>
      <name val="Aptos Narrow"/>
      <family val="2"/>
    </font>
    <font>
      <b/>
      <sz val="10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  <xf numFmtId="0" fontId="0" fillId="7" borderId="0" xfId="0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27" fillId="0" borderId="0" xfId="0" applyFont="1" applyAlignment="1">
      <alignment horizontal="center"/>
    </xf>
    <xf numFmtId="0" fontId="27" fillId="0" borderId="0" xfId="0" applyFont="1"/>
    <xf numFmtId="0" fontId="16" fillId="0" borderId="0" xfId="0" applyFont="1"/>
    <xf numFmtId="0" fontId="28" fillId="0" borderId="6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 wrapText="1"/>
    </xf>
    <xf numFmtId="166" fontId="28" fillId="0" borderId="7" xfId="0" applyNumberFormat="1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29" fillId="0" borderId="0" xfId="0" applyFont="1"/>
    <xf numFmtId="0" fontId="16" fillId="0" borderId="6" xfId="0" applyFont="1" applyBorder="1" applyAlignment="1">
      <alignment horizontal="left" vertical="center" wrapText="1"/>
    </xf>
    <xf numFmtId="0" fontId="16" fillId="0" borderId="6" xfId="0" applyFont="1" applyBorder="1" applyAlignment="1">
      <alignment horizontal="center" vertical="center" wrapText="1"/>
    </xf>
    <xf numFmtId="166" fontId="16" fillId="0" borderId="7" xfId="0" applyNumberFormat="1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164" fontId="27" fillId="0" borderId="0" xfId="0" applyNumberFormat="1" applyFont="1" applyAlignment="1">
      <alignment horizontal="center"/>
    </xf>
    <xf numFmtId="0" fontId="16" fillId="0" borderId="8" xfId="0" applyFont="1" applyBorder="1" applyAlignment="1">
      <alignment horizontal="center" vertical="center" wrapText="1"/>
    </xf>
    <xf numFmtId="0" fontId="16" fillId="5" borderId="0" xfId="0" applyFont="1" applyFill="1" applyAlignment="1">
      <alignment horizontal="center" vertical="center" wrapText="1"/>
    </xf>
    <xf numFmtId="0" fontId="16" fillId="4" borderId="6" xfId="0" applyFont="1" applyFill="1" applyBorder="1" applyAlignment="1">
      <alignment horizontal="left" vertical="center" wrapText="1"/>
    </xf>
    <xf numFmtId="0" fontId="16" fillId="4" borderId="6" xfId="0" applyFont="1" applyFill="1" applyBorder="1" applyAlignment="1">
      <alignment horizontal="center" vertical="center" wrapText="1"/>
    </xf>
    <xf numFmtId="0" fontId="16" fillId="6" borderId="6" xfId="0" applyFont="1" applyFill="1" applyBorder="1" applyAlignment="1">
      <alignment horizontal="center" vertical="center" wrapText="1"/>
    </xf>
    <xf numFmtId="164" fontId="18" fillId="4" borderId="6" xfId="0" applyNumberFormat="1" applyFont="1" applyFill="1" applyBorder="1" applyAlignment="1">
      <alignment horizontal="center" vertical="center" wrapText="1"/>
    </xf>
    <xf numFmtId="166" fontId="27" fillId="0" borderId="0" xfId="0" applyNumberFormat="1" applyFont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6" fontId="27" fillId="0" borderId="0" xfId="0" applyNumberFormat="1" applyFont="1"/>
    <xf numFmtId="0" fontId="27" fillId="0" borderId="0" xfId="0" applyFont="1" applyAlignment="1">
      <alignment horizont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50" totalsRowShown="0" headerRowDxfId="224" dataDxfId="223">
  <autoFilter ref="A1:AD150" xr:uid="{0B979512-8F08-4F92-A755-B1320B33B48D}"/>
  <tableColumns count="30">
    <tableColumn id="1" xr3:uid="{2AE87B23-57FB-4D7F-8BFD-D65EC0053BA3}" name="PV" dataDxfId="222"/>
    <tableColumn id="2" xr3:uid="{81052488-0765-4420-B185-DA73AE55FD88}" name="Item" dataDxfId="221"/>
    <tableColumn id="3" xr3:uid="{0E7DB960-0044-4341-ADB4-2A033B27B993}" name="OS/Peças" dataDxfId="220"/>
    <tableColumn id="4" xr3:uid="{B0F20CBE-FFF4-445B-B0BF-7A9C6A140189}" name="Seq." dataDxfId="219"/>
    <tableColumn id="5" xr3:uid="{D1656E30-4AB0-4CD0-BF13-6D5A49C6E4A0}" name="Cliente" dataDxfId="218"/>
    <tableColumn id="8" xr3:uid="{0D871CDA-AC7B-4365-B4FD-95C8967CF254}" name="Descrição" dataDxfId="217"/>
    <tableColumn id="9" xr3:uid="{9C6311D3-DE8E-4A12-8716-11D7CF745EA9}" name="Qtde." dataDxfId="216"/>
    <tableColumn id="10" xr3:uid="{0D119764-5D6A-44D7-A0C6-EAAE37326AEF}" name="Prazo_x000a_Fundido" dataDxfId="215"/>
    <tableColumn id="11" xr3:uid="{357F67DE-6B6F-4353-906F-4FBB26ED7226}" name="Pz Fundido_x000a_Real" dataDxfId="214"/>
    <tableColumn id="12" xr3:uid="{5CF37CA2-8EC2-4A06-8A50-1305C1129D14}" name="Prazo_x000a_Entrega" dataDxfId="213"/>
    <tableColumn id="36" xr3:uid="{903E641C-0F4A-465E-9B87-4C77A3724350}" name="Pz Entrega_x000a_Real" dataDxfId="212"/>
    <tableColumn id="14" xr3:uid="{49E3A48F-4FBA-45ED-9BE5-0D3F2C039F64}" name="Dias_x000a_Falta2" dataDxfId="211">
      <calculatedColumnFormula>Tabela1[[#This Row],[Prazo
Entrega]]-TODAY()</calculatedColumnFormula>
    </tableColumn>
    <tableColumn id="24" xr3:uid="{FE82CCB3-C196-4A10-9CDF-EC3AAB610284}" name="Indicador" dataDxfId="210">
      <calculatedColumnFormula>IF(L2&lt;0,"ATRASADO",IF(L2&lt;=15,"ATENÇÃO","NO PRAZO"))</calculatedColumnFormula>
    </tableColumn>
    <tableColumn id="22" xr3:uid="{8BBF8940-A612-415C-B30B-5BED69C42E59}" name="CONDIÇÃO" dataDxfId="209"/>
    <tableColumn id="35" xr3:uid="{DF0F32C7-2632-41CB-B20E-BE67D32DDFF8}" name="Desenho_x000a_Previsão" dataDxfId="208"/>
    <tableColumn id="33" xr3:uid="{B0C0F319-983E-42D8-8584-16523AED9BC7}" name="Des." dataDxfId="207"/>
    <tableColumn id="32" xr3:uid="{BB84EAAB-24E7-433E-8DE8-B7705F525D65}" name="OP1" dataDxfId="206"/>
    <tableColumn id="30" xr3:uid="{EFE986D2-325F-4223-A6FC-89AFC0782517}" name="OP2" dataDxfId="205"/>
    <tableColumn id="29" xr3:uid="{806CC413-43AC-4EDE-9413-A2852780B283}" name="OP3" dataDxfId="204"/>
    <tableColumn id="28" xr3:uid="{669E3B74-6C47-4551-B95C-DE764412CB09}" name="OP4" dataDxfId="203"/>
    <tableColumn id="27" xr3:uid="{33B1427B-026C-4955-BEDC-C39ECFB35542}" name="OP5" dataDxfId="202"/>
    <tableColumn id="34" xr3:uid="{2004DA6B-65E8-4CFF-8DD6-03937C8E23A7}" name="OP6" dataDxfId="201"/>
    <tableColumn id="25" xr3:uid="{94AD153B-B1BE-422C-9B64-A3F125946AE5}" name="OP7" dataDxfId="200"/>
    <tableColumn id="23" xr3:uid="{6FFD36BA-4C85-4732-ACA9-BC9D46F4C26B}" name="Status Us." dataDxfId="199">
      <calculatedColumnFormula>IF(I2="","AG. FUNDIDO",IF(Q2="AG","AG. USINAGEM","EM USINAGEM"))</calculatedColumnFormula>
    </tableColumn>
    <tableColumn id="26" xr3:uid="{DF8CD1DA-6F25-4291-9F78-DB8D5E9AF463}" name="Obs." dataDxfId="198"/>
    <tableColumn id="15" xr3:uid="{8F53CFFE-8E1C-41F5-9090-488AE701829C}" name="Plainar_x000a_Facear" dataDxfId="197"/>
    <tableColumn id="16" xr3:uid="{EB12A620-BA24-453B-B639-A28F83CF7950}" name="Serrar2" dataDxfId="196"/>
    <tableColumn id="17" xr3:uid="{46D65A07-940A-4560-AFE5-056D37171937}" name="Solda_x000a_Dura2" dataDxfId="195"/>
    <tableColumn id="18" xr3:uid="{97823986-0C6D-4D6F-9BEE-2E43C2286AB2}" name="Encaixe /_x000a_Furação" dataDxfId="194"/>
    <tableColumn id="19" xr3:uid="{6F1924AE-480F-421A-BD70-FA16D1D4E641}" name="Acabam./_x000a_Inspeção" dataDxfId="19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22" totalsRowShown="0" headerRowDxfId="192" dataDxfId="191">
  <autoFilter ref="A1:W222" xr:uid="{71E71FAB-CF6D-4765-90BA-ABDE8C3299DB}"/>
  <tableColumns count="23">
    <tableColumn id="1" xr3:uid="{8F000DF9-1B1A-450A-B138-9EDBA7F17698}" name="PV" dataDxfId="190"/>
    <tableColumn id="2" xr3:uid="{4269DD7F-E557-42AF-949B-69AB74B45D7E}" name="Item" dataDxfId="189"/>
    <tableColumn id="3" xr3:uid="{B8E3D127-9007-43BC-9B71-611446984BAE}" name="OS/_x000a_Peça" dataDxfId="188"/>
    <tableColumn id="4" xr3:uid="{8A9FBC4E-431D-4132-B7C4-86DD1CC31C1D}" name="Seq." dataDxfId="187"/>
    <tableColumn id="5" xr3:uid="{E43CCBA4-A724-44DA-9BFB-2AD45322EC54}" name="Cliente" dataDxfId="186"/>
    <tableColumn id="8" xr3:uid="{39F09B1D-71EC-461C-93C5-C5FCECCA0EC0}" name="Descrição" dataDxfId="185"/>
    <tableColumn id="9" xr3:uid="{0CC8781A-4370-473C-AD18-F562622EB79C}" name="Qtde." dataDxfId="184"/>
    <tableColumn id="10" xr3:uid="{8FC48674-090B-441A-B05D-5E7E4AB5177C}" name="Prazo_x000a_Fundido" dataDxfId="183"/>
    <tableColumn id="12" xr3:uid="{F410DF31-AFC5-4525-B8D3-A2AB464611B3}" name="Pz Fundido_x000a_Real" dataDxfId="182"/>
    <tableColumn id="13" xr3:uid="{7330A8B8-B0FE-4571-921F-35503842576A}" name="Prazo_x000a_Entrega" dataDxfId="181"/>
    <tableColumn id="23" xr3:uid="{050BF892-6E0A-4C1A-85E3-06353D54D7AC}" name="Pz Entrega_x000a_Real" dataDxfId="180"/>
    <tableColumn id="22" xr3:uid="{07396B9E-F2A0-47CC-B1C1-8D6A8D782E82}" name="Desenho_x000a_Previsão" dataDxfId="179"/>
    <tableColumn id="14" xr3:uid="{98904960-EE6F-4F44-87C3-8646B8C2D461}" name="Des." dataDxfId="178"/>
    <tableColumn id="15" xr3:uid="{4C38D84D-3A40-493A-A007-3826C38C0F9D}" name="Dias_x000a_Falta2" dataDxfId="177">
      <calculatedColumnFormula>Tabela3[[#This Row],[Prazo
Entrega]]-TODAY()</calculatedColumnFormula>
    </tableColumn>
    <tableColumn id="16" xr3:uid="{431C9D70-8530-4071-911B-7AAC65DE848C}" name="Indicador" dataDxfId="176">
      <calculatedColumnFormula>IF(N2&lt;0,"ATRASADO",IF(N2&lt;=15,"ATENÇÃO","NO PRAZO"))</calculatedColumnFormula>
    </tableColumn>
    <tableColumn id="19" xr3:uid="{A127FC22-0D53-4D0F-B783-28394B3FD90C}" name="CONDIÇÃO" dataDxfId="175"/>
    <tableColumn id="17" xr3:uid="{C7F76CF8-5A2A-4921-A3C5-76F960930981}" name="OP1" dataDxfId="174"/>
    <tableColumn id="11" xr3:uid="{39173775-3C78-4FE9-BDCF-83499538BE89}" name="OP2" dataDxfId="173"/>
    <tableColumn id="7" xr3:uid="{F3976AE8-D66C-4536-AE65-B0A7AE46E4B7}" name="OP3" dataDxfId="172"/>
    <tableColumn id="6" xr3:uid="{A70D2F75-F894-4AF7-B60D-3007B9A62CEA}" name="OP4" dataDxfId="171"/>
    <tableColumn id="24" xr3:uid="{A3AFB759-0D7A-44E1-888F-4B5B0EB8A822}" name="OP5" dataDxfId="170"/>
    <tableColumn id="20" xr3:uid="{F610A49E-78E2-480E-B901-6B99A41E5174}" name="Status Usinagem" dataDxfId="169"/>
    <tableColumn id="21" xr3:uid="{FA7288EB-0143-4C36-8591-BF7231A8226E}" name="Observação" dataDxfId="16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87" totalsRowShown="0" headerRowDxfId="167" dataDxfId="166">
  <autoFilter ref="A1:Y87" xr:uid="{2AC5416C-4E1B-4478-8A2A-B698870CAB96}"/>
  <tableColumns count="25">
    <tableColumn id="1" xr3:uid="{9A983B4E-3365-4153-9B40-D7FE26E8B98F}" name="PV " dataDxfId="165"/>
    <tableColumn id="2" xr3:uid="{4F16CD54-AAD4-4149-8D48-CC3FFEA93AA5}" name="Item" dataDxfId="164"/>
    <tableColumn id="3" xr3:uid="{27DB1DBC-B9DA-4067-9696-8CA5ACAAA450}" name="OS/_x000a_Peça" dataDxfId="163"/>
    <tableColumn id="4" xr3:uid="{02C5E283-8ABF-44F8-B3B8-C3F186B4DF63}" name="Seq." dataDxfId="162"/>
    <tableColumn id="5" xr3:uid="{B1051CBE-EA72-4A43-8721-8756F3E2C9C9}" name="Cliente" dataDxfId="161"/>
    <tableColumn id="8" xr3:uid="{9EBF401A-1F29-4CB3-BFA3-F2B326242AB0}" name="Descrição" dataDxfId="160"/>
    <tableColumn id="14" xr3:uid="{85D3397C-7F95-49C7-BFFB-35012CA3B716}" name="Qtd." dataDxfId="159"/>
    <tableColumn id="9" xr3:uid="{0D04583C-577A-446B-9773-A173C5C1C166}" name="Data Prev._x000a_Fundido" dataDxfId="158"/>
    <tableColumn id="10" xr3:uid="{935D3899-0C12-4408-89DF-490A507F79BA}" name="Data Real_x000a_Fundido" dataDxfId="157"/>
    <tableColumn id="11" xr3:uid="{0F06941F-293B-4C15-9764-BB3495C5D3BD}" name="Data Prev._x000a_Entrega" dataDxfId="156"/>
    <tableColumn id="12" xr3:uid="{92FF2511-5498-45BF-9B68-94DBEA588C5A}" name="Data Real_x000a_Entrega" dataDxfId="155"/>
    <tableColumn id="25" xr3:uid="{98545C7E-9674-485C-A07D-715E8945B00E}" name="Falta_x000a_Dias" dataDxfId="154">
      <calculatedColumnFormula>Tabela13[[#This Row],[Data Prev.
Entrega]]-TODAY()</calculatedColumnFormula>
    </tableColumn>
    <tableColumn id="27" xr3:uid="{4EB63243-AA79-4695-93C8-CEA977B11387}" name="Indicador" dataDxfId="153">
      <calculatedColumnFormula>IF(L2&lt;0,"ATRASADO",IF(L2&lt;=15,"ATENÇÃO","NO PRAZO"))</calculatedColumnFormula>
    </tableColumn>
    <tableColumn id="15" xr3:uid="{7AB992C1-F70E-4469-85BB-EBB7763B2038}" name="Condição" dataDxfId="152"/>
    <tableColumn id="24" xr3:uid="{B5965349-4BC8-4DF7-9EB4-857B6D471E8A}" name="Desenho_x000a_Previsão" dataDxfId="151"/>
    <tableColumn id="13" xr3:uid="{FD827F61-5F7F-4B65-8A60-B59D23455B46}" name="Des." dataDxfId="150"/>
    <tableColumn id="16" xr3:uid="{3D186A5F-076F-4232-B21C-37E58E5373B2}" name="OP1" dataDxfId="149"/>
    <tableColumn id="17" xr3:uid="{6EEDF11E-F341-4B3E-8CD2-5595785C3427}" name="OP2" dataDxfId="148"/>
    <tableColumn id="26" xr3:uid="{286BF833-DF55-496A-BA42-E4A8CD9042A8}" name="OP3" dataDxfId="147"/>
    <tableColumn id="18" xr3:uid="{A84EFCF4-218F-4B17-8F46-8D5412141429}" name="OP4" dataDxfId="146"/>
    <tableColumn id="19" xr3:uid="{EBD50149-594D-440E-BFBB-E73ACAF7B6F8}" name="OP5" dataDxfId="145"/>
    <tableColumn id="20" xr3:uid="{91BE30ED-20C1-4F30-9041-45A50CCA04F0}" name="OP6" dataDxfId="144"/>
    <tableColumn id="21" xr3:uid="{A1A12DF6-FC3D-4466-8284-DBD00DEAF994}" name="OP7" dataDxfId="143"/>
    <tableColumn id="22" xr3:uid="{436F202D-DCF4-4376-A550-2541153BD99F}" name="Status Usinagem" dataDxfId="142">
      <calculatedColumnFormula>IF(I2="","AG. FUNDIDO",IF(W2="OK","LIBERADA","EM USINAGEM"))</calculatedColumnFormula>
    </tableColumn>
    <tableColumn id="23" xr3:uid="{F71E5739-8B79-47B3-9A24-E2E4D1DD46E6}" name="Observação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97" totalsRowShown="0" headerRowDxfId="140" dataDxfId="139">
  <autoFilter ref="A1:U97" xr:uid="{4BA44271-44C6-408A-A6A6-B543ACC82025}"/>
  <tableColumns count="21">
    <tableColumn id="1" xr3:uid="{59A78859-607B-43B6-A1C1-8FD9058D131E}" name="PV" dataDxfId="138"/>
    <tableColumn id="2" xr3:uid="{5AC3CDB0-EECF-4366-AABB-10D4632E5647}" name="Item" dataDxfId="137"/>
    <tableColumn id="3" xr3:uid="{CA90DF44-B521-495F-A8BF-53A3271A5DAF}" name="Cliente" dataDxfId="136"/>
    <tableColumn id="4" xr3:uid="{12AD5BC7-853C-41A0-AF2A-10508DE122E6}" name="Descrição" dataDxfId="135"/>
    <tableColumn id="5" xr3:uid="{04BE35C7-D026-451E-8D4A-708772E0EEA0}" name="Qtde." dataDxfId="134"/>
    <tableColumn id="6" xr3:uid="{A8C5072F-7F3F-44B2-9E08-0B2B05394BBD}" name="Bit" dataDxfId="133"/>
    <tableColumn id="21" xr3:uid="{CA10AF60-179E-4208-9164-EC57F967A475}" name="Terno" dataDxfId="132"/>
    <tableColumn id="7" xr3:uid="{817D5A28-820D-426F-9B7B-6D7C33A33750}" name="Desenho_x000a_Previsão" dataDxfId="131"/>
    <tableColumn id="8" xr3:uid="{2AD27BA2-0CC6-4648-8F39-70EA6F2DCA28}" name="Des." dataDxfId="130"/>
    <tableColumn id="9" xr3:uid="{AD513A49-4F2F-4FD4-BABD-5E91B76CDAAC}" name="Prazo_x000a_Entrega" dataDxfId="129"/>
    <tableColumn id="10" xr3:uid="{DDFA283B-37B1-4509-9A90-96F168A6EA1A}" name="OP1" dataDxfId="128"/>
    <tableColumn id="11" xr3:uid="{7E5D6482-94D4-4961-A07A-AA83431642CA}" name="OP2" dataDxfId="127"/>
    <tableColumn id="12" xr3:uid="{3C73DB98-7E09-4F7D-99A4-F49C8EFED7C1}" name="OP3" dataDxfId="126"/>
    <tableColumn id="13" xr3:uid="{C9B276C1-EAA2-44D3-BC63-09DEABE1333C}" name="OP4" dataDxfId="125"/>
    <tableColumn id="14" xr3:uid="{701CD035-8F78-4DD2-ADB3-14616A43EDDD}" name="OP5" dataDxfId="124"/>
    <tableColumn id="15" xr3:uid="{FEC9B4B9-312E-4D84-9BEC-71B7DBB01E5B}" name="OP6" dataDxfId="123"/>
    <tableColumn id="16" xr3:uid="{43FA3F4C-88C2-41D3-860E-2222B637DA98}" name="OP7" dataDxfId="122"/>
    <tableColumn id="17" xr3:uid="{25BFED7E-9400-4EBB-9B25-F0519E3A306F}" name="OP8" dataDxfId="121"/>
    <tableColumn id="18" xr3:uid="{5536059E-6F8D-4810-A678-B0DF23A1ECE4}" name="OP9" dataDxfId="120"/>
    <tableColumn id="19" xr3:uid="{03C085CC-9EDE-476B-8644-A15B2377E8CA}" name="Status" dataDxfId="119"/>
    <tableColumn id="20" xr3:uid="{3944B797-D6B2-47B5-A9F2-815EB3A25DE8}" name="Observação" dataDxfId="11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54" totalsRowShown="0" headerRowDxfId="117" dataDxfId="116">
  <autoFilter ref="A1:R154" xr:uid="{8F2F252D-0322-4579-B9EF-622E98B5994C}">
    <filterColumn colId="0">
      <filters>
        <filter val="2362"/>
      </filters>
    </filterColumn>
  </autoFilter>
  <tableColumns count="18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/Peças" dataDxfId="113"/>
    <tableColumn id="4" xr3:uid="{4ED6249C-2003-4F3F-AE5A-67316434275E}" name="Seq." dataDxfId="112"/>
    <tableColumn id="5" xr3:uid="{6CE5B2E1-F32C-4D32-93F0-A17C05267ADB}" name="Cliente" dataDxfId="111"/>
    <tableColumn id="6" xr3:uid="{605F51C8-79D3-407B-8642-02F131952C62}" name="Qtd." dataDxfId="110"/>
    <tableColumn id="9" xr3:uid="{5366226E-7F3B-42E4-AC0C-86C659505CC8}" name="Descrição" dataDxfId="109"/>
    <tableColumn id="10" xr3:uid="{B0D229C5-5F5A-4951-A0B4-FEA62AEFBB36}" name="Prazo_x000a_Fundido" dataDxfId="108"/>
    <tableColumn id="11" xr3:uid="{8AE09F18-EB17-4537-8FBD-24671292144B}" name="Pz Fundido_x000a_Real" dataDxfId="107"/>
    <tableColumn id="12" xr3:uid="{965E0234-7E4B-482D-8943-132C1520AD21}" name="Prazo_x000a_Entrega" dataDxfId="106"/>
    <tableColumn id="13" xr3:uid="{D70BE32E-86AF-4C0F-893D-AC939E731683}" name="Pz Entrega_x000a_Real" dataDxfId="105"/>
    <tableColumn id="15" xr3:uid="{2FE637E5-62E2-4AE9-AE5A-BC264DC93D4F}" name="Falta_x000a_Dias" dataDxfId="104">
      <calculatedColumnFormula>Tabela4[[#This Row],[Prazo
Entrega]]-TODAY()</calculatedColumnFormula>
    </tableColumn>
    <tableColumn id="14" xr3:uid="{23AEF4D3-817F-4A15-AFBA-EC837E4BE1AE}" name="Indicador" dataDxfId="103">
      <calculatedColumnFormula>IF(L2&lt;0,"ATRASADO",IF(L2&lt;=15,"ATENÇÃO","NO PRAZO"))</calculatedColumnFormula>
    </tableColumn>
    <tableColumn id="16" xr3:uid="{78F55B7C-8E60-49C5-B1F7-B023E76BDA6E}" name="Condição" dataDxfId="102"/>
    <tableColumn id="20" xr3:uid="{A889C1FB-2FE0-407A-B849-FEB9F2CA4F96}" name="Desenho_x000a_Previsão" dataDxfId="101"/>
    <tableColumn id="19" xr3:uid="{FB1E21D0-A118-422F-AA5B-F56FFBA7B5E4}" name="Des." dataDxfId="100"/>
    <tableColumn id="17" xr3:uid="{C14325D6-C653-45B3-B85F-6AF107A71546}" name="Status" dataDxfId="99"/>
    <tableColumn id="18" xr3:uid="{C6F7CA6A-B8B3-4E22-B3E8-05FFB1A03AB6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63" totalsRowShown="0" headerRowDxfId="97" dataDxfId="96">
  <autoFilter ref="A1:AB263" xr:uid="{08F50CE1-35A6-4ABA-9594-79B9C39908E8}">
    <filterColumn colId="2">
      <filters>
        <filter val="Ipiranga Passos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67" totalsRowShown="0" headerRowDxfId="67" dataDxfId="66">
  <autoFilter ref="A1:W167" xr:uid="{08F50CE1-35A6-4ABA-9594-79B9C39908E8}">
    <filterColumn colId="2">
      <filters>
        <filter val="Sta Terezinha Iguatemi"/>
      </filters>
    </filterColumn>
  </autoFilter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50"/>
  <sheetViews>
    <sheetView view="pageBreakPreview" topLeftCell="A79" zoomScaleNormal="100" zoomScaleSheetLayoutView="100" workbookViewId="0">
      <selection activeCell="K145" sqref="K145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496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-32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495</v>
      </c>
      <c r="U2" s="93" t="s">
        <v>468</v>
      </c>
      <c r="V2" s="93" t="s">
        <v>372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46248</v>
      </c>
      <c r="K3" s="14"/>
      <c r="L3" s="37">
        <f ca="1">Tabela1[[#This Row],[Prazo
Entrega]]-TODAY()</f>
        <v>3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495</v>
      </c>
      <c r="U3" s="93" t="s">
        <v>468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46248</v>
      </c>
      <c r="K4" s="14"/>
      <c r="L4" s="37">
        <f ca="1">Tabela1[[#This Row],[Prazo
Entrega]]-TODAY()</f>
        <v>3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495</v>
      </c>
      <c r="U4" s="93" t="s">
        <v>468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-25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495</v>
      </c>
      <c r="U5" s="93" t="s">
        <v>468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-25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495</v>
      </c>
      <c r="U6" s="93" t="s">
        <v>468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-25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495</v>
      </c>
      <c r="U7" s="93" t="s">
        <v>468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-32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495</v>
      </c>
      <c r="U8" s="93" t="s">
        <v>468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-32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495</v>
      </c>
      <c r="U9" s="93" t="s">
        <v>468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-32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495</v>
      </c>
      <c r="U10" s="93" t="s">
        <v>468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-32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495</v>
      </c>
      <c r="U11" s="93" t="s">
        <v>468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480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-25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495</v>
      </c>
      <c r="U12" s="93" t="s">
        <v>468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480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-25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495</v>
      </c>
      <c r="U13" s="93" t="s">
        <v>468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480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-25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495</v>
      </c>
      <c r="U14" s="93" t="s">
        <v>468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-18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495</v>
      </c>
      <c r="U15" s="93" t="s">
        <v>468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-25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495</v>
      </c>
      <c r="U16" s="93" t="s">
        <v>468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480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-32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495</v>
      </c>
      <c r="U17" s="93" t="s">
        <v>468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480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-32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495</v>
      </c>
      <c r="U18" s="93" t="s">
        <v>468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480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-32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495</v>
      </c>
      <c r="U19" s="93" t="s">
        <v>468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480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-25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495</v>
      </c>
      <c r="U20" s="93" t="s">
        <v>468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480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-18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495</v>
      </c>
      <c r="U21" s="93" t="s">
        <v>468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-11</v>
      </c>
      <c r="M22" s="37" t="str">
        <f t="shared" ca="1" si="0"/>
        <v>ATRASADO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3" t="s">
        <v>495</v>
      </c>
      <c r="U22" s="93" t="s">
        <v>468</v>
      </c>
      <c r="V22" s="93" t="s">
        <v>372</v>
      </c>
      <c r="X22" s="8" t="s">
        <v>76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-11</v>
      </c>
      <c r="M23" s="37" t="str">
        <f t="shared" ca="1" si="0"/>
        <v>ATRASADO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3" t="s">
        <v>495</v>
      </c>
      <c r="U23" s="93" t="s">
        <v>468</v>
      </c>
      <c r="V23" s="93" t="s">
        <v>372</v>
      </c>
      <c r="X23" s="8" t="s">
        <v>76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-35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495</v>
      </c>
      <c r="U24" s="93" t="s">
        <v>468</v>
      </c>
      <c r="V24" s="93" t="s">
        <v>372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-35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495</v>
      </c>
      <c r="U25" s="93" t="s">
        <v>468</v>
      </c>
      <c r="V25" s="93" t="s">
        <v>372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-35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495</v>
      </c>
      <c r="U26" s="93" t="s">
        <v>468</v>
      </c>
      <c r="V26" s="93" t="s">
        <v>372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-35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495</v>
      </c>
      <c r="U27" s="93" t="s">
        <v>468</v>
      </c>
      <c r="V27" s="93" t="s">
        <v>372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-35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495</v>
      </c>
      <c r="U28" s="93" t="s">
        <v>468</v>
      </c>
      <c r="V28" s="93" t="s">
        <v>372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-35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495</v>
      </c>
      <c r="U29" s="93" t="s">
        <v>468</v>
      </c>
      <c r="V29" s="93" t="s">
        <v>372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-11</v>
      </c>
      <c r="M30" s="37" t="str">
        <f t="shared" ref="M30:M61" ca="1" si="1">IF(L30&lt;0,"ATRASADO",IF(L30&lt;=15,"ATENÇÃO","NO PRAZO"))</f>
        <v>ATRASADO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3" t="s">
        <v>495</v>
      </c>
      <c r="U30" s="93" t="s">
        <v>468</v>
      </c>
      <c r="V30" s="93" t="s">
        <v>372</v>
      </c>
      <c r="X30" s="8" t="s">
        <v>76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476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-32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495</v>
      </c>
      <c r="U31" s="93" t="s">
        <v>468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476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-25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495</v>
      </c>
      <c r="U32" s="93" t="s">
        <v>468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476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-18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495</v>
      </c>
      <c r="U33" s="93" t="s">
        <v>468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476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-25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495</v>
      </c>
      <c r="U34" s="93" t="s">
        <v>468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476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-18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495</v>
      </c>
      <c r="U35" s="93" t="s">
        <v>468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480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-25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495</v>
      </c>
      <c r="U36" s="93" t="s">
        <v>468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480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46248</v>
      </c>
      <c r="K37" s="14"/>
      <c r="L37" s="37">
        <f ca="1">Tabela1[[#This Row],[Prazo
Entrega]]-TODAY()</f>
        <v>3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495</v>
      </c>
      <c r="U37" s="8" t="s">
        <v>468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478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-11</v>
      </c>
      <c r="M38" s="37" t="str">
        <f t="shared" ca="1" si="1"/>
        <v>ATRASADO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495</v>
      </c>
      <c r="U38" s="93" t="s">
        <v>468</v>
      </c>
      <c r="V38" s="93" t="s">
        <v>372</v>
      </c>
      <c r="X38" s="8" t="s">
        <v>76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479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46241</v>
      </c>
      <c r="K39" s="14"/>
      <c r="L39" s="37">
        <f ca="1">Tabela1[[#This Row],[Prazo
Entrega]]-TODAY()</f>
        <v>-4</v>
      </c>
      <c r="M39" s="37" t="str">
        <f t="shared" ca="1" si="1"/>
        <v>ATRASADO</v>
      </c>
      <c r="N39" s="8" t="s">
        <v>32</v>
      </c>
      <c r="O39" s="38" t="s">
        <v>56</v>
      </c>
      <c r="P39" s="14" t="s">
        <v>56</v>
      </c>
      <c r="Q39" s="93" t="s">
        <v>388</v>
      </c>
      <c r="R39" s="94" t="s">
        <v>18</v>
      </c>
      <c r="S39" s="8" t="s">
        <v>67</v>
      </c>
      <c r="T39" s="8" t="s">
        <v>495</v>
      </c>
      <c r="U39" s="8" t="s">
        <v>468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479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46241</v>
      </c>
      <c r="K40" s="14"/>
      <c r="L40" s="37">
        <f ca="1">Tabela1[[#This Row],[Prazo
Entrega]]-TODAY()</f>
        <v>-4</v>
      </c>
      <c r="M40" s="37" t="str">
        <f t="shared" ca="1" si="1"/>
        <v>ATRASADO</v>
      </c>
      <c r="N40" s="8" t="s">
        <v>32</v>
      </c>
      <c r="O40" s="38" t="s">
        <v>56</v>
      </c>
      <c r="P40" s="14" t="s">
        <v>56</v>
      </c>
      <c r="Q40" s="93" t="s">
        <v>388</v>
      </c>
      <c r="R40" s="94" t="s">
        <v>18</v>
      </c>
      <c r="S40" s="8" t="s">
        <v>67</v>
      </c>
      <c r="T40" s="8" t="s">
        <v>495</v>
      </c>
      <c r="U40" s="8" t="s">
        <v>468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479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-4</v>
      </c>
      <c r="M41" s="37" t="str">
        <f t="shared" ca="1" si="1"/>
        <v>ATRASADO</v>
      </c>
      <c r="N41" s="8" t="s">
        <v>32</v>
      </c>
      <c r="O41" s="38" t="s">
        <v>56</v>
      </c>
      <c r="P41" s="14" t="s">
        <v>56</v>
      </c>
      <c r="Q41" s="93" t="s">
        <v>388</v>
      </c>
      <c r="R41" s="94" t="s">
        <v>18</v>
      </c>
      <c r="S41" s="8" t="s">
        <v>67</v>
      </c>
      <c r="T41" s="8" t="s">
        <v>495</v>
      </c>
      <c r="U41" s="8" t="s">
        <v>468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479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-4</v>
      </c>
      <c r="M42" s="37" t="str">
        <f t="shared" ca="1" si="1"/>
        <v>ATRASADO</v>
      </c>
      <c r="N42" s="8" t="s">
        <v>32</v>
      </c>
      <c r="O42" s="38" t="s">
        <v>56</v>
      </c>
      <c r="P42" s="14" t="s">
        <v>56</v>
      </c>
      <c r="Q42" s="94" t="s">
        <v>388</v>
      </c>
      <c r="R42" s="8" t="s">
        <v>18</v>
      </c>
      <c r="S42" s="8" t="s">
        <v>67</v>
      </c>
      <c r="T42" s="8" t="s">
        <v>495</v>
      </c>
      <c r="U42" s="8" t="s">
        <v>468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479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-4</v>
      </c>
      <c r="M43" s="37" t="str">
        <f t="shared" ca="1" si="1"/>
        <v>ATRASADO</v>
      </c>
      <c r="N43" s="8" t="s">
        <v>32</v>
      </c>
      <c r="O43" s="38" t="s">
        <v>56</v>
      </c>
      <c r="P43" s="14" t="s">
        <v>56</v>
      </c>
      <c r="Q43" s="94" t="s">
        <v>388</v>
      </c>
      <c r="R43" s="8" t="s">
        <v>18</v>
      </c>
      <c r="S43" s="8" t="s">
        <v>67</v>
      </c>
      <c r="T43" s="8" t="s">
        <v>495</v>
      </c>
      <c r="U43" s="8" t="s">
        <v>468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479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-4</v>
      </c>
      <c r="M44" s="37" t="str">
        <f t="shared" ca="1" si="1"/>
        <v>ATRASADO</v>
      </c>
      <c r="N44" s="8" t="s">
        <v>32</v>
      </c>
      <c r="O44" s="38" t="s">
        <v>56</v>
      </c>
      <c r="P44" s="14" t="s">
        <v>56</v>
      </c>
      <c r="Q44" s="94" t="s">
        <v>388</v>
      </c>
      <c r="R44" s="8" t="s">
        <v>18</v>
      </c>
      <c r="S44" s="8" t="s">
        <v>67</v>
      </c>
      <c r="T44" s="8" t="s">
        <v>495</v>
      </c>
      <c r="U44" s="8" t="s">
        <v>468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-11</v>
      </c>
      <c r="M45" s="37" t="str">
        <f t="shared" ca="1" si="1"/>
        <v>ATRASADO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3" t="s">
        <v>495</v>
      </c>
      <c r="U45" s="93" t="s">
        <v>468</v>
      </c>
      <c r="V45" s="93" t="s">
        <v>372</v>
      </c>
      <c r="X45" s="8" t="s">
        <v>76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46241</v>
      </c>
      <c r="K46" s="14"/>
      <c r="L46" s="37">
        <f ca="1">Tabela1[[#This Row],[Prazo
Entrega]]-TODAY()</f>
        <v>-4</v>
      </c>
      <c r="M46" s="37" t="str">
        <f t="shared" ca="1" si="1"/>
        <v>ATRASADO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495</v>
      </c>
      <c r="U46" s="8" t="s">
        <v>468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-11</v>
      </c>
      <c r="M47" s="37" t="str">
        <f t="shared" ca="1" si="1"/>
        <v>ATRASADO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3" t="s">
        <v>495</v>
      </c>
      <c r="U47" s="93" t="s">
        <v>468</v>
      </c>
      <c r="V47" s="93" t="s">
        <v>372</v>
      </c>
      <c r="X47" s="8" t="s">
        <v>76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477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-4</v>
      </c>
      <c r="M48" s="37" t="str">
        <f t="shared" ca="1" si="1"/>
        <v>ATRASADO</v>
      </c>
      <c r="N48" s="8" t="s">
        <v>32</v>
      </c>
      <c r="O48" s="38" t="s">
        <v>56</v>
      </c>
      <c r="P48" s="14" t="s">
        <v>56</v>
      </c>
      <c r="Q48" s="94" t="s">
        <v>388</v>
      </c>
      <c r="R48" s="8" t="s">
        <v>18</v>
      </c>
      <c r="S48" s="8" t="s">
        <v>67</v>
      </c>
      <c r="T48" s="8" t="s">
        <v>495</v>
      </c>
      <c r="U48" s="8" t="s">
        <v>468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478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-11</v>
      </c>
      <c r="M49" s="37" t="str">
        <f t="shared" ca="1" si="1"/>
        <v>ATRASADO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495</v>
      </c>
      <c r="U49" s="93" t="s">
        <v>468</v>
      </c>
      <c r="V49" s="93" t="s">
        <v>372</v>
      </c>
      <c r="X49" s="8" t="s">
        <v>76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478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-11</v>
      </c>
      <c r="M50" s="37" t="str">
        <f t="shared" ca="1" si="1"/>
        <v>ATRASADO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495</v>
      </c>
      <c r="U50" s="93" t="s">
        <v>468</v>
      </c>
      <c r="V50" s="93" t="s">
        <v>372</v>
      </c>
      <c r="X50" s="8" t="s">
        <v>76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478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-4</v>
      </c>
      <c r="M51" s="37" t="str">
        <f t="shared" ca="1" si="1"/>
        <v>ATRASADO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495</v>
      </c>
      <c r="U51" s="93" t="s">
        <v>468</v>
      </c>
      <c r="V51" s="93" t="s">
        <v>372</v>
      </c>
      <c r="X51" s="8" t="s">
        <v>76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478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-4</v>
      </c>
      <c r="M52" s="37" t="str">
        <f t="shared" ca="1" si="1"/>
        <v>ATRASADO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495</v>
      </c>
      <c r="U52" s="93" t="s">
        <v>468</v>
      </c>
      <c r="V52" s="93" t="s">
        <v>372</v>
      </c>
      <c r="X52" s="8" t="s">
        <v>76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477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-4</v>
      </c>
      <c r="M53" s="37" t="str">
        <f t="shared" ca="1" si="1"/>
        <v>ATRASADO</v>
      </c>
      <c r="N53" s="8" t="s">
        <v>32</v>
      </c>
      <c r="O53" s="38" t="s">
        <v>56</v>
      </c>
      <c r="P53" s="14" t="s">
        <v>56</v>
      </c>
      <c r="Q53" s="94" t="s">
        <v>388</v>
      </c>
      <c r="R53" s="8" t="s">
        <v>18</v>
      </c>
      <c r="S53" s="8" t="s">
        <v>67</v>
      </c>
      <c r="T53" s="8" t="s">
        <v>495</v>
      </c>
      <c r="U53" s="8" t="s">
        <v>468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477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-4</v>
      </c>
      <c r="M54" s="37" t="str">
        <f t="shared" ca="1" si="1"/>
        <v>ATRASADO</v>
      </c>
      <c r="N54" s="8" t="s">
        <v>32</v>
      </c>
      <c r="O54" s="38" t="s">
        <v>56</v>
      </c>
      <c r="P54" s="14" t="s">
        <v>56</v>
      </c>
      <c r="Q54" s="94" t="s">
        <v>388</v>
      </c>
      <c r="R54" s="8" t="s">
        <v>18</v>
      </c>
      <c r="S54" s="8" t="s">
        <v>67</v>
      </c>
      <c r="T54" s="8" t="s">
        <v>495</v>
      </c>
      <c r="U54" s="8" t="s">
        <v>468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477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46248</v>
      </c>
      <c r="K55" s="14"/>
      <c r="L55" s="37">
        <f ca="1">Tabela1[[#This Row],[Prazo
Entrega]]-TODAY()</f>
        <v>3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94" t="s">
        <v>388</v>
      </c>
      <c r="R55" s="8" t="s">
        <v>18</v>
      </c>
      <c r="S55" s="8" t="s">
        <v>67</v>
      </c>
      <c r="T55" s="8" t="s">
        <v>495</v>
      </c>
      <c r="U55" s="8" t="s">
        <v>468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477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46248</v>
      </c>
      <c r="K56" s="14"/>
      <c r="L56" s="37">
        <f ca="1">Tabela1[[#This Row],[Prazo
Entrega]]-TODAY()</f>
        <v>3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94" t="s">
        <v>388</v>
      </c>
      <c r="R56" s="8" t="s">
        <v>18</v>
      </c>
      <c r="S56" s="8" t="s">
        <v>67</v>
      </c>
      <c r="T56" s="8" t="s">
        <v>495</v>
      </c>
      <c r="U56" s="8" t="s">
        <v>468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477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46248</v>
      </c>
      <c r="K57" s="14"/>
      <c r="L57" s="37">
        <f ca="1">Tabela1[[#This Row],[Prazo
Entrega]]-TODAY()</f>
        <v>3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94" t="s">
        <v>388</v>
      </c>
      <c r="R57" s="8" t="s">
        <v>18</v>
      </c>
      <c r="S57" s="8" t="s">
        <v>67</v>
      </c>
      <c r="T57" s="8" t="s">
        <v>495</v>
      </c>
      <c r="U57" s="8" t="s">
        <v>468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3</v>
      </c>
      <c r="M58" s="37" t="str">
        <f t="shared" ca="1" si="1"/>
        <v>ATENÇÃO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495</v>
      </c>
      <c r="U58" s="8" t="s">
        <v>468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3</v>
      </c>
      <c r="M59" s="37" t="str">
        <f t="shared" ca="1" si="1"/>
        <v>ATENÇÃO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495</v>
      </c>
      <c r="U59" s="8" t="s">
        <v>468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-11</v>
      </c>
      <c r="M60" s="37" t="str">
        <f t="shared" ca="1" si="1"/>
        <v>ATRASADO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495</v>
      </c>
      <c r="U60" s="93" t="s">
        <v>468</v>
      </c>
      <c r="V60" s="93" t="s">
        <v>372</v>
      </c>
      <c r="X60" s="8" t="s">
        <v>76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-11</v>
      </c>
      <c r="M61" s="37" t="str">
        <f t="shared" ca="1" si="1"/>
        <v>ATRASADO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495</v>
      </c>
      <c r="U61" s="93" t="s">
        <v>468</v>
      </c>
      <c r="V61" s="93" t="s">
        <v>372</v>
      </c>
      <c r="X61" s="8" t="s">
        <v>76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-11</v>
      </c>
      <c r="M62" s="37" t="str">
        <f t="shared" ref="M62:M93" ca="1" si="3">IF(L62&lt;0,"ATRASADO",IF(L62&lt;=15,"ATENÇÃO","NO PRAZO"))</f>
        <v>ATRASADO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495</v>
      </c>
      <c r="U62" s="93" t="s">
        <v>468</v>
      </c>
      <c r="V62" s="93" t="s">
        <v>372</v>
      </c>
      <c r="X62" s="8" t="s">
        <v>76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-11</v>
      </c>
      <c r="M63" s="37" t="str">
        <f t="shared" ca="1" si="3"/>
        <v>ATRASADO</v>
      </c>
      <c r="N63" s="8" t="s">
        <v>32</v>
      </c>
      <c r="O63" s="38" t="s">
        <v>56</v>
      </c>
      <c r="P63" s="14" t="s">
        <v>56</v>
      </c>
      <c r="Q63" s="93" t="s">
        <v>388</v>
      </c>
      <c r="R63" s="93" t="s">
        <v>18</v>
      </c>
      <c r="S63" s="93" t="s">
        <v>67</v>
      </c>
      <c r="T63" s="93" t="s">
        <v>495</v>
      </c>
      <c r="U63" s="93" t="s">
        <v>468</v>
      </c>
      <c r="V63" s="93" t="s">
        <v>372</v>
      </c>
      <c r="X63" s="8" t="s">
        <v>76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-11</v>
      </c>
      <c r="M64" s="37" t="str">
        <f t="shared" ca="1" si="3"/>
        <v>ATRASADO</v>
      </c>
      <c r="N64" s="8" t="s">
        <v>32</v>
      </c>
      <c r="O64" s="38" t="s">
        <v>56</v>
      </c>
      <c r="P64" s="14" t="s">
        <v>56</v>
      </c>
      <c r="Q64" s="93" t="s">
        <v>388</v>
      </c>
      <c r="R64" s="93" t="s">
        <v>18</v>
      </c>
      <c r="S64" s="93" t="s">
        <v>67</v>
      </c>
      <c r="T64" s="93" t="s">
        <v>495</v>
      </c>
      <c r="U64" s="93" t="s">
        <v>468</v>
      </c>
      <c r="V64" s="93" t="s">
        <v>372</v>
      </c>
      <c r="X64" s="8" t="s">
        <v>76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-11</v>
      </c>
      <c r="M65" s="37" t="str">
        <f t="shared" ca="1" si="3"/>
        <v>ATRASADO</v>
      </c>
      <c r="N65" s="8" t="s">
        <v>32</v>
      </c>
      <c r="O65" s="38" t="s">
        <v>56</v>
      </c>
      <c r="P65" s="14" t="s">
        <v>56</v>
      </c>
      <c r="Q65" s="93" t="s">
        <v>388</v>
      </c>
      <c r="R65" s="93" t="s">
        <v>18</v>
      </c>
      <c r="S65" s="93" t="s">
        <v>67</v>
      </c>
      <c r="T65" s="93" t="s">
        <v>495</v>
      </c>
      <c r="U65" s="93" t="s">
        <v>468</v>
      </c>
      <c r="V65" s="93" t="s">
        <v>372</v>
      </c>
      <c r="X65" s="8" t="s">
        <v>76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-11</v>
      </c>
      <c r="M66" s="37" t="str">
        <f t="shared" ca="1" si="3"/>
        <v>ATRASADO</v>
      </c>
      <c r="N66" s="8" t="s">
        <v>32</v>
      </c>
      <c r="O66" s="38" t="s">
        <v>56</v>
      </c>
      <c r="P66" s="14" t="s">
        <v>56</v>
      </c>
      <c r="Q66" s="93" t="s">
        <v>388</v>
      </c>
      <c r="R66" s="93" t="s">
        <v>18</v>
      </c>
      <c r="S66" s="93" t="s">
        <v>67</v>
      </c>
      <c r="T66" s="93" t="s">
        <v>495</v>
      </c>
      <c r="U66" s="93" t="s">
        <v>468</v>
      </c>
      <c r="V66" s="93" t="s">
        <v>372</v>
      </c>
      <c r="X66" s="8" t="s">
        <v>76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3</v>
      </c>
      <c r="M67" s="37" t="str">
        <f t="shared" ca="1" si="3"/>
        <v>ATENÇÃO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495</v>
      </c>
      <c r="U67" s="8" t="s">
        <v>468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3</v>
      </c>
      <c r="M68" s="37" t="str">
        <f t="shared" ca="1" si="3"/>
        <v>ATENÇÃO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495</v>
      </c>
      <c r="U68" s="8" t="s">
        <v>468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10</v>
      </c>
      <c r="M69" s="37" t="str">
        <f t="shared" ca="1" si="3"/>
        <v>ATENÇÃO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495</v>
      </c>
      <c r="U69" s="8" t="s">
        <v>468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10</v>
      </c>
      <c r="M70" s="37" t="str">
        <f t="shared" ca="1" si="3"/>
        <v>ATENÇÃO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495</v>
      </c>
      <c r="U70" s="8" t="s">
        <v>468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10</v>
      </c>
      <c r="M71" s="37" t="str">
        <f t="shared" ca="1" si="3"/>
        <v>ATENÇÃO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495</v>
      </c>
      <c r="U71" s="8" t="s">
        <v>468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10</v>
      </c>
      <c r="M72" s="37" t="str">
        <f t="shared" ca="1" si="3"/>
        <v>ATENÇÃO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495</v>
      </c>
      <c r="U72" s="8" t="s">
        <v>468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10</v>
      </c>
      <c r="M73" s="37" t="str">
        <f t="shared" ca="1" si="3"/>
        <v>ATENÇÃO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495</v>
      </c>
      <c r="U73" s="8" t="s">
        <v>468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10</v>
      </c>
      <c r="M74" s="37" t="str">
        <f t="shared" ca="1" si="3"/>
        <v>ATENÇÃO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495</v>
      </c>
      <c r="U74" s="8" t="s">
        <v>468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14</v>
      </c>
      <c r="M75" s="37" t="str">
        <f t="shared" ca="1" si="3"/>
        <v>ATENÇÃO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495</v>
      </c>
      <c r="U75" s="8" t="s">
        <v>468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14</v>
      </c>
      <c r="M76" s="37" t="str">
        <f t="shared" ca="1" si="3"/>
        <v>ATENÇÃO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495</v>
      </c>
      <c r="U76" s="8" t="s">
        <v>468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14</v>
      </c>
      <c r="M77" s="37" t="str">
        <f t="shared" ca="1" si="3"/>
        <v>ATENÇÃO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495</v>
      </c>
      <c r="U77" s="8" t="s">
        <v>468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-10</v>
      </c>
      <c r="M78" s="37" t="str">
        <f t="shared" ca="1" si="3"/>
        <v>ATRASADO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322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50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322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-10</v>
      </c>
      <c r="M80" s="37" t="str">
        <f t="shared" ca="1" si="3"/>
        <v>ATRASADO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322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21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322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21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322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50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322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65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495</v>
      </c>
      <c r="V84" s="8" t="s">
        <v>468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65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495</v>
      </c>
      <c r="V85" s="8" t="s">
        <v>468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65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495</v>
      </c>
      <c r="V86" s="8" t="s">
        <v>468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65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495</v>
      </c>
      <c r="V87" s="8" t="s">
        <v>468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65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495</v>
      </c>
      <c r="V88" s="8" t="s">
        <v>468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65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495</v>
      </c>
      <c r="V89" s="8" t="s">
        <v>468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36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495</v>
      </c>
      <c r="U90" s="8" t="s">
        <v>468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36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495</v>
      </c>
      <c r="U91" s="8" t="s">
        <v>468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36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495</v>
      </c>
      <c r="U92" s="8" t="s">
        <v>468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36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495</v>
      </c>
      <c r="U93" s="8" t="s">
        <v>468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36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495</v>
      </c>
      <c r="U94" s="8" t="s">
        <v>468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111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495</v>
      </c>
      <c r="V95" s="8" t="s">
        <v>468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111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495</v>
      </c>
      <c r="V96" s="8" t="s">
        <v>468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111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495</v>
      </c>
      <c r="V97" s="8" t="s">
        <v>468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111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495</v>
      </c>
      <c r="V98" s="8" t="s">
        <v>468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111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495</v>
      </c>
      <c r="V99" s="8" t="s">
        <v>468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111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495</v>
      </c>
      <c r="V100" s="8" t="s">
        <v>468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111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495</v>
      </c>
      <c r="V101" s="8" t="s">
        <v>468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111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495</v>
      </c>
      <c r="V102" s="8" t="s">
        <v>468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111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495</v>
      </c>
      <c r="V103" s="8" t="s">
        <v>468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111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495</v>
      </c>
      <c r="V104" s="8" t="s">
        <v>468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111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495</v>
      </c>
      <c r="V105" s="8" t="s">
        <v>468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111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495</v>
      </c>
      <c r="V106" s="8" t="s">
        <v>468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111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495</v>
      </c>
      <c r="V107" s="8" t="s">
        <v>468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111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495</v>
      </c>
      <c r="V108" s="8" t="s">
        <v>468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111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495</v>
      </c>
      <c r="V109" s="8" t="s">
        <v>468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1484033</v>
      </c>
      <c r="D110" s="13">
        <v>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80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495</v>
      </c>
      <c r="V110" s="8" t="s">
        <v>468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1484034</v>
      </c>
      <c r="D111" s="13">
        <v>1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80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495</v>
      </c>
      <c r="V111" s="8" t="s">
        <v>468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1484032</v>
      </c>
      <c r="D112" s="13">
        <v>1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80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495</v>
      </c>
      <c r="V112" s="8" t="s">
        <v>468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1484036</v>
      </c>
      <c r="D113" s="13">
        <v>1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80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495</v>
      </c>
      <c r="V113" s="8" t="s">
        <v>468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1484035</v>
      </c>
      <c r="D114" s="13">
        <v>1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80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495</v>
      </c>
      <c r="V114" s="8" t="s">
        <v>468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141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495</v>
      </c>
      <c r="V115" s="8" t="s">
        <v>468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141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495</v>
      </c>
      <c r="V116" s="8" t="s">
        <v>468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505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141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495</v>
      </c>
      <c r="V117" s="8" t="s">
        <v>468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141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495</v>
      </c>
      <c r="V118" s="8" t="s">
        <v>468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506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141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495</v>
      </c>
      <c r="V119" s="8" t="s">
        <v>468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141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495</v>
      </c>
      <c r="V120" s="8" t="s">
        <v>468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  <row r="121" spans="1:30" x14ac:dyDescent="0.25">
      <c r="A121" s="13">
        <v>2368</v>
      </c>
      <c r="B121" s="13">
        <v>1</v>
      </c>
      <c r="C121" s="13">
        <v>27469</v>
      </c>
      <c r="D121" s="13">
        <v>1</v>
      </c>
      <c r="E121" s="13" t="s">
        <v>678</v>
      </c>
      <c r="F121" s="13" t="s">
        <v>679</v>
      </c>
      <c r="G121" s="13">
        <v>1</v>
      </c>
      <c r="H121" s="14">
        <v>46297</v>
      </c>
      <c r="J121" s="14">
        <v>46329</v>
      </c>
      <c r="K121" s="14"/>
      <c r="L121" s="37">
        <f ca="1">Tabela1[[#This Row],[Prazo
Entrega]]-TODAY()</f>
        <v>84</v>
      </c>
      <c r="M121" s="37" t="str">
        <f ca="1">IF(L121&lt;0,"ATRASADO",IF(L121&lt;=15,"ATENÇÃO","NO PRAZO"))</f>
        <v>NO PRAZO</v>
      </c>
      <c r="N121" s="8" t="s">
        <v>32</v>
      </c>
      <c r="O121" s="38">
        <v>46290</v>
      </c>
      <c r="P121" s="14" t="s">
        <v>58</v>
      </c>
      <c r="Q121" s="8" t="s">
        <v>388</v>
      </c>
      <c r="R121" s="8" t="s">
        <v>18</v>
      </c>
      <c r="S121" s="8" t="s">
        <v>389</v>
      </c>
      <c r="T121" s="8" t="s">
        <v>67</v>
      </c>
      <c r="U121" s="8" t="s">
        <v>495</v>
      </c>
      <c r="V121" s="8" t="s">
        <v>468</v>
      </c>
      <c r="W121" s="8" t="s">
        <v>372</v>
      </c>
      <c r="X121" s="8" t="str">
        <f>IF(I121="","AG. FUNDIDO",IF(Q121="AG","AG. USINAGEM","EM USINAGEM"))</f>
        <v>AG. FUNDIDO</v>
      </c>
      <c r="Z121" s="40"/>
      <c r="AA121" s="41"/>
      <c r="AB121" s="41"/>
      <c r="AC121" s="41"/>
      <c r="AD121" s="42"/>
    </row>
    <row r="122" spans="1:30" x14ac:dyDescent="0.25">
      <c r="A122" s="13">
        <v>2368</v>
      </c>
      <c r="B122" s="13">
        <v>2</v>
      </c>
      <c r="C122" s="13">
        <v>27469</v>
      </c>
      <c r="D122" s="13">
        <v>2</v>
      </c>
      <c r="E122" s="13" t="s">
        <v>678</v>
      </c>
      <c r="F122" s="13" t="s">
        <v>679</v>
      </c>
      <c r="G122" s="13">
        <v>1</v>
      </c>
      <c r="H122" s="14">
        <v>46297</v>
      </c>
      <c r="J122" s="14">
        <v>46329</v>
      </c>
      <c r="K122" s="14"/>
      <c r="L122" s="37">
        <f ca="1">Tabela1[[#This Row],[Prazo
Entrega]]-TODAY()</f>
        <v>84</v>
      </c>
      <c r="M122" s="37" t="str">
        <f t="shared" ref="M122:M126" ca="1" si="9">IF(L122&lt;0,"ATRASADO",IF(L122&lt;=15,"ATENÇÃO","NO PRAZO"))</f>
        <v>NO PRAZO</v>
      </c>
      <c r="N122" s="8" t="s">
        <v>32</v>
      </c>
      <c r="O122" s="38">
        <v>46290</v>
      </c>
      <c r="P122" s="14" t="s">
        <v>58</v>
      </c>
      <c r="Q122" s="8" t="s">
        <v>388</v>
      </c>
      <c r="R122" s="8" t="s">
        <v>18</v>
      </c>
      <c r="S122" s="8" t="s">
        <v>389</v>
      </c>
      <c r="T122" s="8" t="s">
        <v>67</v>
      </c>
      <c r="U122" s="8" t="s">
        <v>495</v>
      </c>
      <c r="V122" s="8" t="s">
        <v>468</v>
      </c>
      <c r="W122" s="8" t="s">
        <v>372</v>
      </c>
      <c r="X122" s="8" t="str">
        <f t="shared" ref="X122:X126" si="10">IF(I122="","AG. FUNDIDO",IF(Q122="AG","AG. USINAGEM","EM USINAGEM"))</f>
        <v>AG. FUNDIDO</v>
      </c>
      <c r="Z122" s="40"/>
      <c r="AA122" s="41"/>
      <c r="AB122" s="41"/>
      <c r="AC122" s="41"/>
      <c r="AD122" s="42"/>
    </row>
    <row r="123" spans="1:30" x14ac:dyDescent="0.25">
      <c r="A123" s="13">
        <v>2368</v>
      </c>
      <c r="B123" s="13">
        <v>3</v>
      </c>
      <c r="C123" s="13">
        <v>27469</v>
      </c>
      <c r="D123" s="13">
        <v>3</v>
      </c>
      <c r="E123" s="13" t="s">
        <v>678</v>
      </c>
      <c r="F123" s="13" t="s">
        <v>680</v>
      </c>
      <c r="G123" s="13">
        <v>1</v>
      </c>
      <c r="H123" s="14">
        <v>46297</v>
      </c>
      <c r="J123" s="14">
        <v>46329</v>
      </c>
      <c r="K123" s="14"/>
      <c r="L123" s="37">
        <f ca="1">Tabela1[[#This Row],[Prazo
Entrega]]-TODAY()</f>
        <v>84</v>
      </c>
      <c r="M123" s="37" t="str">
        <f t="shared" ca="1" si="9"/>
        <v>NO PRAZO</v>
      </c>
      <c r="N123" s="8" t="s">
        <v>32</v>
      </c>
      <c r="O123" s="38">
        <v>46290</v>
      </c>
      <c r="P123" s="14" t="s">
        <v>58</v>
      </c>
      <c r="Q123" s="8" t="s">
        <v>388</v>
      </c>
      <c r="R123" s="8" t="s">
        <v>18</v>
      </c>
      <c r="S123" s="8" t="s">
        <v>389</v>
      </c>
      <c r="T123" s="8" t="s">
        <v>67</v>
      </c>
      <c r="U123" s="8" t="s">
        <v>495</v>
      </c>
      <c r="V123" s="8" t="s">
        <v>468</v>
      </c>
      <c r="W123" s="8" t="s">
        <v>372</v>
      </c>
      <c r="X123" s="8" t="str">
        <f t="shared" si="10"/>
        <v>AG. FUNDIDO</v>
      </c>
      <c r="Z123" s="40"/>
      <c r="AA123" s="41"/>
      <c r="AB123" s="41"/>
      <c r="AC123" s="41"/>
      <c r="AD123" s="42"/>
    </row>
    <row r="124" spans="1:30" x14ac:dyDescent="0.25">
      <c r="A124" s="13">
        <v>2368</v>
      </c>
      <c r="B124" s="13">
        <v>4</v>
      </c>
      <c r="C124" s="13">
        <v>27469</v>
      </c>
      <c r="D124" s="13">
        <v>4</v>
      </c>
      <c r="E124" s="13" t="s">
        <v>678</v>
      </c>
      <c r="F124" s="13" t="s">
        <v>680</v>
      </c>
      <c r="G124" s="13">
        <v>1</v>
      </c>
      <c r="H124" s="14">
        <v>46297</v>
      </c>
      <c r="J124" s="14">
        <v>46329</v>
      </c>
      <c r="K124" s="14"/>
      <c r="L124" s="37">
        <f ca="1">Tabela1[[#This Row],[Prazo
Entrega]]-TODAY()</f>
        <v>84</v>
      </c>
      <c r="M124" s="37" t="str">
        <f t="shared" ca="1" si="9"/>
        <v>NO PRAZO</v>
      </c>
      <c r="N124" s="8" t="s">
        <v>32</v>
      </c>
      <c r="O124" s="38">
        <v>46290</v>
      </c>
      <c r="P124" s="14" t="s">
        <v>58</v>
      </c>
      <c r="Q124" s="8" t="s">
        <v>388</v>
      </c>
      <c r="R124" s="8" t="s">
        <v>18</v>
      </c>
      <c r="S124" s="8" t="s">
        <v>389</v>
      </c>
      <c r="T124" s="8" t="s">
        <v>67</v>
      </c>
      <c r="U124" s="8" t="s">
        <v>495</v>
      </c>
      <c r="V124" s="8" t="s">
        <v>468</v>
      </c>
      <c r="W124" s="8" t="s">
        <v>372</v>
      </c>
      <c r="X124" s="8" t="str">
        <f t="shared" si="10"/>
        <v>AG. FUNDIDO</v>
      </c>
      <c r="Z124" s="40"/>
      <c r="AA124" s="41"/>
      <c r="AB124" s="41"/>
      <c r="AC124" s="41"/>
      <c r="AD124" s="42"/>
    </row>
    <row r="125" spans="1:30" x14ac:dyDescent="0.25">
      <c r="A125" s="13">
        <v>2368</v>
      </c>
      <c r="B125" s="13">
        <v>5</v>
      </c>
      <c r="C125" s="13">
        <v>27469</v>
      </c>
      <c r="D125" s="13">
        <v>5</v>
      </c>
      <c r="E125" s="13" t="s">
        <v>678</v>
      </c>
      <c r="F125" s="13" t="s">
        <v>680</v>
      </c>
      <c r="G125" s="13">
        <v>1</v>
      </c>
      <c r="H125" s="14">
        <v>46297</v>
      </c>
      <c r="J125" s="14">
        <v>46329</v>
      </c>
      <c r="K125" s="14"/>
      <c r="L125" s="37">
        <f ca="1">Tabela1[[#This Row],[Prazo
Entrega]]-TODAY()</f>
        <v>84</v>
      </c>
      <c r="M125" s="37" t="str">
        <f t="shared" ca="1" si="9"/>
        <v>NO PRAZO</v>
      </c>
      <c r="N125" s="8" t="s">
        <v>32</v>
      </c>
      <c r="O125" s="38">
        <v>46290</v>
      </c>
      <c r="P125" s="14" t="s">
        <v>58</v>
      </c>
      <c r="Q125" s="8" t="s">
        <v>388</v>
      </c>
      <c r="R125" s="8" t="s">
        <v>18</v>
      </c>
      <c r="S125" s="8" t="s">
        <v>389</v>
      </c>
      <c r="T125" s="8" t="s">
        <v>67</v>
      </c>
      <c r="U125" s="8" t="s">
        <v>495</v>
      </c>
      <c r="V125" s="8" t="s">
        <v>468</v>
      </c>
      <c r="W125" s="8" t="s">
        <v>372</v>
      </c>
      <c r="X125" s="8" t="str">
        <f t="shared" si="10"/>
        <v>AG. FUNDIDO</v>
      </c>
      <c r="Z125" s="40"/>
      <c r="AA125" s="41"/>
      <c r="AB125" s="41"/>
      <c r="AC125" s="41"/>
      <c r="AD125" s="42"/>
    </row>
    <row r="126" spans="1:30" x14ac:dyDescent="0.25">
      <c r="A126" s="13">
        <v>2368</v>
      </c>
      <c r="B126" s="13">
        <v>6</v>
      </c>
      <c r="C126" s="13">
        <v>27469</v>
      </c>
      <c r="D126" s="13">
        <v>6</v>
      </c>
      <c r="E126" s="13" t="s">
        <v>678</v>
      </c>
      <c r="F126" s="13" t="s">
        <v>680</v>
      </c>
      <c r="G126" s="13">
        <v>1</v>
      </c>
      <c r="H126" s="14">
        <v>46297</v>
      </c>
      <c r="J126" s="14">
        <v>46329</v>
      </c>
      <c r="K126" s="14"/>
      <c r="L126" s="37">
        <f ca="1">Tabela1[[#This Row],[Prazo
Entrega]]-TODAY()</f>
        <v>84</v>
      </c>
      <c r="M126" s="37" t="str">
        <f t="shared" ca="1" si="9"/>
        <v>NO PRAZO</v>
      </c>
      <c r="N126" s="8" t="s">
        <v>32</v>
      </c>
      <c r="O126" s="38">
        <v>46290</v>
      </c>
      <c r="P126" s="14" t="s">
        <v>58</v>
      </c>
      <c r="Q126" s="8" t="s">
        <v>388</v>
      </c>
      <c r="R126" s="8" t="s">
        <v>18</v>
      </c>
      <c r="S126" s="8" t="s">
        <v>389</v>
      </c>
      <c r="T126" s="8" t="s">
        <v>67</v>
      </c>
      <c r="U126" s="8" t="s">
        <v>495</v>
      </c>
      <c r="V126" s="8" t="s">
        <v>468</v>
      </c>
      <c r="W126" s="8" t="s">
        <v>372</v>
      </c>
      <c r="X126" s="8" t="str">
        <f t="shared" si="10"/>
        <v>AG. FUNDIDO</v>
      </c>
      <c r="Z126" s="40"/>
      <c r="AA126" s="41"/>
      <c r="AB126" s="41"/>
      <c r="AC126" s="41"/>
      <c r="AD126" s="42"/>
    </row>
    <row r="127" spans="1:30" x14ac:dyDescent="0.25">
      <c r="A127" s="13">
        <v>2394</v>
      </c>
      <c r="B127" s="13">
        <v>1</v>
      </c>
      <c r="C127" s="13">
        <v>212088</v>
      </c>
      <c r="D127" s="13">
        <v>1</v>
      </c>
      <c r="E127" s="13" t="s">
        <v>33</v>
      </c>
      <c r="F127" s="13" t="s">
        <v>706</v>
      </c>
      <c r="G127" s="13">
        <v>1</v>
      </c>
      <c r="H127" s="14">
        <v>46287</v>
      </c>
      <c r="J127" s="14">
        <v>46287</v>
      </c>
      <c r="K127" s="14"/>
      <c r="L127" s="37">
        <f ca="1">Tabela1[[#This Row],[Prazo
Entrega]]-TODAY()</f>
        <v>42</v>
      </c>
      <c r="M127" s="37" t="str">
        <f ca="1">IF(L127&lt;0,"ATRASADO",IF(L127&lt;=15,"ATENÇÃO","NO PRAZO"))</f>
        <v>NO PRAZO</v>
      </c>
      <c r="N127" s="8" t="s">
        <v>34</v>
      </c>
      <c r="O127" s="38" t="s">
        <v>63</v>
      </c>
      <c r="P127" s="38" t="s">
        <v>63</v>
      </c>
      <c r="Q127" s="38" t="s">
        <v>63</v>
      </c>
      <c r="R127" s="38" t="s">
        <v>63</v>
      </c>
      <c r="S127" s="38" t="s">
        <v>63</v>
      </c>
      <c r="T127" s="38" t="s">
        <v>63</v>
      </c>
      <c r="U127" s="38" t="s">
        <v>63</v>
      </c>
      <c r="V127" s="38" t="s">
        <v>63</v>
      </c>
      <c r="W127" s="38" t="s">
        <v>63</v>
      </c>
      <c r="X127" s="8" t="str">
        <f>IF(I127="","AG. FUNDIDO",IF(Q127="AG","AG. USINAGEM","EM USINAGEM"))</f>
        <v>AG. FUNDIDO</v>
      </c>
      <c r="Z127" s="40"/>
      <c r="AA127" s="41"/>
      <c r="AB127" s="41"/>
      <c r="AC127" s="41"/>
      <c r="AD127" s="42"/>
    </row>
    <row r="128" spans="1:30" x14ac:dyDescent="0.25">
      <c r="A128" s="13">
        <v>2394</v>
      </c>
      <c r="B128" s="13">
        <v>2</v>
      </c>
      <c r="C128" s="13">
        <v>212089</v>
      </c>
      <c r="D128" s="13">
        <v>2</v>
      </c>
      <c r="E128" s="13" t="s">
        <v>33</v>
      </c>
      <c r="F128" s="13" t="s">
        <v>706</v>
      </c>
      <c r="G128" s="13">
        <v>1</v>
      </c>
      <c r="H128" s="14">
        <v>46287</v>
      </c>
      <c r="J128" s="14">
        <v>46287</v>
      </c>
      <c r="K128" s="14"/>
      <c r="L128" s="37">
        <f ca="1">Tabela1[[#This Row],[Prazo
Entrega]]-TODAY()</f>
        <v>42</v>
      </c>
      <c r="M128" s="37" t="str">
        <f t="shared" ref="M128:M132" ca="1" si="11">IF(L128&lt;0,"ATRASADO",IF(L128&lt;=15,"ATENÇÃO","NO PRAZO"))</f>
        <v>NO PRAZO</v>
      </c>
      <c r="N128" s="8" t="s">
        <v>34</v>
      </c>
      <c r="O128" s="38" t="s">
        <v>63</v>
      </c>
      <c r="P128" s="38" t="s">
        <v>63</v>
      </c>
      <c r="Q128" s="38" t="s">
        <v>63</v>
      </c>
      <c r="R128" s="38" t="s">
        <v>63</v>
      </c>
      <c r="S128" s="38" t="s">
        <v>63</v>
      </c>
      <c r="T128" s="38" t="s">
        <v>63</v>
      </c>
      <c r="U128" s="38" t="s">
        <v>63</v>
      </c>
      <c r="V128" s="38" t="s">
        <v>63</v>
      </c>
      <c r="W128" s="38" t="s">
        <v>63</v>
      </c>
      <c r="X128" s="8" t="str">
        <f t="shared" ref="X128:X132" si="12">IF(I128="","AG. FUNDIDO",IF(Q128="AG","AG. USINAGEM","EM USINAGEM"))</f>
        <v>AG. FUNDIDO</v>
      </c>
      <c r="Z128" s="40"/>
      <c r="AA128" s="41"/>
      <c r="AB128" s="41"/>
      <c r="AC128" s="41"/>
      <c r="AD128" s="42"/>
    </row>
    <row r="129" spans="1:30" x14ac:dyDescent="0.25">
      <c r="A129" s="13">
        <v>2394</v>
      </c>
      <c r="B129" s="13">
        <v>3</v>
      </c>
      <c r="C129" s="13">
        <v>212090</v>
      </c>
      <c r="D129" s="13">
        <v>3</v>
      </c>
      <c r="E129" s="13" t="s">
        <v>33</v>
      </c>
      <c r="F129" s="13" t="s">
        <v>706</v>
      </c>
      <c r="G129" s="13">
        <v>1</v>
      </c>
      <c r="H129" s="14">
        <v>46287</v>
      </c>
      <c r="J129" s="14">
        <v>46287</v>
      </c>
      <c r="K129" s="14"/>
      <c r="L129" s="37">
        <f ca="1">Tabela1[[#This Row],[Prazo
Entrega]]-TODAY()</f>
        <v>42</v>
      </c>
      <c r="M129" s="37" t="str">
        <f t="shared" ca="1" si="11"/>
        <v>NO PRAZO</v>
      </c>
      <c r="N129" s="8" t="s">
        <v>34</v>
      </c>
      <c r="O129" s="38" t="s">
        <v>63</v>
      </c>
      <c r="P129" s="38" t="s">
        <v>63</v>
      </c>
      <c r="Q129" s="38" t="s">
        <v>63</v>
      </c>
      <c r="R129" s="38" t="s">
        <v>63</v>
      </c>
      <c r="S129" s="38" t="s">
        <v>63</v>
      </c>
      <c r="T129" s="38" t="s">
        <v>63</v>
      </c>
      <c r="U129" s="38" t="s">
        <v>63</v>
      </c>
      <c r="V129" s="38" t="s">
        <v>63</v>
      </c>
      <c r="W129" s="38" t="s">
        <v>63</v>
      </c>
      <c r="X129" s="8" t="str">
        <f t="shared" si="12"/>
        <v>AG. FUNDIDO</v>
      </c>
      <c r="Z129" s="40"/>
      <c r="AA129" s="41"/>
      <c r="AB129" s="41"/>
      <c r="AC129" s="41"/>
      <c r="AD129" s="42"/>
    </row>
    <row r="130" spans="1:30" x14ac:dyDescent="0.25">
      <c r="A130" s="13">
        <v>2394</v>
      </c>
      <c r="B130" s="13">
        <v>4</v>
      </c>
      <c r="C130" s="13">
        <v>212091</v>
      </c>
      <c r="D130" s="13">
        <v>4</v>
      </c>
      <c r="E130" s="13" t="s">
        <v>33</v>
      </c>
      <c r="F130" s="13" t="s">
        <v>706</v>
      </c>
      <c r="G130" s="13">
        <v>1</v>
      </c>
      <c r="H130" s="14">
        <v>46287</v>
      </c>
      <c r="J130" s="14">
        <v>46287</v>
      </c>
      <c r="K130" s="14"/>
      <c r="L130" s="37">
        <f ca="1">Tabela1[[#This Row],[Prazo
Entrega]]-TODAY()</f>
        <v>42</v>
      </c>
      <c r="M130" s="37" t="str">
        <f t="shared" ca="1" si="11"/>
        <v>NO PRAZO</v>
      </c>
      <c r="N130" s="8" t="s">
        <v>34</v>
      </c>
      <c r="O130" s="38" t="s">
        <v>63</v>
      </c>
      <c r="P130" s="38" t="s">
        <v>63</v>
      </c>
      <c r="Q130" s="38" t="s">
        <v>63</v>
      </c>
      <c r="R130" s="38" t="s">
        <v>63</v>
      </c>
      <c r="S130" s="38" t="s">
        <v>63</v>
      </c>
      <c r="T130" s="38" t="s">
        <v>63</v>
      </c>
      <c r="U130" s="38" t="s">
        <v>63</v>
      </c>
      <c r="V130" s="38" t="s">
        <v>63</v>
      </c>
      <c r="W130" s="38" t="s">
        <v>63</v>
      </c>
      <c r="X130" s="8" t="str">
        <f t="shared" si="12"/>
        <v>AG. FUNDIDO</v>
      </c>
      <c r="Z130" s="40"/>
      <c r="AA130" s="41"/>
      <c r="AB130" s="41"/>
      <c r="AC130" s="41"/>
      <c r="AD130" s="42"/>
    </row>
    <row r="131" spans="1:30" x14ac:dyDescent="0.25">
      <c r="A131" s="13">
        <v>2394</v>
      </c>
      <c r="B131" s="13">
        <v>5</v>
      </c>
      <c r="C131" s="13">
        <v>212092</v>
      </c>
      <c r="D131" s="13">
        <v>5</v>
      </c>
      <c r="E131" s="13" t="s">
        <v>33</v>
      </c>
      <c r="F131" s="13" t="s">
        <v>706</v>
      </c>
      <c r="G131" s="13">
        <v>1</v>
      </c>
      <c r="H131" s="14">
        <v>46287</v>
      </c>
      <c r="J131" s="14">
        <v>46287</v>
      </c>
      <c r="K131" s="14"/>
      <c r="L131" s="37">
        <f ca="1">Tabela1[[#This Row],[Prazo
Entrega]]-TODAY()</f>
        <v>42</v>
      </c>
      <c r="M131" s="37" t="str">
        <f t="shared" ca="1" si="11"/>
        <v>NO PRAZO</v>
      </c>
      <c r="N131" s="8" t="s">
        <v>34</v>
      </c>
      <c r="O131" s="38" t="s">
        <v>63</v>
      </c>
      <c r="P131" s="38" t="s">
        <v>63</v>
      </c>
      <c r="Q131" s="38" t="s">
        <v>63</v>
      </c>
      <c r="R131" s="38" t="s">
        <v>63</v>
      </c>
      <c r="S131" s="38" t="s">
        <v>63</v>
      </c>
      <c r="T131" s="38" t="s">
        <v>63</v>
      </c>
      <c r="U131" s="38" t="s">
        <v>63</v>
      </c>
      <c r="V131" s="38" t="s">
        <v>63</v>
      </c>
      <c r="W131" s="38" t="s">
        <v>63</v>
      </c>
      <c r="X131" s="8" t="str">
        <f t="shared" si="12"/>
        <v>AG. FUNDIDO</v>
      </c>
      <c r="Z131" s="40"/>
      <c r="AA131" s="41"/>
      <c r="AB131" s="41"/>
      <c r="AC131" s="41"/>
      <c r="AD131" s="42"/>
    </row>
    <row r="132" spans="1:30" x14ac:dyDescent="0.25">
      <c r="A132" s="13">
        <v>2394</v>
      </c>
      <c r="B132" s="13">
        <v>6</v>
      </c>
      <c r="C132" s="13">
        <v>212093</v>
      </c>
      <c r="D132" s="13">
        <v>6</v>
      </c>
      <c r="E132" s="13" t="s">
        <v>33</v>
      </c>
      <c r="F132" s="13" t="s">
        <v>706</v>
      </c>
      <c r="G132" s="13">
        <v>1</v>
      </c>
      <c r="H132" s="14">
        <v>46287</v>
      </c>
      <c r="J132" s="14">
        <v>46287</v>
      </c>
      <c r="K132" s="14"/>
      <c r="L132" s="37">
        <f ca="1">Tabela1[[#This Row],[Prazo
Entrega]]-TODAY()</f>
        <v>42</v>
      </c>
      <c r="M132" s="37" t="str">
        <f t="shared" ca="1" si="11"/>
        <v>NO PRAZO</v>
      </c>
      <c r="N132" s="8" t="s">
        <v>34</v>
      </c>
      <c r="O132" s="38" t="s">
        <v>63</v>
      </c>
      <c r="P132" s="38" t="s">
        <v>63</v>
      </c>
      <c r="Q132" s="38" t="s">
        <v>63</v>
      </c>
      <c r="R132" s="38" t="s">
        <v>63</v>
      </c>
      <c r="S132" s="38" t="s">
        <v>63</v>
      </c>
      <c r="T132" s="38" t="s">
        <v>63</v>
      </c>
      <c r="U132" s="38" t="s">
        <v>63</v>
      </c>
      <c r="V132" s="38" t="s">
        <v>63</v>
      </c>
      <c r="W132" s="38" t="s">
        <v>63</v>
      </c>
      <c r="X132" s="8" t="str">
        <f t="shared" si="12"/>
        <v>AG. FUNDIDO</v>
      </c>
      <c r="Z132" s="40"/>
      <c r="AA132" s="41"/>
      <c r="AB132" s="41"/>
      <c r="AC132" s="41"/>
      <c r="AD132" s="42"/>
    </row>
    <row r="133" spans="1:30" x14ac:dyDescent="0.25">
      <c r="A133" s="12">
        <v>2375</v>
      </c>
      <c r="B133" s="12">
        <v>2</v>
      </c>
      <c r="C133" s="12">
        <v>143126</v>
      </c>
      <c r="D133" s="12">
        <v>0</v>
      </c>
      <c r="E133" s="12" t="s">
        <v>713</v>
      </c>
      <c r="F133" s="13" t="s">
        <v>9</v>
      </c>
      <c r="G133" s="13">
        <v>1</v>
      </c>
      <c r="H133" s="14">
        <v>46325</v>
      </c>
      <c r="J133" s="14">
        <v>46371</v>
      </c>
      <c r="K133" s="14"/>
      <c r="L133" s="37">
        <f ca="1">Tabela1[[#This Row],[Prazo
Entrega]]-TODAY()</f>
        <v>126</v>
      </c>
      <c r="M133" s="37" t="str">
        <f t="shared" ref="M133:M138" ca="1" si="13">IF(L133&lt;0,"ATRASADO",IF(L133&lt;=15,"ATENÇÃO","NO PRAZO"))</f>
        <v>NO PRAZO</v>
      </c>
      <c r="N133" s="8" t="s">
        <v>32</v>
      </c>
      <c r="O133" s="38">
        <v>46290</v>
      </c>
      <c r="P133" s="14" t="s">
        <v>58</v>
      </c>
      <c r="Q133" s="8" t="s">
        <v>388</v>
      </c>
      <c r="R133" s="8" t="s">
        <v>18</v>
      </c>
      <c r="S133" s="8" t="s">
        <v>67</v>
      </c>
      <c r="T133" s="8" t="s">
        <v>495</v>
      </c>
      <c r="U133" s="8" t="s">
        <v>468</v>
      </c>
      <c r="V133" s="8" t="s">
        <v>372</v>
      </c>
      <c r="W133" s="8" t="s">
        <v>63</v>
      </c>
      <c r="X133" s="8" t="str">
        <f t="shared" ref="X133:X138" si="14">IF(I133="","AG. FUNDIDO",IF(Q133="AG","AG. USINAGEM","EM USINAGEM"))</f>
        <v>AG. FUNDIDO</v>
      </c>
      <c r="Z133" s="40"/>
      <c r="AA133" s="41"/>
      <c r="AB133" s="41"/>
      <c r="AC133" s="41"/>
      <c r="AD133" s="42"/>
    </row>
    <row r="134" spans="1:30" x14ac:dyDescent="0.25">
      <c r="A134" s="12">
        <v>2375</v>
      </c>
      <c r="B134" s="12">
        <v>3</v>
      </c>
      <c r="C134" s="12">
        <v>143127</v>
      </c>
      <c r="D134" s="12">
        <v>0</v>
      </c>
      <c r="E134" s="12" t="s">
        <v>713</v>
      </c>
      <c r="F134" s="13" t="s">
        <v>9</v>
      </c>
      <c r="G134" s="13">
        <v>1</v>
      </c>
      <c r="H134" s="14">
        <v>46325</v>
      </c>
      <c r="J134" s="14">
        <v>46371</v>
      </c>
      <c r="K134" s="14"/>
      <c r="L134" s="37">
        <f ca="1">Tabela1[[#This Row],[Prazo
Entrega]]-TODAY()</f>
        <v>126</v>
      </c>
      <c r="M134" s="37" t="str">
        <f t="shared" ca="1" si="13"/>
        <v>NO PRAZO</v>
      </c>
      <c r="N134" s="8" t="s">
        <v>32</v>
      </c>
      <c r="O134" s="38">
        <v>46290</v>
      </c>
      <c r="P134" s="14" t="s">
        <v>58</v>
      </c>
      <c r="Q134" s="8" t="s">
        <v>388</v>
      </c>
      <c r="R134" s="8" t="s">
        <v>18</v>
      </c>
      <c r="S134" s="8" t="s">
        <v>67</v>
      </c>
      <c r="T134" s="8" t="s">
        <v>495</v>
      </c>
      <c r="U134" s="8" t="s">
        <v>468</v>
      </c>
      <c r="V134" s="8" t="s">
        <v>372</v>
      </c>
      <c r="W134" s="8" t="s">
        <v>63</v>
      </c>
      <c r="X134" s="8" t="str">
        <f t="shared" si="14"/>
        <v>AG. FUNDIDO</v>
      </c>
      <c r="Z134" s="40"/>
      <c r="AA134" s="41"/>
      <c r="AB134" s="41"/>
      <c r="AC134" s="41"/>
      <c r="AD134" s="42"/>
    </row>
    <row r="135" spans="1:30" x14ac:dyDescent="0.25">
      <c r="A135" s="12">
        <v>2375</v>
      </c>
      <c r="B135" s="12">
        <v>12</v>
      </c>
      <c r="C135" s="12">
        <v>143128</v>
      </c>
      <c r="D135" s="12">
        <v>0</v>
      </c>
      <c r="E135" s="12" t="s">
        <v>713</v>
      </c>
      <c r="F135" s="13" t="s">
        <v>11</v>
      </c>
      <c r="G135" s="13">
        <v>1</v>
      </c>
      <c r="H135" s="14">
        <v>46325</v>
      </c>
      <c r="J135" s="14">
        <v>46371</v>
      </c>
      <c r="K135" s="14"/>
      <c r="L135" s="37">
        <f ca="1">Tabela1[[#This Row],[Prazo
Entrega]]-TODAY()</f>
        <v>126</v>
      </c>
      <c r="M135" s="37" t="str">
        <f t="shared" ca="1" si="13"/>
        <v>NO PRAZO</v>
      </c>
      <c r="N135" s="8" t="s">
        <v>32</v>
      </c>
      <c r="O135" s="38">
        <v>46290</v>
      </c>
      <c r="P135" s="14" t="s">
        <v>58</v>
      </c>
      <c r="Q135" s="8" t="s">
        <v>388</v>
      </c>
      <c r="R135" s="8" t="s">
        <v>18</v>
      </c>
      <c r="S135" s="8" t="s">
        <v>67</v>
      </c>
      <c r="T135" s="8" t="s">
        <v>495</v>
      </c>
      <c r="U135" s="8" t="s">
        <v>468</v>
      </c>
      <c r="V135" s="8" t="s">
        <v>372</v>
      </c>
      <c r="W135" s="8" t="s">
        <v>63</v>
      </c>
      <c r="X135" s="8" t="str">
        <f t="shared" si="14"/>
        <v>AG. FUNDIDO</v>
      </c>
      <c r="Z135" s="40"/>
      <c r="AA135" s="41"/>
      <c r="AB135" s="41"/>
      <c r="AC135" s="41"/>
      <c r="AD135" s="42"/>
    </row>
    <row r="136" spans="1:30" x14ac:dyDescent="0.25">
      <c r="A136" s="12">
        <v>2375</v>
      </c>
      <c r="B136" s="12">
        <v>13</v>
      </c>
      <c r="C136" s="12">
        <v>143129</v>
      </c>
      <c r="D136" s="12">
        <v>0</v>
      </c>
      <c r="E136" s="12" t="s">
        <v>713</v>
      </c>
      <c r="F136" s="13" t="s">
        <v>11</v>
      </c>
      <c r="G136" s="13">
        <v>1</v>
      </c>
      <c r="H136" s="14">
        <v>46325</v>
      </c>
      <c r="J136" s="14">
        <v>46371</v>
      </c>
      <c r="K136" s="14"/>
      <c r="L136" s="37">
        <f ca="1">Tabela1[[#This Row],[Prazo
Entrega]]-TODAY()</f>
        <v>126</v>
      </c>
      <c r="M136" s="37" t="str">
        <f t="shared" ca="1" si="13"/>
        <v>NO PRAZO</v>
      </c>
      <c r="N136" s="8" t="s">
        <v>32</v>
      </c>
      <c r="O136" s="38">
        <v>46290</v>
      </c>
      <c r="P136" s="14" t="s">
        <v>58</v>
      </c>
      <c r="Q136" s="8" t="s">
        <v>388</v>
      </c>
      <c r="R136" s="8" t="s">
        <v>18</v>
      </c>
      <c r="S136" s="8" t="s">
        <v>67</v>
      </c>
      <c r="T136" s="8" t="s">
        <v>495</v>
      </c>
      <c r="U136" s="8" t="s">
        <v>468</v>
      </c>
      <c r="V136" s="8" t="s">
        <v>372</v>
      </c>
      <c r="W136" s="8" t="s">
        <v>63</v>
      </c>
      <c r="X136" s="8" t="str">
        <f t="shared" si="14"/>
        <v>AG. FUNDIDO</v>
      </c>
      <c r="Z136" s="40"/>
      <c r="AA136" s="41"/>
      <c r="AB136" s="41"/>
      <c r="AC136" s="41"/>
      <c r="AD136" s="42"/>
    </row>
    <row r="137" spans="1:30" x14ac:dyDescent="0.25">
      <c r="A137" s="12">
        <v>2375</v>
      </c>
      <c r="B137" s="12">
        <v>14</v>
      </c>
      <c r="C137" s="12">
        <v>143130</v>
      </c>
      <c r="D137" s="12">
        <v>0</v>
      </c>
      <c r="E137" s="12" t="s">
        <v>713</v>
      </c>
      <c r="F137" s="13" t="s">
        <v>11</v>
      </c>
      <c r="G137" s="13">
        <v>1</v>
      </c>
      <c r="H137" s="14">
        <v>46325</v>
      </c>
      <c r="J137" s="14">
        <v>46371</v>
      </c>
      <c r="K137" s="14"/>
      <c r="L137" s="37">
        <f ca="1">Tabela1[[#This Row],[Prazo
Entrega]]-TODAY()</f>
        <v>126</v>
      </c>
      <c r="M137" s="37" t="str">
        <f t="shared" ca="1" si="13"/>
        <v>NO PRAZO</v>
      </c>
      <c r="N137" s="8" t="s">
        <v>32</v>
      </c>
      <c r="O137" s="38">
        <v>46290</v>
      </c>
      <c r="P137" s="14" t="s">
        <v>58</v>
      </c>
      <c r="Q137" s="8" t="s">
        <v>388</v>
      </c>
      <c r="R137" s="8" t="s">
        <v>18</v>
      </c>
      <c r="S137" s="8" t="s">
        <v>67</v>
      </c>
      <c r="T137" s="8" t="s">
        <v>495</v>
      </c>
      <c r="U137" s="8" t="s">
        <v>468</v>
      </c>
      <c r="V137" s="8" t="s">
        <v>372</v>
      </c>
      <c r="W137" s="8" t="s">
        <v>63</v>
      </c>
      <c r="X137" s="8" t="str">
        <f t="shared" si="14"/>
        <v>AG. FUNDIDO</v>
      </c>
      <c r="Z137" s="40"/>
      <c r="AA137" s="41"/>
      <c r="AB137" s="41"/>
      <c r="AC137" s="41"/>
      <c r="AD137" s="42"/>
    </row>
    <row r="138" spans="1:30" x14ac:dyDescent="0.25">
      <c r="A138" s="12">
        <v>2375</v>
      </c>
      <c r="B138" s="12">
        <v>15</v>
      </c>
      <c r="C138" s="12">
        <v>143131</v>
      </c>
      <c r="D138" s="12">
        <v>0</v>
      </c>
      <c r="E138" s="12" t="s">
        <v>713</v>
      </c>
      <c r="F138" s="13" t="s">
        <v>11</v>
      </c>
      <c r="G138" s="13">
        <v>1</v>
      </c>
      <c r="H138" s="14">
        <v>46325</v>
      </c>
      <c r="J138" s="14">
        <v>46371</v>
      </c>
      <c r="K138" s="14"/>
      <c r="L138" s="37">
        <f ca="1">Tabela1[[#This Row],[Prazo
Entrega]]-TODAY()</f>
        <v>126</v>
      </c>
      <c r="M138" s="37" t="str">
        <f t="shared" ca="1" si="13"/>
        <v>NO PRAZO</v>
      </c>
      <c r="N138" s="8" t="s">
        <v>32</v>
      </c>
      <c r="O138" s="38">
        <v>46290</v>
      </c>
      <c r="P138" s="14" t="s">
        <v>58</v>
      </c>
      <c r="Q138" s="8" t="s">
        <v>388</v>
      </c>
      <c r="R138" s="8" t="s">
        <v>18</v>
      </c>
      <c r="S138" s="8" t="s">
        <v>67</v>
      </c>
      <c r="T138" s="8" t="s">
        <v>495</v>
      </c>
      <c r="U138" s="8" t="s">
        <v>468</v>
      </c>
      <c r="V138" s="8" t="s">
        <v>372</v>
      </c>
      <c r="W138" s="8" t="s">
        <v>63</v>
      </c>
      <c r="X138" s="8" t="str">
        <f t="shared" si="14"/>
        <v>AG. FUNDIDO</v>
      </c>
      <c r="Z138" s="40"/>
      <c r="AA138" s="41"/>
      <c r="AB138" s="41"/>
      <c r="AC138" s="41"/>
      <c r="AD138" s="42"/>
    </row>
    <row r="139" spans="1:30" x14ac:dyDescent="0.25">
      <c r="A139" s="12">
        <v>2393</v>
      </c>
      <c r="B139" s="12">
        <v>4</v>
      </c>
      <c r="C139" s="12">
        <v>157170</v>
      </c>
      <c r="D139" s="12">
        <v>0</v>
      </c>
      <c r="E139" s="13" t="s">
        <v>598</v>
      </c>
      <c r="F139" s="12" t="s">
        <v>11</v>
      </c>
      <c r="G139" s="13">
        <v>1</v>
      </c>
      <c r="H139" s="14">
        <v>46325</v>
      </c>
      <c r="J139" s="14">
        <v>46371</v>
      </c>
      <c r="K139" s="14"/>
      <c r="L139" s="37">
        <f ca="1">Tabela1[[#This Row],[Prazo
Entrega]]-TODAY()</f>
        <v>126</v>
      </c>
      <c r="M139" s="37" t="str">
        <f t="shared" ref="M139:M144" ca="1" si="15">IF(L139&lt;0,"ATRASADO",IF(L139&lt;=15,"ATENÇÃO","NO PRAZO"))</f>
        <v>NO PRAZO</v>
      </c>
      <c r="N139" s="8" t="s">
        <v>32</v>
      </c>
      <c r="O139" s="38">
        <v>46290</v>
      </c>
      <c r="P139" s="14" t="s">
        <v>58</v>
      </c>
      <c r="Q139" s="8" t="s">
        <v>388</v>
      </c>
      <c r="R139" s="8" t="s">
        <v>18</v>
      </c>
      <c r="S139" s="8" t="s">
        <v>67</v>
      </c>
      <c r="T139" s="8" t="s">
        <v>495</v>
      </c>
      <c r="U139" s="8" t="s">
        <v>468</v>
      </c>
      <c r="V139" s="8" t="s">
        <v>372</v>
      </c>
      <c r="W139" s="8" t="s">
        <v>63</v>
      </c>
      <c r="X139" s="8" t="str">
        <f t="shared" ref="X139:X144" si="16">IF(I139="","AG. FUNDIDO",IF(Q139="AG","AG. USINAGEM","EM USINAGEM"))</f>
        <v>AG. FUNDIDO</v>
      </c>
      <c r="Z139" s="40"/>
      <c r="AA139" s="41"/>
      <c r="AB139" s="41"/>
      <c r="AC139" s="41"/>
      <c r="AD139" s="42"/>
    </row>
    <row r="140" spans="1:30" x14ac:dyDescent="0.25">
      <c r="A140" s="12">
        <v>2393</v>
      </c>
      <c r="B140" s="12">
        <v>5</v>
      </c>
      <c r="C140" s="12">
        <v>157171</v>
      </c>
      <c r="D140" s="12">
        <v>0</v>
      </c>
      <c r="E140" s="13" t="s">
        <v>598</v>
      </c>
      <c r="F140" s="12" t="s">
        <v>11</v>
      </c>
      <c r="G140" s="13">
        <v>1</v>
      </c>
      <c r="H140" s="14">
        <v>46325</v>
      </c>
      <c r="J140" s="14">
        <v>46371</v>
      </c>
      <c r="K140" s="14"/>
      <c r="L140" s="37">
        <f ca="1">Tabela1[[#This Row],[Prazo
Entrega]]-TODAY()</f>
        <v>126</v>
      </c>
      <c r="M140" s="37" t="str">
        <f t="shared" ca="1" si="15"/>
        <v>NO PRAZO</v>
      </c>
      <c r="N140" s="8" t="s">
        <v>32</v>
      </c>
      <c r="O140" s="38">
        <v>46290</v>
      </c>
      <c r="P140" s="14" t="s">
        <v>58</v>
      </c>
      <c r="Q140" s="8" t="s">
        <v>388</v>
      </c>
      <c r="R140" s="8" t="s">
        <v>18</v>
      </c>
      <c r="S140" s="8" t="s">
        <v>67</v>
      </c>
      <c r="T140" s="8" t="s">
        <v>495</v>
      </c>
      <c r="U140" s="8" t="s">
        <v>468</v>
      </c>
      <c r="V140" s="8" t="s">
        <v>372</v>
      </c>
      <c r="W140" s="8" t="s">
        <v>63</v>
      </c>
      <c r="X140" s="8" t="str">
        <f t="shared" si="16"/>
        <v>AG. FUNDIDO</v>
      </c>
      <c r="Z140" s="40"/>
      <c r="AA140" s="41"/>
      <c r="AB140" s="41"/>
      <c r="AC140" s="41"/>
      <c r="AD140" s="42"/>
    </row>
    <row r="141" spans="1:30" x14ac:dyDescent="0.25">
      <c r="A141" s="12">
        <v>2393</v>
      </c>
      <c r="B141" s="12">
        <v>16</v>
      </c>
      <c r="C141" s="12">
        <v>157172</v>
      </c>
      <c r="D141" s="12">
        <v>0</v>
      </c>
      <c r="E141" s="13" t="s">
        <v>598</v>
      </c>
      <c r="F141" s="12" t="s">
        <v>8</v>
      </c>
      <c r="G141" s="13">
        <v>1</v>
      </c>
      <c r="H141" s="14">
        <v>46325</v>
      </c>
      <c r="J141" s="14">
        <v>46371</v>
      </c>
      <c r="K141" s="14"/>
      <c r="L141" s="37">
        <f ca="1">Tabela1[[#This Row],[Prazo
Entrega]]-TODAY()</f>
        <v>126</v>
      </c>
      <c r="M141" s="37" t="str">
        <f t="shared" ca="1" si="15"/>
        <v>NO PRAZO</v>
      </c>
      <c r="N141" s="8" t="s">
        <v>32</v>
      </c>
      <c r="O141" s="38">
        <v>46290</v>
      </c>
      <c r="P141" s="14" t="s">
        <v>58</v>
      </c>
      <c r="Q141" s="8" t="s">
        <v>388</v>
      </c>
      <c r="R141" s="8" t="s">
        <v>18</v>
      </c>
      <c r="S141" s="8" t="s">
        <v>67</v>
      </c>
      <c r="T141" s="8" t="s">
        <v>495</v>
      </c>
      <c r="U141" s="8" t="s">
        <v>468</v>
      </c>
      <c r="V141" s="8" t="s">
        <v>372</v>
      </c>
      <c r="W141" s="8" t="s">
        <v>63</v>
      </c>
      <c r="X141" s="8" t="str">
        <f t="shared" si="16"/>
        <v>AG. FUNDIDO</v>
      </c>
      <c r="Z141" s="40"/>
      <c r="AA141" s="41"/>
      <c r="AB141" s="41"/>
      <c r="AC141" s="41"/>
      <c r="AD141" s="42"/>
    </row>
    <row r="142" spans="1:30" x14ac:dyDescent="0.25">
      <c r="A142" s="12">
        <v>2393</v>
      </c>
      <c r="B142" s="12">
        <v>17</v>
      </c>
      <c r="C142" s="12">
        <v>157173</v>
      </c>
      <c r="D142" s="12">
        <v>0</v>
      </c>
      <c r="E142" s="13" t="s">
        <v>598</v>
      </c>
      <c r="F142" s="12" t="s">
        <v>8</v>
      </c>
      <c r="G142" s="13">
        <v>1</v>
      </c>
      <c r="H142" s="14">
        <v>46325</v>
      </c>
      <c r="J142" s="14">
        <v>46371</v>
      </c>
      <c r="K142" s="14"/>
      <c r="L142" s="37">
        <f ca="1">Tabela1[[#This Row],[Prazo
Entrega]]-TODAY()</f>
        <v>126</v>
      </c>
      <c r="M142" s="37" t="str">
        <f t="shared" ca="1" si="15"/>
        <v>NO PRAZO</v>
      </c>
      <c r="N142" s="8" t="s">
        <v>32</v>
      </c>
      <c r="O142" s="38">
        <v>46290</v>
      </c>
      <c r="P142" s="14" t="s">
        <v>58</v>
      </c>
      <c r="Q142" s="8" t="s">
        <v>388</v>
      </c>
      <c r="R142" s="8" t="s">
        <v>18</v>
      </c>
      <c r="S142" s="8" t="s">
        <v>67</v>
      </c>
      <c r="T142" s="8" t="s">
        <v>495</v>
      </c>
      <c r="U142" s="8" t="s">
        <v>468</v>
      </c>
      <c r="V142" s="8" t="s">
        <v>372</v>
      </c>
      <c r="W142" s="8" t="s">
        <v>63</v>
      </c>
      <c r="X142" s="8" t="str">
        <f t="shared" si="16"/>
        <v>AG. FUNDIDO</v>
      </c>
      <c r="Z142" s="40"/>
      <c r="AA142" s="41"/>
      <c r="AB142" s="41"/>
      <c r="AC142" s="41"/>
      <c r="AD142" s="42"/>
    </row>
    <row r="143" spans="1:30" x14ac:dyDescent="0.25">
      <c r="A143" s="12">
        <v>2393</v>
      </c>
      <c r="B143" s="12">
        <v>18</v>
      </c>
      <c r="C143" s="12">
        <v>157174</v>
      </c>
      <c r="D143" s="12">
        <v>0</v>
      </c>
      <c r="E143" s="13" t="s">
        <v>598</v>
      </c>
      <c r="F143" s="12" t="s">
        <v>8</v>
      </c>
      <c r="G143" s="13">
        <v>1</v>
      </c>
      <c r="H143" s="14">
        <v>46325</v>
      </c>
      <c r="J143" s="14">
        <v>46371</v>
      </c>
      <c r="K143" s="14"/>
      <c r="L143" s="37">
        <f ca="1">Tabela1[[#This Row],[Prazo
Entrega]]-TODAY()</f>
        <v>126</v>
      </c>
      <c r="M143" s="37" t="str">
        <f t="shared" ca="1" si="15"/>
        <v>NO PRAZO</v>
      </c>
      <c r="N143" s="8" t="s">
        <v>32</v>
      </c>
      <c r="O143" s="38">
        <v>46290</v>
      </c>
      <c r="P143" s="14" t="s">
        <v>58</v>
      </c>
      <c r="Q143" s="8" t="s">
        <v>388</v>
      </c>
      <c r="R143" s="8" t="s">
        <v>18</v>
      </c>
      <c r="S143" s="8" t="s">
        <v>67</v>
      </c>
      <c r="T143" s="8" t="s">
        <v>495</v>
      </c>
      <c r="U143" s="8" t="s">
        <v>468</v>
      </c>
      <c r="V143" s="8" t="s">
        <v>372</v>
      </c>
      <c r="W143" s="8" t="s">
        <v>63</v>
      </c>
      <c r="X143" s="8" t="str">
        <f t="shared" si="16"/>
        <v>AG. FUNDIDO</v>
      </c>
      <c r="Z143" s="40"/>
      <c r="AA143" s="41"/>
      <c r="AB143" s="41"/>
      <c r="AC143" s="41"/>
      <c r="AD143" s="42"/>
    </row>
    <row r="144" spans="1:30" x14ac:dyDescent="0.25">
      <c r="A144" s="12">
        <v>2393</v>
      </c>
      <c r="B144" s="12">
        <v>19</v>
      </c>
      <c r="C144" s="12">
        <v>157175</v>
      </c>
      <c r="D144" s="12">
        <v>0</v>
      </c>
      <c r="E144" s="13" t="s">
        <v>598</v>
      </c>
      <c r="F144" s="12" t="s">
        <v>8</v>
      </c>
      <c r="G144" s="13">
        <v>1</v>
      </c>
      <c r="H144" s="14">
        <v>46325</v>
      </c>
      <c r="J144" s="14">
        <v>46371</v>
      </c>
      <c r="K144" s="14"/>
      <c r="L144" s="37">
        <f ca="1">Tabela1[[#This Row],[Prazo
Entrega]]-TODAY()</f>
        <v>126</v>
      </c>
      <c r="M144" s="37" t="str">
        <f t="shared" ca="1" si="15"/>
        <v>NO PRAZO</v>
      </c>
      <c r="N144" s="8" t="s">
        <v>32</v>
      </c>
      <c r="O144" s="38">
        <v>46290</v>
      </c>
      <c r="P144" s="14" t="s">
        <v>58</v>
      </c>
      <c r="Q144" s="8" t="s">
        <v>388</v>
      </c>
      <c r="R144" s="8" t="s">
        <v>18</v>
      </c>
      <c r="S144" s="8" t="s">
        <v>67</v>
      </c>
      <c r="T144" s="8" t="s">
        <v>495</v>
      </c>
      <c r="U144" s="8" t="s">
        <v>468</v>
      </c>
      <c r="V144" s="8" t="s">
        <v>372</v>
      </c>
      <c r="W144" s="8" t="s">
        <v>63</v>
      </c>
      <c r="X144" s="8" t="str">
        <f t="shared" si="16"/>
        <v>AG. FUNDIDO</v>
      </c>
      <c r="Z144" s="40"/>
      <c r="AA144" s="41"/>
      <c r="AB144" s="41"/>
      <c r="AC144" s="41"/>
      <c r="AD144" s="42"/>
    </row>
    <row r="145" spans="1:30" x14ac:dyDescent="0.25">
      <c r="A145" s="13">
        <v>2398</v>
      </c>
      <c r="B145" s="13">
        <v>1</v>
      </c>
      <c r="C145" s="13">
        <v>27693</v>
      </c>
      <c r="D145" s="13">
        <v>1</v>
      </c>
      <c r="E145" s="13" t="s">
        <v>727</v>
      </c>
      <c r="F145" s="12" t="s">
        <v>122</v>
      </c>
      <c r="G145" s="13">
        <v>1</v>
      </c>
      <c r="H145" s="14">
        <v>46325</v>
      </c>
      <c r="J145" s="14">
        <v>46371</v>
      </c>
      <c r="K145" s="14"/>
      <c r="L145" s="37">
        <f ca="1">Tabela1[[#This Row],[Prazo
Entrega]]-TODAY()</f>
        <v>126</v>
      </c>
      <c r="M145" s="37" t="str">
        <f ca="1">IF(L145&lt;0,"ATRASADO",IF(L145&lt;=15,"ATENÇÃO","NO PRAZO"))</f>
        <v>NO PRAZO</v>
      </c>
      <c r="N145" s="8" t="s">
        <v>32</v>
      </c>
      <c r="O145" s="38">
        <v>46290</v>
      </c>
      <c r="P145" s="14" t="s">
        <v>58</v>
      </c>
      <c r="Q145" s="8" t="s">
        <v>388</v>
      </c>
      <c r="R145" s="8" t="s">
        <v>18</v>
      </c>
      <c r="S145" s="8" t="s">
        <v>67</v>
      </c>
      <c r="T145" s="8" t="s">
        <v>495</v>
      </c>
      <c r="U145" s="8" t="s">
        <v>468</v>
      </c>
      <c r="V145" s="8" t="s">
        <v>372</v>
      </c>
      <c r="W145" s="8" t="s">
        <v>63</v>
      </c>
      <c r="X145" s="8" t="str">
        <f>IF(I145="","AG. FUNDIDO",IF(Q145="AG","AG. USINAGEM","EM USINAGEM"))</f>
        <v>AG. FUNDIDO</v>
      </c>
      <c r="Z145" s="40"/>
      <c r="AA145" s="41"/>
      <c r="AB145" s="41"/>
      <c r="AC145" s="41"/>
      <c r="AD145" s="42"/>
    </row>
    <row r="146" spans="1:30" x14ac:dyDescent="0.25">
      <c r="A146" s="13">
        <v>2398</v>
      </c>
      <c r="B146" s="13">
        <v>2</v>
      </c>
      <c r="C146" s="13">
        <v>27693</v>
      </c>
      <c r="D146" s="13">
        <v>2</v>
      </c>
      <c r="E146" s="13" t="s">
        <v>727</v>
      </c>
      <c r="F146" s="12" t="s">
        <v>122</v>
      </c>
      <c r="G146" s="13">
        <v>1</v>
      </c>
      <c r="H146" s="14">
        <v>46325</v>
      </c>
      <c r="J146" s="14">
        <v>46371</v>
      </c>
      <c r="K146" s="14"/>
      <c r="L146" s="37">
        <f ca="1">Tabela1[[#This Row],[Prazo
Entrega]]-TODAY()</f>
        <v>126</v>
      </c>
      <c r="M146" s="37" t="str">
        <f t="shared" ref="M146:M150" ca="1" si="17">IF(L146&lt;0,"ATRASADO",IF(L146&lt;=15,"ATENÇÃO","NO PRAZO"))</f>
        <v>NO PRAZO</v>
      </c>
      <c r="N146" s="8" t="s">
        <v>32</v>
      </c>
      <c r="O146" s="38">
        <v>46290</v>
      </c>
      <c r="P146" s="14" t="s">
        <v>58</v>
      </c>
      <c r="Q146" s="8" t="s">
        <v>388</v>
      </c>
      <c r="R146" s="8" t="s">
        <v>18</v>
      </c>
      <c r="S146" s="8" t="s">
        <v>67</v>
      </c>
      <c r="T146" s="8" t="s">
        <v>495</v>
      </c>
      <c r="U146" s="8" t="s">
        <v>468</v>
      </c>
      <c r="V146" s="8" t="s">
        <v>372</v>
      </c>
      <c r="W146" s="8" t="s">
        <v>63</v>
      </c>
      <c r="X146" s="8" t="str">
        <f t="shared" ref="X146:X150" si="18">IF(I146="","AG. FUNDIDO",IF(Q146="AG","AG. USINAGEM","EM USINAGEM"))</f>
        <v>AG. FUNDIDO</v>
      </c>
      <c r="Z146" s="40"/>
      <c r="AA146" s="41"/>
      <c r="AB146" s="41"/>
      <c r="AC146" s="41"/>
      <c r="AD146" s="42"/>
    </row>
    <row r="147" spans="1:30" x14ac:dyDescent="0.25">
      <c r="A147" s="13">
        <v>2398</v>
      </c>
      <c r="B147" s="13">
        <v>3</v>
      </c>
      <c r="C147" s="13">
        <v>27693</v>
      </c>
      <c r="D147" s="13">
        <v>3</v>
      </c>
      <c r="E147" s="13" t="s">
        <v>727</v>
      </c>
      <c r="F147" s="12" t="s">
        <v>122</v>
      </c>
      <c r="G147" s="13">
        <v>1</v>
      </c>
      <c r="H147" s="14">
        <v>46325</v>
      </c>
      <c r="J147" s="14">
        <v>46371</v>
      </c>
      <c r="K147" s="14"/>
      <c r="L147" s="37">
        <f ca="1">Tabela1[[#This Row],[Prazo
Entrega]]-TODAY()</f>
        <v>126</v>
      </c>
      <c r="M147" s="37" t="str">
        <f t="shared" ca="1" si="17"/>
        <v>NO PRAZO</v>
      </c>
      <c r="N147" s="8" t="s">
        <v>32</v>
      </c>
      <c r="O147" s="38">
        <v>46290</v>
      </c>
      <c r="P147" s="14" t="s">
        <v>58</v>
      </c>
      <c r="Q147" s="8" t="s">
        <v>388</v>
      </c>
      <c r="R147" s="8" t="s">
        <v>18</v>
      </c>
      <c r="S147" s="8" t="s">
        <v>67</v>
      </c>
      <c r="T147" s="8" t="s">
        <v>495</v>
      </c>
      <c r="U147" s="8" t="s">
        <v>468</v>
      </c>
      <c r="V147" s="8" t="s">
        <v>372</v>
      </c>
      <c r="W147" s="8" t="s">
        <v>63</v>
      </c>
      <c r="X147" s="8" t="str">
        <f t="shared" si="18"/>
        <v>AG. FUNDIDO</v>
      </c>
      <c r="Z147" s="40"/>
      <c r="AA147" s="41"/>
      <c r="AB147" s="41"/>
      <c r="AC147" s="41"/>
      <c r="AD147" s="42"/>
    </row>
    <row r="148" spans="1:30" x14ac:dyDescent="0.25">
      <c r="A148" s="13">
        <v>2398</v>
      </c>
      <c r="B148" s="13">
        <v>10</v>
      </c>
      <c r="C148" s="13">
        <v>27693</v>
      </c>
      <c r="D148" s="13">
        <v>10</v>
      </c>
      <c r="E148" s="13" t="s">
        <v>727</v>
      </c>
      <c r="F148" s="12" t="s">
        <v>90</v>
      </c>
      <c r="G148" s="13">
        <v>1</v>
      </c>
      <c r="H148" s="14">
        <v>46325</v>
      </c>
      <c r="J148" s="14">
        <v>46371</v>
      </c>
      <c r="K148" s="14"/>
      <c r="L148" s="37">
        <f ca="1">Tabela1[[#This Row],[Prazo
Entrega]]-TODAY()</f>
        <v>126</v>
      </c>
      <c r="M148" s="37" t="str">
        <f t="shared" ca="1" si="17"/>
        <v>NO PRAZO</v>
      </c>
      <c r="N148" s="8" t="s">
        <v>32</v>
      </c>
      <c r="O148" s="38">
        <v>46290</v>
      </c>
      <c r="P148" s="14" t="s">
        <v>58</v>
      </c>
      <c r="Q148" s="8" t="s">
        <v>388</v>
      </c>
      <c r="R148" s="8" t="s">
        <v>18</v>
      </c>
      <c r="S148" s="8" t="s">
        <v>67</v>
      </c>
      <c r="T148" s="8" t="s">
        <v>495</v>
      </c>
      <c r="U148" s="8" t="s">
        <v>468</v>
      </c>
      <c r="V148" s="8" t="s">
        <v>372</v>
      </c>
      <c r="W148" s="8" t="s">
        <v>63</v>
      </c>
      <c r="X148" s="8" t="str">
        <f t="shared" si="18"/>
        <v>AG. FUNDIDO</v>
      </c>
      <c r="Z148" s="40"/>
      <c r="AA148" s="41"/>
      <c r="AB148" s="41"/>
      <c r="AC148" s="41"/>
      <c r="AD148" s="42"/>
    </row>
    <row r="149" spans="1:30" x14ac:dyDescent="0.25">
      <c r="A149" s="13">
        <v>2398</v>
      </c>
      <c r="B149" s="13">
        <v>11</v>
      </c>
      <c r="C149" s="13">
        <v>27693</v>
      </c>
      <c r="D149" s="13">
        <v>11</v>
      </c>
      <c r="E149" s="13" t="s">
        <v>727</v>
      </c>
      <c r="F149" s="12" t="s">
        <v>90</v>
      </c>
      <c r="G149" s="13">
        <v>1</v>
      </c>
      <c r="H149" s="14">
        <v>46325</v>
      </c>
      <c r="J149" s="14">
        <v>46371</v>
      </c>
      <c r="K149" s="14"/>
      <c r="L149" s="37">
        <f ca="1">Tabela1[[#This Row],[Prazo
Entrega]]-TODAY()</f>
        <v>126</v>
      </c>
      <c r="M149" s="37" t="str">
        <f t="shared" ca="1" si="17"/>
        <v>NO PRAZO</v>
      </c>
      <c r="N149" s="8" t="s">
        <v>32</v>
      </c>
      <c r="O149" s="38">
        <v>46290</v>
      </c>
      <c r="P149" s="14" t="s">
        <v>58</v>
      </c>
      <c r="Q149" s="8" t="s">
        <v>388</v>
      </c>
      <c r="R149" s="8" t="s">
        <v>18</v>
      </c>
      <c r="S149" s="8" t="s">
        <v>67</v>
      </c>
      <c r="T149" s="8" t="s">
        <v>495</v>
      </c>
      <c r="U149" s="8" t="s">
        <v>468</v>
      </c>
      <c r="V149" s="8" t="s">
        <v>372</v>
      </c>
      <c r="W149" s="8" t="s">
        <v>63</v>
      </c>
      <c r="X149" s="8" t="str">
        <f t="shared" si="18"/>
        <v>AG. FUNDIDO</v>
      </c>
      <c r="Z149" s="40"/>
      <c r="AA149" s="41"/>
      <c r="AB149" s="41"/>
      <c r="AC149" s="41"/>
      <c r="AD149" s="42"/>
    </row>
    <row r="150" spans="1:30" x14ac:dyDescent="0.25">
      <c r="A150" s="13">
        <v>2398</v>
      </c>
      <c r="B150" s="13">
        <v>12</v>
      </c>
      <c r="C150" s="13">
        <v>27693</v>
      </c>
      <c r="D150" s="13">
        <v>12</v>
      </c>
      <c r="E150" s="13" t="s">
        <v>727</v>
      </c>
      <c r="F150" s="12" t="s">
        <v>90</v>
      </c>
      <c r="G150" s="13">
        <v>1</v>
      </c>
      <c r="H150" s="14">
        <v>46325</v>
      </c>
      <c r="J150" s="14">
        <v>46371</v>
      </c>
      <c r="K150" s="14"/>
      <c r="L150" s="37">
        <f ca="1">Tabela1[[#This Row],[Prazo
Entrega]]-TODAY()</f>
        <v>126</v>
      </c>
      <c r="M150" s="37" t="str">
        <f t="shared" ca="1" si="17"/>
        <v>NO PRAZO</v>
      </c>
      <c r="N150" s="8" t="s">
        <v>32</v>
      </c>
      <c r="O150" s="38">
        <v>46290</v>
      </c>
      <c r="P150" s="14" t="s">
        <v>58</v>
      </c>
      <c r="Q150" s="8" t="s">
        <v>388</v>
      </c>
      <c r="R150" s="8" t="s">
        <v>18</v>
      </c>
      <c r="S150" s="8" t="s">
        <v>67</v>
      </c>
      <c r="T150" s="8" t="s">
        <v>495</v>
      </c>
      <c r="U150" s="8" t="s">
        <v>468</v>
      </c>
      <c r="V150" s="8" t="s">
        <v>372</v>
      </c>
      <c r="W150" s="8" t="s">
        <v>63</v>
      </c>
      <c r="X150" s="8" t="str">
        <f t="shared" si="18"/>
        <v>AG. FUNDIDO</v>
      </c>
      <c r="Z150" s="40"/>
      <c r="AA150" s="41"/>
      <c r="AB150" s="41"/>
      <c r="AC150" s="41"/>
      <c r="AD15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22"/>
  <sheetViews>
    <sheetView topLeftCell="A191" workbookViewId="0">
      <selection activeCell="F219" sqref="F219:F222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487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488</v>
      </c>
      <c r="R2" s="93" t="s">
        <v>489</v>
      </c>
      <c r="S2" s="93" t="s">
        <v>227</v>
      </c>
      <c r="T2" s="93" t="s">
        <v>370</v>
      </c>
      <c r="U2" s="96"/>
      <c r="V2" s="8" t="s">
        <v>322</v>
      </c>
      <c r="W2" s="8"/>
    </row>
    <row r="3" spans="1:23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488</v>
      </c>
      <c r="R3" s="93" t="s">
        <v>489</v>
      </c>
      <c r="S3" s="93" t="s">
        <v>227</v>
      </c>
      <c r="T3" s="93" t="s">
        <v>370</v>
      </c>
      <c r="U3" s="96"/>
      <c r="V3" s="8" t="s">
        <v>322</v>
      </c>
      <c r="W3" s="8"/>
    </row>
    <row r="4" spans="1:23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488</v>
      </c>
      <c r="R4" s="93" t="s">
        <v>489</v>
      </c>
      <c r="S4" s="93" t="s">
        <v>227</v>
      </c>
      <c r="T4" s="93" t="s">
        <v>370</v>
      </c>
      <c r="U4" s="96"/>
      <c r="V4" s="8" t="s">
        <v>322</v>
      </c>
      <c r="W4" s="8"/>
    </row>
    <row r="5" spans="1:23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488</v>
      </c>
      <c r="R5" s="93" t="s">
        <v>489</v>
      </c>
      <c r="S5" s="93" t="s">
        <v>227</v>
      </c>
      <c r="T5" s="93" t="s">
        <v>370</v>
      </c>
      <c r="U5" s="96"/>
      <c r="V5" s="8" t="s">
        <v>322</v>
      </c>
      <c r="W5" s="8"/>
    </row>
    <row r="6" spans="1:23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488</v>
      </c>
      <c r="R6" s="93" t="s">
        <v>489</v>
      </c>
      <c r="S6" s="93" t="s">
        <v>227</v>
      </c>
      <c r="T6" s="93" t="s">
        <v>370</v>
      </c>
      <c r="U6" s="96"/>
      <c r="V6" s="8" t="s">
        <v>322</v>
      </c>
      <c r="W6" s="8"/>
    </row>
    <row r="7" spans="1:23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488</v>
      </c>
      <c r="R7" s="93" t="s">
        <v>489</v>
      </c>
      <c r="S7" s="93" t="s">
        <v>227</v>
      </c>
      <c r="T7" s="93" t="s">
        <v>370</v>
      </c>
      <c r="U7" s="96"/>
      <c r="V7" s="8" t="s">
        <v>322</v>
      </c>
      <c r="W7" s="8"/>
    </row>
    <row r="8" spans="1:23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488</v>
      </c>
      <c r="R8" s="93" t="s">
        <v>489</v>
      </c>
      <c r="S8" s="93" t="s">
        <v>227</v>
      </c>
      <c r="T8" s="93" t="s">
        <v>370</v>
      </c>
      <c r="U8" s="96"/>
      <c r="V8" s="8" t="s">
        <v>322</v>
      </c>
      <c r="W8" s="8"/>
    </row>
    <row r="9" spans="1:23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488</v>
      </c>
      <c r="R9" s="93" t="s">
        <v>489</v>
      </c>
      <c r="S9" s="93" t="s">
        <v>227</v>
      </c>
      <c r="T9" s="93" t="s">
        <v>370</v>
      </c>
      <c r="U9" s="96"/>
      <c r="V9" s="8" t="s">
        <v>322</v>
      </c>
      <c r="W9" s="8"/>
    </row>
    <row r="10" spans="1:23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488</v>
      </c>
      <c r="R10" s="93" t="s">
        <v>489</v>
      </c>
      <c r="S10" s="93" t="s">
        <v>227</v>
      </c>
      <c r="T10" s="93" t="s">
        <v>370</v>
      </c>
      <c r="U10" s="96"/>
      <c r="V10" s="8" t="s">
        <v>322</v>
      </c>
      <c r="W10" s="8"/>
    </row>
    <row r="11" spans="1:23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488</v>
      </c>
      <c r="R11" s="93" t="s">
        <v>489</v>
      </c>
      <c r="S11" s="93" t="s">
        <v>227</v>
      </c>
      <c r="T11" s="93" t="s">
        <v>370</v>
      </c>
      <c r="U11" s="96"/>
      <c r="V11" s="8" t="s">
        <v>322</v>
      </c>
      <c r="W11" s="8" t="s">
        <v>239</v>
      </c>
    </row>
    <row r="12" spans="1:23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488</v>
      </c>
      <c r="R12" s="93" t="s">
        <v>489</v>
      </c>
      <c r="S12" s="93" t="s">
        <v>227</v>
      </c>
      <c r="T12" s="93" t="s">
        <v>370</v>
      </c>
      <c r="U12" s="96"/>
      <c r="V12" s="8" t="s">
        <v>322</v>
      </c>
      <c r="W12" s="8" t="s">
        <v>240</v>
      </c>
    </row>
    <row r="13" spans="1:23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488</v>
      </c>
      <c r="R13" s="93" t="s">
        <v>489</v>
      </c>
      <c r="S13" s="93" t="s">
        <v>227</v>
      </c>
      <c r="T13" s="93" t="s">
        <v>370</v>
      </c>
      <c r="U13" s="96"/>
      <c r="V13" s="8" t="s">
        <v>322</v>
      </c>
      <c r="W13" s="8" t="s">
        <v>241</v>
      </c>
    </row>
    <row r="14" spans="1:23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488</v>
      </c>
      <c r="R14" s="93" t="s">
        <v>489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488</v>
      </c>
      <c r="R15" s="93" t="s">
        <v>489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488</v>
      </c>
      <c r="R16" s="93" t="s">
        <v>489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488</v>
      </c>
      <c r="R17" s="93" t="s">
        <v>489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488</v>
      </c>
      <c r="R18" s="93" t="s">
        <v>489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488</v>
      </c>
      <c r="R19" s="93" t="s">
        <v>489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488</v>
      </c>
      <c r="R20" s="93" t="s">
        <v>489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488</v>
      </c>
      <c r="R21" s="93" t="s">
        <v>489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488</v>
      </c>
      <c r="R22" s="93" t="s">
        <v>489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488</v>
      </c>
      <c r="R23" s="93" t="s">
        <v>489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488</v>
      </c>
      <c r="R24" s="93" t="s">
        <v>489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488</v>
      </c>
      <c r="R25" s="93" t="s">
        <v>489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488</v>
      </c>
      <c r="R26" s="93" t="s">
        <v>489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488</v>
      </c>
      <c r="R27" s="93" t="s">
        <v>489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488</v>
      </c>
      <c r="R28" s="93" t="s">
        <v>489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488</v>
      </c>
      <c r="R29" s="93" t="s">
        <v>489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488</v>
      </c>
      <c r="R30" s="93" t="s">
        <v>489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488</v>
      </c>
      <c r="R31" s="93" t="s">
        <v>489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488</v>
      </c>
      <c r="R32" s="93" t="s">
        <v>489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46248</v>
      </c>
      <c r="K33" s="9"/>
      <c r="L33" s="8" t="s">
        <v>56</v>
      </c>
      <c r="M33" s="8" t="s">
        <v>56</v>
      </c>
      <c r="N33" s="10">
        <f ca="1">Tabela3[[#This Row],[Prazo
Entrega]]-TODAY()</f>
        <v>3</v>
      </c>
      <c r="O33" s="8" t="str">
        <f t="shared" ca="1" si="0"/>
        <v>ATENÇÃO</v>
      </c>
      <c r="P33" s="8" t="s">
        <v>32</v>
      </c>
      <c r="Q33" s="93" t="s">
        <v>488</v>
      </c>
      <c r="R33" s="93" t="s">
        <v>489</v>
      </c>
      <c r="S33" s="94" t="s">
        <v>490</v>
      </c>
      <c r="T33" s="96" t="s">
        <v>227</v>
      </c>
      <c r="U33" s="8" t="s">
        <v>370</v>
      </c>
      <c r="V33" s="8" t="s">
        <v>198</v>
      </c>
      <c r="W33" s="8"/>
    </row>
    <row r="34" spans="1:23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46248</v>
      </c>
      <c r="K34" s="9"/>
      <c r="L34" s="8" t="s">
        <v>56</v>
      </c>
      <c r="M34" s="8" t="s">
        <v>56</v>
      </c>
      <c r="N34" s="10">
        <f ca="1">Tabela3[[#This Row],[Prazo
Entrega]]-TODAY()</f>
        <v>3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488</v>
      </c>
      <c r="R34" s="93" t="s">
        <v>489</v>
      </c>
      <c r="S34" s="94" t="s">
        <v>490</v>
      </c>
      <c r="T34" s="96" t="s">
        <v>227</v>
      </c>
      <c r="U34" s="8" t="s">
        <v>370</v>
      </c>
      <c r="V34" s="8" t="s">
        <v>198</v>
      </c>
      <c r="W34" s="8"/>
    </row>
    <row r="35" spans="1:23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46248</v>
      </c>
      <c r="K35" s="9"/>
      <c r="L35" s="8" t="s">
        <v>56</v>
      </c>
      <c r="M35" s="8" t="s">
        <v>56</v>
      </c>
      <c r="N35" s="10">
        <f ca="1">Tabela3[[#This Row],[Prazo
Entrega]]-TODAY()</f>
        <v>3</v>
      </c>
      <c r="O35" s="8" t="str">
        <f t="shared" ca="1" si="1"/>
        <v>ATENÇÃO</v>
      </c>
      <c r="P35" s="8" t="s">
        <v>32</v>
      </c>
      <c r="Q35" s="93" t="s">
        <v>488</v>
      </c>
      <c r="R35" s="93" t="s">
        <v>489</v>
      </c>
      <c r="S35" s="94" t="s">
        <v>490</v>
      </c>
      <c r="T35" s="96" t="s">
        <v>227</v>
      </c>
      <c r="U35" s="8" t="s">
        <v>370</v>
      </c>
      <c r="V35" s="8" t="s">
        <v>198</v>
      </c>
      <c r="W35" s="8"/>
    </row>
    <row r="36" spans="1:23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46248</v>
      </c>
      <c r="K36" s="9"/>
      <c r="L36" s="8" t="s">
        <v>56</v>
      </c>
      <c r="M36" s="8" t="s">
        <v>56</v>
      </c>
      <c r="N36" s="10">
        <f ca="1">Tabela3[[#This Row],[Prazo
Entrega]]-TODAY()</f>
        <v>3</v>
      </c>
      <c r="O36" s="8" t="str">
        <f t="shared" ca="1" si="1"/>
        <v>ATENÇÃO</v>
      </c>
      <c r="P36" s="8" t="s">
        <v>32</v>
      </c>
      <c r="Q36" s="93" t="s">
        <v>488</v>
      </c>
      <c r="R36" s="93" t="s">
        <v>489</v>
      </c>
      <c r="S36" s="94" t="s">
        <v>490</v>
      </c>
      <c r="T36" s="96" t="s">
        <v>227</v>
      </c>
      <c r="U36" s="8" t="s">
        <v>370</v>
      </c>
      <c r="V36" s="8" t="s">
        <v>198</v>
      </c>
      <c r="W36" s="8"/>
    </row>
    <row r="37" spans="1:23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46248</v>
      </c>
      <c r="K37" s="9"/>
      <c r="L37" s="8" t="s">
        <v>56</v>
      </c>
      <c r="M37" s="8" t="s">
        <v>56</v>
      </c>
      <c r="N37" s="10">
        <f ca="1">Tabela3[[#This Row],[Prazo
Entrega]]-TODAY()</f>
        <v>3</v>
      </c>
      <c r="O37" s="8" t="str">
        <f t="shared" ca="1" si="1"/>
        <v>ATENÇÃO</v>
      </c>
      <c r="P37" s="8" t="s">
        <v>32</v>
      </c>
      <c r="Q37" s="93" t="s">
        <v>488</v>
      </c>
      <c r="R37" s="93" t="s">
        <v>489</v>
      </c>
      <c r="S37" s="94" t="s">
        <v>490</v>
      </c>
      <c r="T37" s="96" t="s">
        <v>227</v>
      </c>
      <c r="U37" s="8" t="s">
        <v>370</v>
      </c>
      <c r="V37" s="8" t="s">
        <v>198</v>
      </c>
      <c r="W37" s="8"/>
    </row>
    <row r="38" spans="1:23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21</v>
      </c>
      <c r="O38" s="8" t="str">
        <f t="shared" ca="1" si="1"/>
        <v>NO PRAZO</v>
      </c>
      <c r="P38" s="8" t="s">
        <v>32</v>
      </c>
      <c r="Q38" s="96" t="s">
        <v>488</v>
      </c>
      <c r="R38" s="96" t="s">
        <v>489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21</v>
      </c>
      <c r="O39" s="8" t="str">
        <f t="shared" ca="1" si="1"/>
        <v>NO PRAZO</v>
      </c>
      <c r="P39" s="8" t="s">
        <v>32</v>
      </c>
      <c r="Q39" s="96" t="s">
        <v>488</v>
      </c>
      <c r="R39" s="96" t="s">
        <v>489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21</v>
      </c>
      <c r="O40" s="8" t="str">
        <f t="shared" ca="1" si="1"/>
        <v>NO PRAZO</v>
      </c>
      <c r="P40" s="8" t="s">
        <v>32</v>
      </c>
      <c r="Q40" s="96" t="s">
        <v>488</v>
      </c>
      <c r="R40" s="96" t="s">
        <v>489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21</v>
      </c>
      <c r="O41" s="8" t="str">
        <f t="shared" ca="1" si="1"/>
        <v>NO PRAZO</v>
      </c>
      <c r="P41" s="8" t="s">
        <v>32</v>
      </c>
      <c r="Q41" s="96" t="s">
        <v>488</v>
      </c>
      <c r="R41" s="96" t="s">
        <v>489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21</v>
      </c>
      <c r="O42" s="8" t="str">
        <f t="shared" ca="1" si="1"/>
        <v>NO PRAZO</v>
      </c>
      <c r="P42" s="8" t="s">
        <v>32</v>
      </c>
      <c r="Q42" s="96" t="s">
        <v>488</v>
      </c>
      <c r="R42" s="96" t="s">
        <v>489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21</v>
      </c>
      <c r="O43" s="8" t="str">
        <f t="shared" ca="1" si="1"/>
        <v>NO PRAZO</v>
      </c>
      <c r="P43" s="8" t="s">
        <v>32</v>
      </c>
      <c r="Q43" s="96" t="s">
        <v>488</v>
      </c>
      <c r="R43" s="96" t="s">
        <v>489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21</v>
      </c>
      <c r="O44" s="8" t="str">
        <f t="shared" ca="1" si="1"/>
        <v>NO PRAZO</v>
      </c>
      <c r="P44" s="8" t="s">
        <v>32</v>
      </c>
      <c r="Q44" s="96" t="s">
        <v>488</v>
      </c>
      <c r="R44" s="96" t="s">
        <v>489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21</v>
      </c>
      <c r="O45" s="8" t="str">
        <f t="shared" ca="1" si="1"/>
        <v>NO PRAZO</v>
      </c>
      <c r="P45" s="8" t="s">
        <v>32</v>
      </c>
      <c r="Q45" s="96" t="s">
        <v>488</v>
      </c>
      <c r="R45" s="96" t="s">
        <v>489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21</v>
      </c>
      <c r="O46" s="8" t="str">
        <f t="shared" ca="1" si="1"/>
        <v>NO PRAZO</v>
      </c>
      <c r="P46" s="8" t="s">
        <v>32</v>
      </c>
      <c r="Q46" s="96" t="s">
        <v>488</v>
      </c>
      <c r="R46" s="96" t="s">
        <v>489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21</v>
      </c>
      <c r="O47" s="8" t="str">
        <f t="shared" ca="1" si="1"/>
        <v>NO PRAZO</v>
      </c>
      <c r="P47" s="8" t="s">
        <v>32</v>
      </c>
      <c r="Q47" s="96" t="s">
        <v>488</v>
      </c>
      <c r="R47" s="96" t="s">
        <v>489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21</v>
      </c>
      <c r="O48" s="8" t="str">
        <f t="shared" ca="1" si="1"/>
        <v>NO PRAZO</v>
      </c>
      <c r="P48" s="8" t="s">
        <v>32</v>
      </c>
      <c r="Q48" s="96" t="s">
        <v>488</v>
      </c>
      <c r="R48" s="96" t="s">
        <v>489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21</v>
      </c>
      <c r="O49" s="8" t="str">
        <f t="shared" ca="1" si="1"/>
        <v>NO PRAZO</v>
      </c>
      <c r="P49" s="8" t="s">
        <v>32</v>
      </c>
      <c r="Q49" s="96" t="s">
        <v>488</v>
      </c>
      <c r="R49" s="96" t="s">
        <v>489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31</v>
      </c>
      <c r="O50" s="8" t="str">
        <f t="shared" ca="1" si="1"/>
        <v>NO PRAZO</v>
      </c>
      <c r="P50" s="8" t="s">
        <v>32</v>
      </c>
      <c r="Q50" s="96" t="s">
        <v>488</v>
      </c>
      <c r="R50" s="96" t="s">
        <v>489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31</v>
      </c>
      <c r="O51" s="8" t="str">
        <f t="shared" ca="1" si="1"/>
        <v>NO PRAZO</v>
      </c>
      <c r="P51" s="8" t="s">
        <v>32</v>
      </c>
      <c r="Q51" s="96" t="s">
        <v>488</v>
      </c>
      <c r="R51" s="96" t="s">
        <v>489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9">
        <v>46231</v>
      </c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31</v>
      </c>
      <c r="O52" s="8" t="str">
        <f t="shared" ca="1" si="1"/>
        <v>NO PRAZO</v>
      </c>
      <c r="P52" s="8" t="s">
        <v>32</v>
      </c>
      <c r="Q52" s="96" t="s">
        <v>488</v>
      </c>
      <c r="R52" s="96" t="s">
        <v>489</v>
      </c>
      <c r="S52" s="96" t="s">
        <v>227</v>
      </c>
      <c r="T52" s="96" t="s">
        <v>370</v>
      </c>
      <c r="U52" s="96"/>
      <c r="V52" s="8" t="s">
        <v>198</v>
      </c>
      <c r="W52" s="8"/>
    </row>
    <row r="53" spans="1:23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31</v>
      </c>
      <c r="O53" s="8" t="str">
        <f t="shared" ca="1" si="1"/>
        <v>NO PRAZO</v>
      </c>
      <c r="P53" s="8" t="s">
        <v>32</v>
      </c>
      <c r="Q53" s="96" t="s">
        <v>488</v>
      </c>
      <c r="R53" s="96" t="s">
        <v>489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31</v>
      </c>
      <c r="O54" s="8" t="str">
        <f t="shared" ca="1" si="1"/>
        <v>NO PRAZO</v>
      </c>
      <c r="P54" s="8" t="s">
        <v>32</v>
      </c>
      <c r="Q54" s="96" t="s">
        <v>488</v>
      </c>
      <c r="R54" s="96" t="s">
        <v>489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31</v>
      </c>
      <c r="O55" s="8" t="str">
        <f t="shared" ca="1" si="1"/>
        <v>NO PRAZO</v>
      </c>
      <c r="P55" s="8" t="s">
        <v>32</v>
      </c>
      <c r="Q55" s="96" t="s">
        <v>488</v>
      </c>
      <c r="R55" s="96" t="s">
        <v>489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31</v>
      </c>
      <c r="O56" s="8" t="str">
        <f t="shared" ca="1" si="1"/>
        <v>NO PRAZO</v>
      </c>
      <c r="P56" s="8" t="s">
        <v>32</v>
      </c>
      <c r="Q56" s="96" t="s">
        <v>488</v>
      </c>
      <c r="R56" s="96" t="s">
        <v>489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31</v>
      </c>
      <c r="O57" s="8" t="str">
        <f t="shared" ca="1" si="1"/>
        <v>NO PRAZO</v>
      </c>
      <c r="P57" s="8" t="s">
        <v>32</v>
      </c>
      <c r="Q57" s="96" t="s">
        <v>488</v>
      </c>
      <c r="R57" s="96" t="s">
        <v>489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31</v>
      </c>
      <c r="O58" s="8" t="str">
        <f t="shared" ca="1" si="1"/>
        <v>NO PRAZO</v>
      </c>
      <c r="P58" s="8" t="s">
        <v>32</v>
      </c>
      <c r="Q58" s="96" t="s">
        <v>488</v>
      </c>
      <c r="R58" s="96" t="s">
        <v>489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31</v>
      </c>
      <c r="O59" s="8" t="str">
        <f t="shared" ca="1" si="1"/>
        <v>NO PRAZO</v>
      </c>
      <c r="P59" s="8" t="s">
        <v>32</v>
      </c>
      <c r="Q59" s="96" t="s">
        <v>488</v>
      </c>
      <c r="R59" s="96" t="s">
        <v>489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31</v>
      </c>
      <c r="O60" s="8" t="str">
        <f t="shared" ca="1" si="1"/>
        <v>NO PRAZO</v>
      </c>
      <c r="P60" s="8" t="s">
        <v>32</v>
      </c>
      <c r="Q60" s="96" t="s">
        <v>488</v>
      </c>
      <c r="R60" s="96" t="s">
        <v>489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31</v>
      </c>
      <c r="O61" s="8" t="str">
        <f t="shared" ca="1" si="1"/>
        <v>NO PRAZO</v>
      </c>
      <c r="P61" s="8" t="s">
        <v>32</v>
      </c>
      <c r="Q61" s="96" t="s">
        <v>488</v>
      </c>
      <c r="R61" s="96" t="s">
        <v>489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31</v>
      </c>
      <c r="O62" s="8" t="str">
        <f t="shared" ca="1" si="1"/>
        <v>NO PRAZO</v>
      </c>
      <c r="P62" s="8" t="s">
        <v>32</v>
      </c>
      <c r="Q62" s="96" t="s">
        <v>488</v>
      </c>
      <c r="R62" s="96" t="s">
        <v>489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31</v>
      </c>
      <c r="O63" s="8" t="str">
        <f t="shared" ca="1" si="1"/>
        <v>NO PRAZO</v>
      </c>
      <c r="P63" s="8" t="s">
        <v>32</v>
      </c>
      <c r="Q63" s="96" t="s">
        <v>488</v>
      </c>
      <c r="R63" s="96" t="s">
        <v>489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31</v>
      </c>
      <c r="O64" s="8" t="str">
        <f t="shared" ca="1" si="1"/>
        <v>NO PRAZO</v>
      </c>
      <c r="P64" s="8" t="s">
        <v>32</v>
      </c>
      <c r="Q64" s="96" t="s">
        <v>488</v>
      </c>
      <c r="R64" s="96" t="s">
        <v>489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41</v>
      </c>
      <c r="O65" s="8" t="str">
        <f t="shared" ca="1" si="1"/>
        <v>NO PRAZO</v>
      </c>
      <c r="P65" s="8" t="s">
        <v>32</v>
      </c>
      <c r="Q65" s="96" t="s">
        <v>488</v>
      </c>
      <c r="R65" s="96" t="s">
        <v>489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41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488</v>
      </c>
      <c r="R66" s="96" t="s">
        <v>489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41</v>
      </c>
      <c r="O67" s="8" t="str">
        <f t="shared" ca="1" si="2"/>
        <v>NO PRAZO</v>
      </c>
      <c r="P67" s="8" t="s">
        <v>32</v>
      </c>
      <c r="Q67" s="96" t="s">
        <v>488</v>
      </c>
      <c r="R67" s="96" t="s">
        <v>489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41</v>
      </c>
      <c r="O68" s="8" t="str">
        <f t="shared" ca="1" si="2"/>
        <v>NO PRAZO</v>
      </c>
      <c r="P68" s="8" t="s">
        <v>32</v>
      </c>
      <c r="Q68" s="96" t="s">
        <v>488</v>
      </c>
      <c r="R68" s="96" t="s">
        <v>489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41</v>
      </c>
      <c r="O69" s="8" t="str">
        <f t="shared" ca="1" si="2"/>
        <v>NO PRAZO</v>
      </c>
      <c r="P69" s="8" t="s">
        <v>32</v>
      </c>
      <c r="Q69" s="96" t="s">
        <v>488</v>
      </c>
      <c r="R69" s="96" t="s">
        <v>489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41</v>
      </c>
      <c r="O70" s="8" t="str">
        <f t="shared" ca="1" si="2"/>
        <v>NO PRAZO</v>
      </c>
      <c r="P70" s="8" t="s">
        <v>32</v>
      </c>
      <c r="Q70" s="96" t="s">
        <v>488</v>
      </c>
      <c r="R70" s="96" t="s">
        <v>489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41</v>
      </c>
      <c r="O71" s="8" t="str">
        <f t="shared" ca="1" si="2"/>
        <v>NO PRAZO</v>
      </c>
      <c r="P71" s="8" t="s">
        <v>32</v>
      </c>
      <c r="Q71" s="96" t="s">
        <v>488</v>
      </c>
      <c r="R71" s="96" t="s">
        <v>489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41</v>
      </c>
      <c r="O72" s="8" t="str">
        <f t="shared" ca="1" si="2"/>
        <v>NO PRAZO</v>
      </c>
      <c r="P72" s="8" t="s">
        <v>32</v>
      </c>
      <c r="Q72" s="96" t="s">
        <v>488</v>
      </c>
      <c r="R72" s="96" t="s">
        <v>489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41</v>
      </c>
      <c r="O73" s="8" t="str">
        <f t="shared" ca="1" si="2"/>
        <v>NO PRAZO</v>
      </c>
      <c r="P73" s="8" t="s">
        <v>32</v>
      </c>
      <c r="Q73" s="96" t="s">
        <v>488</v>
      </c>
      <c r="R73" s="96" t="s">
        <v>489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41</v>
      </c>
      <c r="O74" s="8" t="str">
        <f t="shared" ca="1" si="2"/>
        <v>NO PRAZO</v>
      </c>
      <c r="P74" s="8" t="s">
        <v>32</v>
      </c>
      <c r="Q74" s="96" t="s">
        <v>488</v>
      </c>
      <c r="R74" s="96" t="s">
        <v>489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41</v>
      </c>
      <c r="O75" s="8" t="str">
        <f t="shared" ca="1" si="2"/>
        <v>NO PRAZO</v>
      </c>
      <c r="P75" s="8" t="s">
        <v>32</v>
      </c>
      <c r="Q75" s="96" t="s">
        <v>488</v>
      </c>
      <c r="R75" s="96" t="s">
        <v>489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41</v>
      </c>
      <c r="O76" s="8" t="str">
        <f t="shared" ca="1" si="2"/>
        <v>NO PRAZO</v>
      </c>
      <c r="P76" s="8" t="s">
        <v>32</v>
      </c>
      <c r="Q76" s="96" t="s">
        <v>488</v>
      </c>
      <c r="R76" s="96" t="s">
        <v>489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41</v>
      </c>
      <c r="O77" s="8" t="str">
        <f t="shared" ca="1" si="2"/>
        <v>NO PRAZO</v>
      </c>
      <c r="P77" s="8" t="s">
        <v>32</v>
      </c>
      <c r="Q77" s="96" t="s">
        <v>488</v>
      </c>
      <c r="R77" s="96" t="s">
        <v>489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41</v>
      </c>
      <c r="O78" s="8" t="str">
        <f t="shared" ca="1" si="2"/>
        <v>NO PRAZO</v>
      </c>
      <c r="P78" s="8" t="s">
        <v>32</v>
      </c>
      <c r="Q78" s="96" t="s">
        <v>488</v>
      </c>
      <c r="R78" s="96" t="s">
        <v>489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41</v>
      </c>
      <c r="O79" s="8" t="str">
        <f t="shared" ca="1" si="2"/>
        <v>NO PRAZO</v>
      </c>
      <c r="P79" s="8" t="s">
        <v>32</v>
      </c>
      <c r="Q79" s="96" t="s">
        <v>488</v>
      </c>
      <c r="R79" s="96" t="s">
        <v>489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21</v>
      </c>
      <c r="O80" s="8" t="str">
        <f t="shared" ca="1" si="2"/>
        <v>NO PRAZO</v>
      </c>
      <c r="P80" s="8" t="s">
        <v>32</v>
      </c>
      <c r="Q80" s="96" t="s">
        <v>488</v>
      </c>
      <c r="R80" s="96" t="s">
        <v>489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21</v>
      </c>
      <c r="O81" s="8" t="str">
        <f t="shared" ca="1" si="2"/>
        <v>NO PRAZO</v>
      </c>
      <c r="P81" s="8" t="s">
        <v>32</v>
      </c>
      <c r="Q81" s="96" t="s">
        <v>488</v>
      </c>
      <c r="R81" s="96" t="s">
        <v>489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21</v>
      </c>
      <c r="O82" s="8" t="str">
        <f t="shared" ca="1" si="2"/>
        <v>NO PRAZO</v>
      </c>
      <c r="P82" s="8" t="s">
        <v>32</v>
      </c>
      <c r="Q82" s="96" t="s">
        <v>488</v>
      </c>
      <c r="R82" s="96" t="s">
        <v>489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51</v>
      </c>
      <c r="O83" s="8" t="str">
        <f t="shared" ca="1" si="2"/>
        <v>NO PRAZO</v>
      </c>
      <c r="P83" s="8" t="s">
        <v>32</v>
      </c>
      <c r="Q83" s="96" t="s">
        <v>488</v>
      </c>
      <c r="R83" s="96" t="s">
        <v>489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51</v>
      </c>
      <c r="O84" s="8" t="str">
        <f t="shared" ca="1" si="2"/>
        <v>NO PRAZO</v>
      </c>
      <c r="P84" s="8" t="s">
        <v>32</v>
      </c>
      <c r="Q84" s="96" t="s">
        <v>488</v>
      </c>
      <c r="R84" s="96" t="s">
        <v>489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51</v>
      </c>
      <c r="O85" s="8" t="str">
        <f t="shared" ca="1" si="2"/>
        <v>NO PRAZO</v>
      </c>
      <c r="P85" s="8" t="s">
        <v>32</v>
      </c>
      <c r="Q85" s="96" t="s">
        <v>488</v>
      </c>
      <c r="R85" s="96" t="s">
        <v>489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51</v>
      </c>
      <c r="O86" s="8" t="str">
        <f t="shared" ca="1" si="2"/>
        <v>NO PRAZO</v>
      </c>
      <c r="P86" s="8" t="s">
        <v>32</v>
      </c>
      <c r="Q86" s="96" t="s">
        <v>488</v>
      </c>
      <c r="R86" s="96" t="s">
        <v>489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51</v>
      </c>
      <c r="O87" s="8" t="str">
        <f t="shared" ca="1" si="2"/>
        <v>NO PRAZO</v>
      </c>
      <c r="P87" s="8" t="s">
        <v>32</v>
      </c>
      <c r="Q87" s="96" t="s">
        <v>488</v>
      </c>
      <c r="R87" s="96" t="s">
        <v>489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51</v>
      </c>
      <c r="O88" s="8" t="str">
        <f t="shared" ca="1" si="2"/>
        <v>NO PRAZO</v>
      </c>
      <c r="P88" s="8" t="s">
        <v>32</v>
      </c>
      <c r="Q88" s="96" t="s">
        <v>488</v>
      </c>
      <c r="R88" s="96" t="s">
        <v>489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51</v>
      </c>
      <c r="O89" s="8" t="str">
        <f t="shared" ca="1" si="2"/>
        <v>NO PRAZO</v>
      </c>
      <c r="P89" s="8" t="s">
        <v>32</v>
      </c>
      <c r="Q89" s="96" t="s">
        <v>488</v>
      </c>
      <c r="R89" s="96" t="s">
        <v>489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51</v>
      </c>
      <c r="O90" s="8" t="str">
        <f t="shared" ca="1" si="2"/>
        <v>NO PRAZO</v>
      </c>
      <c r="P90" s="8" t="s">
        <v>32</v>
      </c>
      <c r="Q90" s="96" t="s">
        <v>488</v>
      </c>
      <c r="R90" s="96" t="s">
        <v>489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51</v>
      </c>
      <c r="O91" s="8" t="str">
        <f t="shared" ca="1" si="2"/>
        <v>NO PRAZO</v>
      </c>
      <c r="P91" s="8" t="s">
        <v>32</v>
      </c>
      <c r="Q91" s="96" t="s">
        <v>488</v>
      </c>
      <c r="R91" s="96" t="s">
        <v>489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9">
        <v>46231</v>
      </c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80</v>
      </c>
      <c r="O92" s="8" t="str">
        <f ca="1">IF(N92&lt;0,"ATRASADO",IF(N92&lt;=15,"ATENÇÃO","NO PRAZO"))</f>
        <v>NO PRAZO</v>
      </c>
      <c r="P92" s="8" t="s">
        <v>32</v>
      </c>
      <c r="Q92" s="96" t="s">
        <v>488</v>
      </c>
      <c r="R92" s="96" t="s">
        <v>489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9">
        <v>46231</v>
      </c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80</v>
      </c>
      <c r="O93" s="8" t="str">
        <f ca="1">IF(N93&lt;0,"ATRASADO",IF(N93&lt;=15,"ATENÇÃO","NO PRAZO"))</f>
        <v>NO PRAZO</v>
      </c>
      <c r="P93" s="8" t="s">
        <v>32</v>
      </c>
      <c r="Q93" s="96" t="s">
        <v>488</v>
      </c>
      <c r="R93" s="96" t="s">
        <v>489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80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488</v>
      </c>
      <c r="R94" s="96" t="s">
        <v>489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80</v>
      </c>
      <c r="O95" s="8" t="str">
        <f t="shared" ca="1" si="3"/>
        <v>NO PRAZO</v>
      </c>
      <c r="P95" s="8" t="s">
        <v>32</v>
      </c>
      <c r="Q95" s="96" t="s">
        <v>488</v>
      </c>
      <c r="R95" s="96" t="s">
        <v>489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80</v>
      </c>
      <c r="O96" s="8" t="str">
        <f t="shared" ca="1" si="3"/>
        <v>NO PRAZO</v>
      </c>
      <c r="P96" s="8" t="s">
        <v>32</v>
      </c>
      <c r="Q96" s="96" t="s">
        <v>488</v>
      </c>
      <c r="R96" s="96" t="s">
        <v>489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80</v>
      </c>
      <c r="O97" s="8" t="str">
        <f t="shared" ca="1" si="3"/>
        <v>NO PRAZO</v>
      </c>
      <c r="P97" s="8" t="s">
        <v>32</v>
      </c>
      <c r="Q97" s="96" t="s">
        <v>488</v>
      </c>
      <c r="R97" s="96" t="s">
        <v>489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9">
        <v>46231</v>
      </c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80</v>
      </c>
      <c r="O98" s="8" t="str">
        <f t="shared" ca="1" si="3"/>
        <v>NO PRAZO</v>
      </c>
      <c r="P98" s="8" t="s">
        <v>32</v>
      </c>
      <c r="Q98" s="96" t="s">
        <v>488</v>
      </c>
      <c r="R98" s="96" t="s">
        <v>489</v>
      </c>
      <c r="S98" s="96" t="s">
        <v>227</v>
      </c>
      <c r="T98" s="96" t="s">
        <v>370</v>
      </c>
      <c r="U98" s="96"/>
      <c r="V98" s="8" t="s">
        <v>198</v>
      </c>
      <c r="W98" s="8"/>
    </row>
    <row r="99" spans="1:23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9">
        <v>46231</v>
      </c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80</v>
      </c>
      <c r="O99" s="8" t="str">
        <f t="shared" ca="1" si="3"/>
        <v>NO PRAZO</v>
      </c>
      <c r="P99" s="8" t="s">
        <v>32</v>
      </c>
      <c r="Q99" s="96" t="s">
        <v>488</v>
      </c>
      <c r="R99" s="96" t="s">
        <v>489</v>
      </c>
      <c r="S99" s="96" t="s">
        <v>227</v>
      </c>
      <c r="T99" s="96" t="s">
        <v>370</v>
      </c>
      <c r="U99" s="96"/>
      <c r="V99" s="8" t="s">
        <v>198</v>
      </c>
      <c r="W99" s="8"/>
    </row>
    <row r="100" spans="1:23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80</v>
      </c>
      <c r="O100" s="8" t="str">
        <f t="shared" ca="1" si="3"/>
        <v>NO PRAZO</v>
      </c>
      <c r="P100" s="8" t="s">
        <v>32</v>
      </c>
      <c r="Q100" s="96" t="s">
        <v>488</v>
      </c>
      <c r="R100" s="96" t="s">
        <v>489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80</v>
      </c>
      <c r="O101" s="8" t="str">
        <f t="shared" ca="1" si="3"/>
        <v>NO PRAZO</v>
      </c>
      <c r="P101" s="8" t="s">
        <v>32</v>
      </c>
      <c r="Q101" s="96" t="s">
        <v>488</v>
      </c>
      <c r="R101" s="96" t="s">
        <v>489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9">
        <v>46231</v>
      </c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80</v>
      </c>
      <c r="O102" s="8" t="str">
        <f t="shared" ca="1" si="3"/>
        <v>NO PRAZO</v>
      </c>
      <c r="P102" s="8" t="s">
        <v>32</v>
      </c>
      <c r="Q102" s="96" t="s">
        <v>488</v>
      </c>
      <c r="R102" s="96" t="s">
        <v>489</v>
      </c>
      <c r="S102" s="96" t="s">
        <v>227</v>
      </c>
      <c r="T102" s="96" t="s">
        <v>370</v>
      </c>
      <c r="U102" s="96"/>
      <c r="V102" s="8" t="s">
        <v>198</v>
      </c>
      <c r="W102" s="8"/>
    </row>
    <row r="103" spans="1:23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9">
        <v>46231</v>
      </c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80</v>
      </c>
      <c r="O103" s="8" t="str">
        <f t="shared" ca="1" si="3"/>
        <v>NO PRAZO</v>
      </c>
      <c r="P103" s="8" t="s">
        <v>32</v>
      </c>
      <c r="Q103" s="96" t="s">
        <v>488</v>
      </c>
      <c r="R103" s="96" t="s">
        <v>489</v>
      </c>
      <c r="S103" s="96" t="s">
        <v>227</v>
      </c>
      <c r="T103" s="96" t="s">
        <v>370</v>
      </c>
      <c r="U103" s="96"/>
      <c r="V103" s="8" t="s">
        <v>198</v>
      </c>
      <c r="W103" s="8"/>
    </row>
    <row r="104" spans="1:23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80</v>
      </c>
      <c r="O104" s="8" t="str">
        <f t="shared" ca="1" si="3"/>
        <v>NO PRAZO</v>
      </c>
      <c r="P104" s="8" t="s">
        <v>32</v>
      </c>
      <c r="Q104" s="96" t="s">
        <v>488</v>
      </c>
      <c r="R104" s="96" t="s">
        <v>489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9">
        <v>46231</v>
      </c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80</v>
      </c>
      <c r="O105" s="8" t="str">
        <f t="shared" ca="1" si="3"/>
        <v>NO PRAZO</v>
      </c>
      <c r="P105" s="8" t="s">
        <v>32</v>
      </c>
      <c r="Q105" s="96" t="s">
        <v>488</v>
      </c>
      <c r="R105" s="96" t="s">
        <v>489</v>
      </c>
      <c r="S105" s="96" t="s">
        <v>227</v>
      </c>
      <c r="T105" s="96" t="s">
        <v>370</v>
      </c>
      <c r="U105" s="96"/>
      <c r="V105" s="8" t="s">
        <v>198</v>
      </c>
      <c r="W105" s="8"/>
    </row>
    <row r="106" spans="1:23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80</v>
      </c>
      <c r="O106" s="8" t="str">
        <f t="shared" ca="1" si="3"/>
        <v>NO PRAZO</v>
      </c>
      <c r="P106" s="8" t="s">
        <v>32</v>
      </c>
      <c r="Q106" s="96" t="s">
        <v>488</v>
      </c>
      <c r="R106" s="96" t="s">
        <v>489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9">
        <v>46231</v>
      </c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80</v>
      </c>
      <c r="O107" s="8" t="str">
        <f t="shared" ca="1" si="3"/>
        <v>NO PRAZO</v>
      </c>
      <c r="P107" s="8" t="s">
        <v>32</v>
      </c>
      <c r="Q107" s="96" t="s">
        <v>488</v>
      </c>
      <c r="R107" s="96" t="s">
        <v>489</v>
      </c>
      <c r="S107" s="96" t="s">
        <v>227</v>
      </c>
      <c r="T107" s="96" t="s">
        <v>370</v>
      </c>
      <c r="U107" s="96"/>
      <c r="V107" s="8" t="s">
        <v>198</v>
      </c>
      <c r="W107" s="8"/>
    </row>
    <row r="108" spans="1:23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80</v>
      </c>
      <c r="O108" s="8" t="str">
        <f t="shared" ca="1" si="3"/>
        <v>NO PRAZO</v>
      </c>
      <c r="P108" s="8" t="s">
        <v>32</v>
      </c>
      <c r="Q108" s="96" t="s">
        <v>488</v>
      </c>
      <c r="R108" s="96" t="s">
        <v>489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9">
        <v>46231</v>
      </c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80</v>
      </c>
      <c r="O109" s="8" t="str">
        <f t="shared" ca="1" si="3"/>
        <v>NO PRAZO</v>
      </c>
      <c r="P109" s="8" t="s">
        <v>32</v>
      </c>
      <c r="Q109" s="96" t="s">
        <v>488</v>
      </c>
      <c r="R109" s="96" t="s">
        <v>489</v>
      </c>
      <c r="S109" s="96" t="s">
        <v>227</v>
      </c>
      <c r="T109" s="96" t="s">
        <v>370</v>
      </c>
      <c r="U109" s="96"/>
      <c r="V109" s="8" t="s">
        <v>198</v>
      </c>
      <c r="W109" s="8"/>
    </row>
    <row r="110" spans="1:23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80</v>
      </c>
      <c r="O110" s="8" t="str">
        <f t="shared" ca="1" si="3"/>
        <v>NO PRAZO</v>
      </c>
      <c r="P110" s="8" t="s">
        <v>32</v>
      </c>
      <c r="Q110" s="96" t="s">
        <v>488</v>
      </c>
      <c r="R110" s="96" t="s">
        <v>489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80</v>
      </c>
      <c r="O111" s="8" t="str">
        <f t="shared" ca="1" si="3"/>
        <v>NO PRAZO</v>
      </c>
      <c r="P111" s="8" t="s">
        <v>32</v>
      </c>
      <c r="Q111" s="96" t="s">
        <v>488</v>
      </c>
      <c r="R111" s="96" t="s">
        <v>489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80</v>
      </c>
      <c r="O112" s="8" t="str">
        <f t="shared" ca="1" si="3"/>
        <v>NO PRAZO</v>
      </c>
      <c r="P112" s="8" t="s">
        <v>32</v>
      </c>
      <c r="Q112" s="96" t="s">
        <v>488</v>
      </c>
      <c r="R112" s="96" t="s">
        <v>489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80</v>
      </c>
      <c r="O113" s="8" t="str">
        <f t="shared" ca="1" si="3"/>
        <v>NO PRAZO</v>
      </c>
      <c r="P113" s="8" t="s">
        <v>32</v>
      </c>
      <c r="Q113" s="96" t="s">
        <v>488</v>
      </c>
      <c r="R113" s="96" t="s">
        <v>489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80</v>
      </c>
      <c r="O114" s="8" t="str">
        <f t="shared" ca="1" si="3"/>
        <v>NO PRAZO</v>
      </c>
      <c r="P114" s="8" t="s">
        <v>32</v>
      </c>
      <c r="Q114" s="96" t="s">
        <v>488</v>
      </c>
      <c r="R114" s="96" t="s">
        <v>489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9">
        <v>46231</v>
      </c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80</v>
      </c>
      <c r="O115" s="8" t="str">
        <f t="shared" ca="1" si="3"/>
        <v>NO PRAZO</v>
      </c>
      <c r="P115" s="8" t="s">
        <v>32</v>
      </c>
      <c r="Q115" s="96" t="s">
        <v>488</v>
      </c>
      <c r="R115" s="96" t="s">
        <v>489</v>
      </c>
      <c r="S115" s="96" t="s">
        <v>227</v>
      </c>
      <c r="T115" s="96" t="s">
        <v>370</v>
      </c>
      <c r="U115" s="96"/>
      <c r="V115" s="8" t="s">
        <v>198</v>
      </c>
      <c r="W115" s="8"/>
    </row>
    <row r="116" spans="1:23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80</v>
      </c>
      <c r="O116" s="8" t="str">
        <f t="shared" ca="1" si="3"/>
        <v>NO PRAZO</v>
      </c>
      <c r="P116" s="8" t="s">
        <v>32</v>
      </c>
      <c r="Q116" s="96" t="s">
        <v>488</v>
      </c>
      <c r="R116" s="96" t="s">
        <v>489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80</v>
      </c>
      <c r="O117" s="8" t="str">
        <f t="shared" ca="1" si="3"/>
        <v>NO PRAZO</v>
      </c>
      <c r="P117" s="8" t="s">
        <v>32</v>
      </c>
      <c r="Q117" s="96" t="s">
        <v>488</v>
      </c>
      <c r="R117" s="96" t="s">
        <v>489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9">
        <v>46231</v>
      </c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80</v>
      </c>
      <c r="O118" s="8" t="str">
        <f t="shared" ca="1" si="3"/>
        <v>NO PRAZO</v>
      </c>
      <c r="P118" s="8" t="s">
        <v>32</v>
      </c>
      <c r="Q118" s="96" t="s">
        <v>488</v>
      </c>
      <c r="R118" s="96" t="s">
        <v>489</v>
      </c>
      <c r="S118" s="96" t="s">
        <v>227</v>
      </c>
      <c r="T118" s="96" t="s">
        <v>370</v>
      </c>
      <c r="U118" s="96"/>
      <c r="V118" s="8" t="s">
        <v>198</v>
      </c>
      <c r="W118" s="8"/>
    </row>
    <row r="119" spans="1:23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9">
        <v>46231</v>
      </c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80</v>
      </c>
      <c r="O119" s="8" t="str">
        <f t="shared" ca="1" si="3"/>
        <v>NO PRAZO</v>
      </c>
      <c r="P119" s="8" t="s">
        <v>32</v>
      </c>
      <c r="Q119" s="96" t="s">
        <v>488</v>
      </c>
      <c r="R119" s="96" t="s">
        <v>489</v>
      </c>
      <c r="S119" s="96" t="s">
        <v>227</v>
      </c>
      <c r="T119" s="96" t="s">
        <v>370</v>
      </c>
      <c r="U119" s="96"/>
      <c r="V119" s="8" t="s">
        <v>198</v>
      </c>
      <c r="W119" s="8"/>
    </row>
    <row r="120" spans="1:23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80</v>
      </c>
      <c r="O120" s="8" t="str">
        <f t="shared" ca="1" si="3"/>
        <v>NO PRAZO</v>
      </c>
      <c r="P120" s="8" t="s">
        <v>32</v>
      </c>
      <c r="Q120" s="96" t="s">
        <v>488</v>
      </c>
      <c r="R120" s="96" t="s">
        <v>489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80</v>
      </c>
      <c r="O121" s="8" t="str">
        <f t="shared" ca="1" si="3"/>
        <v>NO PRAZO</v>
      </c>
      <c r="P121" s="8" t="s">
        <v>32</v>
      </c>
      <c r="Q121" s="96" t="s">
        <v>488</v>
      </c>
      <c r="R121" s="96" t="s">
        <v>489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80</v>
      </c>
      <c r="O122" s="8" t="str">
        <f t="shared" ca="1" si="3"/>
        <v>NO PRAZO</v>
      </c>
      <c r="P122" s="8" t="s">
        <v>32</v>
      </c>
      <c r="Q122" s="96" t="s">
        <v>488</v>
      </c>
      <c r="R122" s="96" t="s">
        <v>489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80</v>
      </c>
      <c r="O123" s="8" t="str">
        <f t="shared" ca="1" si="3"/>
        <v>NO PRAZO</v>
      </c>
      <c r="P123" s="8" t="s">
        <v>32</v>
      </c>
      <c r="Q123" s="96" t="s">
        <v>488</v>
      </c>
      <c r="R123" s="96" t="s">
        <v>489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80</v>
      </c>
      <c r="O124" s="8" t="str">
        <f t="shared" ca="1" si="3"/>
        <v>NO PRAZO</v>
      </c>
      <c r="P124" s="8" t="s">
        <v>32</v>
      </c>
      <c r="Q124" s="96" t="s">
        <v>488</v>
      </c>
      <c r="R124" s="96" t="s">
        <v>489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80</v>
      </c>
      <c r="O125" s="8" t="str">
        <f t="shared" ca="1" si="3"/>
        <v>NO PRAZO</v>
      </c>
      <c r="P125" s="8" t="s">
        <v>32</v>
      </c>
      <c r="Q125" s="96" t="s">
        <v>488</v>
      </c>
      <c r="R125" s="96" t="s">
        <v>489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80</v>
      </c>
      <c r="O126" s="8" t="str">
        <f t="shared" ca="1" si="3"/>
        <v>NO PRAZO</v>
      </c>
      <c r="P126" s="8" t="s">
        <v>32</v>
      </c>
      <c r="Q126" s="96" t="s">
        <v>488</v>
      </c>
      <c r="R126" s="96" t="s">
        <v>489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80</v>
      </c>
      <c r="O127" s="8" t="str">
        <f t="shared" ca="1" si="3"/>
        <v>NO PRAZO</v>
      </c>
      <c r="P127" s="8" t="s">
        <v>32</v>
      </c>
      <c r="Q127" s="96" t="s">
        <v>488</v>
      </c>
      <c r="R127" s="96" t="s">
        <v>489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80</v>
      </c>
      <c r="O128" s="8" t="str">
        <f t="shared" ca="1" si="3"/>
        <v>NO PRAZO</v>
      </c>
      <c r="P128" s="8" t="s">
        <v>32</v>
      </c>
      <c r="Q128" s="96" t="s">
        <v>488</v>
      </c>
      <c r="R128" s="96" t="s">
        <v>489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9">
        <v>46231</v>
      </c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80</v>
      </c>
      <c r="O129" s="8" t="str">
        <f t="shared" ca="1" si="3"/>
        <v>NO PRAZO</v>
      </c>
      <c r="P129" s="8" t="s">
        <v>32</v>
      </c>
      <c r="Q129" s="96" t="s">
        <v>488</v>
      </c>
      <c r="R129" s="96" t="s">
        <v>489</v>
      </c>
      <c r="S129" s="96" t="s">
        <v>227</v>
      </c>
      <c r="T129" s="96" t="s">
        <v>370</v>
      </c>
      <c r="U129" s="96"/>
      <c r="V129" s="8" t="s">
        <v>198</v>
      </c>
      <c r="W129" s="8"/>
    </row>
    <row r="130" spans="1:23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80</v>
      </c>
      <c r="O130" s="8" t="str">
        <f t="shared" ca="1" si="3"/>
        <v>NO PRAZO</v>
      </c>
      <c r="P130" s="8" t="s">
        <v>32</v>
      </c>
      <c r="Q130" s="96" t="s">
        <v>488</v>
      </c>
      <c r="R130" s="96" t="s">
        <v>489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80</v>
      </c>
      <c r="O131" s="8" t="str">
        <f t="shared" ca="1" si="3"/>
        <v>NO PRAZO</v>
      </c>
      <c r="P131" s="8" t="s">
        <v>32</v>
      </c>
      <c r="Q131" s="96" t="s">
        <v>488</v>
      </c>
      <c r="R131" s="96" t="s">
        <v>489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-25</v>
      </c>
      <c r="O132" s="8" t="s">
        <v>56</v>
      </c>
      <c r="P132" s="8" t="s">
        <v>32</v>
      </c>
      <c r="Q132" s="93" t="s">
        <v>488</v>
      </c>
      <c r="R132" s="93" t="s">
        <v>489</v>
      </c>
      <c r="S132" s="93" t="s">
        <v>227</v>
      </c>
      <c r="T132" s="93" t="s">
        <v>370</v>
      </c>
      <c r="U132" s="96"/>
      <c r="V132" s="8" t="s">
        <v>322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-25</v>
      </c>
      <c r="O133" s="8" t="s">
        <v>56</v>
      </c>
      <c r="P133" s="8" t="s">
        <v>32</v>
      </c>
      <c r="Q133" s="93" t="s">
        <v>488</v>
      </c>
      <c r="R133" s="93" t="s">
        <v>489</v>
      </c>
      <c r="S133" s="93" t="s">
        <v>227</v>
      </c>
      <c r="T133" s="93" t="s">
        <v>370</v>
      </c>
      <c r="U133" s="96"/>
      <c r="V133" s="8" t="s">
        <v>322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-25</v>
      </c>
      <c r="O134" s="8" t="s">
        <v>56</v>
      </c>
      <c r="P134" s="8" t="s">
        <v>32</v>
      </c>
      <c r="Q134" s="93" t="s">
        <v>488</v>
      </c>
      <c r="R134" s="93" t="s">
        <v>489</v>
      </c>
      <c r="S134" s="93" t="s">
        <v>227</v>
      </c>
      <c r="T134" s="93" t="s">
        <v>370</v>
      </c>
      <c r="U134" s="96"/>
      <c r="V134" s="8" t="s">
        <v>322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-25</v>
      </c>
      <c r="O135" s="8" t="s">
        <v>56</v>
      </c>
      <c r="P135" s="8" t="s">
        <v>32</v>
      </c>
      <c r="Q135" s="93" t="s">
        <v>488</v>
      </c>
      <c r="R135" s="93" t="s">
        <v>489</v>
      </c>
      <c r="S135" s="93" t="s">
        <v>227</v>
      </c>
      <c r="T135" s="93" t="s">
        <v>370</v>
      </c>
      <c r="U135" s="96"/>
      <c r="V135" s="8" t="s">
        <v>322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-25</v>
      </c>
      <c r="O136" s="8" t="s">
        <v>56</v>
      </c>
      <c r="P136" s="8" t="s">
        <v>32</v>
      </c>
      <c r="Q136" s="93" t="s">
        <v>488</v>
      </c>
      <c r="R136" s="93" t="s">
        <v>489</v>
      </c>
      <c r="S136" s="93" t="s">
        <v>227</v>
      </c>
      <c r="T136" s="93" t="s">
        <v>370</v>
      </c>
      <c r="U136" s="96"/>
      <c r="V136" s="8" t="s">
        <v>322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-12</v>
      </c>
      <c r="O137" s="8" t="str">
        <f t="shared" ref="O137:O143" ca="1" si="4">IF(N137&lt;0,"ATRASADO",IF(N137&lt;=15,"ATENÇÃO","NO PRAZO"))</f>
        <v>ATRASADO</v>
      </c>
      <c r="P137" s="8" t="s">
        <v>32</v>
      </c>
      <c r="Q137" s="93" t="s">
        <v>488</v>
      </c>
      <c r="R137" s="93" t="s">
        <v>489</v>
      </c>
      <c r="S137" s="93" t="s">
        <v>227</v>
      </c>
      <c r="T137" s="93" t="s">
        <v>370</v>
      </c>
      <c r="U137" s="96"/>
      <c r="V137" s="8" t="s">
        <v>322</v>
      </c>
      <c r="W137" s="8" t="s">
        <v>591</v>
      </c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3</v>
      </c>
      <c r="O138" s="8" t="str">
        <f t="shared" ca="1" si="4"/>
        <v>ATENÇÃO</v>
      </c>
      <c r="P138" s="8" t="s">
        <v>32</v>
      </c>
      <c r="Q138" s="93" t="s">
        <v>488</v>
      </c>
      <c r="R138" s="96" t="s">
        <v>489</v>
      </c>
      <c r="S138" s="96" t="s">
        <v>227</v>
      </c>
      <c r="T138" s="96" t="s">
        <v>370</v>
      </c>
      <c r="U138" s="96"/>
      <c r="V138" s="8" t="s">
        <v>198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3</v>
      </c>
      <c r="O139" s="8" t="str">
        <f t="shared" ca="1" si="4"/>
        <v>ATENÇÃO</v>
      </c>
      <c r="P139" s="8" t="s">
        <v>32</v>
      </c>
      <c r="Q139" s="93" t="s">
        <v>488</v>
      </c>
      <c r="R139" s="96" t="s">
        <v>489</v>
      </c>
      <c r="S139" s="96" t="s">
        <v>227</v>
      </c>
      <c r="T139" s="96" t="s">
        <v>370</v>
      </c>
      <c r="U139" s="96"/>
      <c r="V139" s="8" t="s">
        <v>198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-12</v>
      </c>
      <c r="O140" s="8" t="str">
        <f t="shared" ca="1" si="4"/>
        <v>ATRASADO</v>
      </c>
      <c r="P140" s="8" t="s">
        <v>32</v>
      </c>
      <c r="Q140" s="93" t="s">
        <v>488</v>
      </c>
      <c r="R140" s="93" t="s">
        <v>489</v>
      </c>
      <c r="S140" s="93" t="s">
        <v>227</v>
      </c>
      <c r="T140" s="93" t="s">
        <v>370</v>
      </c>
      <c r="U140" s="96"/>
      <c r="V140" s="8" t="s">
        <v>322</v>
      </c>
      <c r="W140" s="8" t="s">
        <v>590</v>
      </c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-12</v>
      </c>
      <c r="O141" s="8" t="str">
        <f t="shared" ca="1" si="4"/>
        <v>ATRASADO</v>
      </c>
      <c r="P141" s="8" t="s">
        <v>32</v>
      </c>
      <c r="Q141" s="93" t="s">
        <v>488</v>
      </c>
      <c r="R141" s="93" t="s">
        <v>489</v>
      </c>
      <c r="S141" s="93" t="s">
        <v>227</v>
      </c>
      <c r="T141" s="93" t="s">
        <v>370</v>
      </c>
      <c r="U141" s="96"/>
      <c r="V141" s="8" t="s">
        <v>322</v>
      </c>
      <c r="W141" s="8" t="s">
        <v>590</v>
      </c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3</v>
      </c>
      <c r="O142" s="8" t="str">
        <f t="shared" ca="1" si="4"/>
        <v>ATENÇÃO</v>
      </c>
      <c r="P142" s="8" t="s">
        <v>32</v>
      </c>
      <c r="Q142" s="93" t="s">
        <v>488</v>
      </c>
      <c r="R142" s="96" t="s">
        <v>489</v>
      </c>
      <c r="S142" s="96" t="s">
        <v>227</v>
      </c>
      <c r="T142" s="96" t="s">
        <v>370</v>
      </c>
      <c r="U142" s="96"/>
      <c r="V142" s="8" t="s">
        <v>198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3</v>
      </c>
      <c r="O143" s="8" t="str">
        <f t="shared" ca="1" si="4"/>
        <v>ATENÇÃO</v>
      </c>
      <c r="P143" s="8" t="s">
        <v>32</v>
      </c>
      <c r="Q143" s="93" t="s">
        <v>488</v>
      </c>
      <c r="R143" s="96" t="s">
        <v>489</v>
      </c>
      <c r="S143" s="96" t="s">
        <v>227</v>
      </c>
      <c r="T143" s="96" t="s">
        <v>370</v>
      </c>
      <c r="U143" s="96"/>
      <c r="V143" s="8" t="s">
        <v>198</v>
      </c>
      <c r="W143" s="8"/>
    </row>
    <row r="144" spans="1:23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-12</v>
      </c>
      <c r="O144" s="8" t="str">
        <f ca="1">IF(N144&lt;0,"ATRASADO",IF(N144&lt;=15,"ATENÇÃO","NO PRAZO"))</f>
        <v>ATRASADO</v>
      </c>
      <c r="P144" s="8" t="s">
        <v>32</v>
      </c>
      <c r="Q144" s="93" t="s">
        <v>488</v>
      </c>
      <c r="R144" s="93" t="s">
        <v>489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-12</v>
      </c>
      <c r="O145" s="8" t="str">
        <f t="shared" ref="O145:O151" ca="1" si="5">IF(N145&lt;0,"ATRASADO",IF(N145&lt;=15,"ATENÇÃO","NO PRAZO"))</f>
        <v>ATRASADO</v>
      </c>
      <c r="P145" s="8" t="s">
        <v>32</v>
      </c>
      <c r="Q145" s="93" t="s">
        <v>488</v>
      </c>
      <c r="R145" s="93" t="s">
        <v>489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-12</v>
      </c>
      <c r="O146" s="8" t="str">
        <f t="shared" ca="1" si="5"/>
        <v>ATRASADO</v>
      </c>
      <c r="P146" s="8" t="s">
        <v>32</v>
      </c>
      <c r="Q146" s="93" t="s">
        <v>488</v>
      </c>
      <c r="R146" s="93" t="s">
        <v>489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-12</v>
      </c>
      <c r="O147" s="8" t="str">
        <f t="shared" ca="1" si="5"/>
        <v>ATRASADO</v>
      </c>
      <c r="P147" s="8" t="s">
        <v>32</v>
      </c>
      <c r="Q147" s="93" t="s">
        <v>488</v>
      </c>
      <c r="R147" s="93" t="s">
        <v>489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-12</v>
      </c>
      <c r="O148" s="8" t="str">
        <f t="shared" ca="1" si="5"/>
        <v>ATRASADO</v>
      </c>
      <c r="P148" s="8" t="s">
        <v>32</v>
      </c>
      <c r="Q148" s="93" t="s">
        <v>488</v>
      </c>
      <c r="R148" s="93" t="s">
        <v>489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-12</v>
      </c>
      <c r="O149" s="8" t="str">
        <f t="shared" ca="1" si="5"/>
        <v>ATRASADO</v>
      </c>
      <c r="P149" s="8" t="s">
        <v>32</v>
      </c>
      <c r="Q149" s="93" t="s">
        <v>488</v>
      </c>
      <c r="R149" s="93" t="s">
        <v>489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-12</v>
      </c>
      <c r="O150" s="8" t="str">
        <f t="shared" ca="1" si="5"/>
        <v>ATRASADO</v>
      </c>
      <c r="P150" s="8" t="s">
        <v>32</v>
      </c>
      <c r="Q150" s="93" t="s">
        <v>488</v>
      </c>
      <c r="R150" s="93" t="s">
        <v>489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-12</v>
      </c>
      <c r="O151" s="8" t="str">
        <f t="shared" ca="1" si="5"/>
        <v>ATRASADO</v>
      </c>
      <c r="P151" s="8" t="s">
        <v>32</v>
      </c>
      <c r="Q151" s="93" t="s">
        <v>488</v>
      </c>
      <c r="R151" s="93" t="s">
        <v>489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3</v>
      </c>
      <c r="O152" s="8" t="str">
        <f t="shared" ref="O152:O156" ca="1" si="6">IF(N152&lt;0,"ATRASADO",IF(N152&lt;=15,"ATENÇÃO","NO PRAZO"))</f>
        <v>ATENÇÃO</v>
      </c>
      <c r="P152" s="8" t="s">
        <v>32</v>
      </c>
      <c r="Q152" s="93" t="s">
        <v>488</v>
      </c>
      <c r="R152" s="96" t="s">
        <v>489</v>
      </c>
      <c r="S152" s="96" t="s">
        <v>227</v>
      </c>
      <c r="T152" s="96" t="s">
        <v>370</v>
      </c>
      <c r="U152" s="96"/>
      <c r="V152" s="8" t="s">
        <v>198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-12</v>
      </c>
      <c r="O153" s="8" t="str">
        <f t="shared" ca="1" si="6"/>
        <v>ATRASADO</v>
      </c>
      <c r="P153" s="8" t="s">
        <v>32</v>
      </c>
      <c r="Q153" s="93" t="s">
        <v>488</v>
      </c>
      <c r="R153" s="93" t="s">
        <v>489</v>
      </c>
      <c r="S153" s="93" t="s">
        <v>227</v>
      </c>
      <c r="T153" s="93" t="s">
        <v>370</v>
      </c>
      <c r="U153" s="96"/>
      <c r="V153" s="8" t="s">
        <v>322</v>
      </c>
      <c r="W153" s="8" t="s">
        <v>591</v>
      </c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-12</v>
      </c>
      <c r="O154" s="8" t="str">
        <f t="shared" ca="1" si="6"/>
        <v>ATRASADO</v>
      </c>
      <c r="P154" s="8" t="s">
        <v>32</v>
      </c>
      <c r="Q154" s="93" t="s">
        <v>488</v>
      </c>
      <c r="R154" s="93" t="s">
        <v>489</v>
      </c>
      <c r="S154" s="93" t="s">
        <v>227</v>
      </c>
      <c r="T154" s="93" t="s">
        <v>370</v>
      </c>
      <c r="U154" s="96"/>
      <c r="V154" s="8" t="s">
        <v>322</v>
      </c>
      <c r="W154" s="8" t="s">
        <v>591</v>
      </c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3</v>
      </c>
      <c r="O155" s="8" t="str">
        <f t="shared" ca="1" si="6"/>
        <v>ATENÇÃO</v>
      </c>
      <c r="P155" s="8" t="s">
        <v>32</v>
      </c>
      <c r="Q155" s="93" t="s">
        <v>488</v>
      </c>
      <c r="R155" s="96" t="s">
        <v>489</v>
      </c>
      <c r="S155" s="96" t="s">
        <v>227</v>
      </c>
      <c r="T155" s="96" t="s">
        <v>370</v>
      </c>
      <c r="U155" s="96"/>
      <c r="V155" s="8" t="s">
        <v>198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3</v>
      </c>
      <c r="O156" s="8" t="str">
        <f t="shared" ca="1" si="6"/>
        <v>ATENÇÃO</v>
      </c>
      <c r="P156" s="8" t="s">
        <v>32</v>
      </c>
      <c r="Q156" s="93" t="s">
        <v>488</v>
      </c>
      <c r="R156" s="96" t="s">
        <v>489</v>
      </c>
      <c r="S156" s="96" t="s">
        <v>227</v>
      </c>
      <c r="T156" s="96" t="s">
        <v>370</v>
      </c>
      <c r="U156" s="96"/>
      <c r="V156" s="8" t="s">
        <v>198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-4</v>
      </c>
      <c r="O157" s="8" t="str">
        <f t="shared" ref="O157:O163" ca="1" si="7">IF(N157&lt;0,"ATRASADO",IF(N157&lt;=15,"ATENÇÃO","NO PRAZO"))</f>
        <v>ATRASADO</v>
      </c>
      <c r="P157" s="8" t="s">
        <v>69</v>
      </c>
      <c r="Q157" s="96" t="s">
        <v>63</v>
      </c>
      <c r="R157" s="96" t="s">
        <v>63</v>
      </c>
      <c r="S157" s="96" t="s">
        <v>63</v>
      </c>
      <c r="T157" s="96" t="s">
        <v>63</v>
      </c>
      <c r="U157" s="96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-4</v>
      </c>
      <c r="O158" s="8" t="str">
        <f t="shared" ca="1" si="7"/>
        <v>ATRASADO</v>
      </c>
      <c r="P158" s="8" t="s">
        <v>69</v>
      </c>
      <c r="Q158" s="96" t="s">
        <v>63</v>
      </c>
      <c r="R158" s="96" t="s">
        <v>63</v>
      </c>
      <c r="S158" s="96" t="s">
        <v>63</v>
      </c>
      <c r="T158" s="96" t="s">
        <v>63</v>
      </c>
      <c r="U158" s="96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-4</v>
      </c>
      <c r="O159" s="8" t="str">
        <f t="shared" ca="1" si="7"/>
        <v>ATRASADO</v>
      </c>
      <c r="P159" s="8" t="s">
        <v>69</v>
      </c>
      <c r="Q159" s="96" t="s">
        <v>63</v>
      </c>
      <c r="R159" s="96" t="s">
        <v>63</v>
      </c>
      <c r="S159" s="96" t="s">
        <v>63</v>
      </c>
      <c r="T159" s="96" t="s">
        <v>63</v>
      </c>
      <c r="U159" s="96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-4</v>
      </c>
      <c r="O160" s="8" t="str">
        <f t="shared" ca="1" si="7"/>
        <v>ATRASADO</v>
      </c>
      <c r="P160" s="8" t="s">
        <v>69</v>
      </c>
      <c r="Q160" s="96" t="s">
        <v>63</v>
      </c>
      <c r="R160" s="96" t="s">
        <v>63</v>
      </c>
      <c r="S160" s="96" t="s">
        <v>63</v>
      </c>
      <c r="T160" s="96" t="s">
        <v>63</v>
      </c>
      <c r="U160" s="96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-4</v>
      </c>
      <c r="O161" s="8" t="str">
        <f t="shared" ca="1" si="7"/>
        <v>ATRASADO</v>
      </c>
      <c r="P161" s="8" t="s">
        <v>69</v>
      </c>
      <c r="Q161" s="96" t="s">
        <v>63</v>
      </c>
      <c r="R161" s="96" t="s">
        <v>63</v>
      </c>
      <c r="S161" s="96" t="s">
        <v>63</v>
      </c>
      <c r="T161" s="96" t="s">
        <v>63</v>
      </c>
      <c r="U161" s="96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-4</v>
      </c>
      <c r="O162" s="8" t="str">
        <f t="shared" ca="1" si="7"/>
        <v>ATRASADO</v>
      </c>
      <c r="P162" s="8" t="s">
        <v>69</v>
      </c>
      <c r="Q162" s="96" t="s">
        <v>63</v>
      </c>
      <c r="R162" s="96" t="s">
        <v>63</v>
      </c>
      <c r="S162" s="96" t="s">
        <v>63</v>
      </c>
      <c r="T162" s="96" t="s">
        <v>63</v>
      </c>
      <c r="U162" s="96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-4</v>
      </c>
      <c r="O163" s="8" t="str">
        <f t="shared" ca="1" si="7"/>
        <v>ATRASADO</v>
      </c>
      <c r="P163" s="8" t="s">
        <v>69</v>
      </c>
      <c r="Q163" s="96" t="s">
        <v>63</v>
      </c>
      <c r="R163" s="96" t="s">
        <v>63</v>
      </c>
      <c r="S163" s="96" t="s">
        <v>63</v>
      </c>
      <c r="T163" s="96" t="s">
        <v>63</v>
      </c>
      <c r="U163" s="96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3</v>
      </c>
      <c r="O164" s="8" t="str">
        <f t="shared" ref="O164:O167" ca="1" si="8">IF(N164&lt;0,"ATRASADO",IF(N164&lt;=15,"ATENÇÃO","NO PRAZO"))</f>
        <v>ATENÇÃO</v>
      </c>
      <c r="P164" s="8" t="s">
        <v>32</v>
      </c>
      <c r="Q164" s="93" t="s">
        <v>488</v>
      </c>
      <c r="R164" s="96" t="s">
        <v>489</v>
      </c>
      <c r="S164" s="96" t="s">
        <v>227</v>
      </c>
      <c r="T164" s="96" t="s">
        <v>370</v>
      </c>
      <c r="U164" s="96"/>
      <c r="V164" s="8" t="s">
        <v>198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3</v>
      </c>
      <c r="O165" s="8" t="str">
        <f t="shared" ca="1" si="8"/>
        <v>ATENÇÃO</v>
      </c>
      <c r="P165" s="8" t="s">
        <v>32</v>
      </c>
      <c r="Q165" s="93" t="s">
        <v>488</v>
      </c>
      <c r="R165" s="96" t="s">
        <v>489</v>
      </c>
      <c r="S165" s="96" t="s">
        <v>227</v>
      </c>
      <c r="T165" s="96" t="s">
        <v>370</v>
      </c>
      <c r="U165" s="96"/>
      <c r="V165" s="8" t="s">
        <v>198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3</v>
      </c>
      <c r="O166" s="8" t="str">
        <f t="shared" ca="1" si="8"/>
        <v>ATENÇÃO</v>
      </c>
      <c r="P166" s="8" t="s">
        <v>32</v>
      </c>
      <c r="Q166" s="93" t="s">
        <v>488</v>
      </c>
      <c r="R166" s="96" t="s">
        <v>489</v>
      </c>
      <c r="S166" s="96" t="s">
        <v>227</v>
      </c>
      <c r="T166" s="96" t="s">
        <v>370</v>
      </c>
      <c r="U166" s="96"/>
      <c r="V166" s="8" t="s">
        <v>198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3</v>
      </c>
      <c r="O167" s="8" t="str">
        <f t="shared" ca="1" si="8"/>
        <v>ATENÇÃO</v>
      </c>
      <c r="P167" s="8" t="s">
        <v>32</v>
      </c>
      <c r="Q167" s="93" t="s">
        <v>488</v>
      </c>
      <c r="R167" s="96" t="s">
        <v>489</v>
      </c>
      <c r="S167" s="96" t="s">
        <v>227</v>
      </c>
      <c r="T167" s="96" t="s">
        <v>370</v>
      </c>
      <c r="U167" s="96"/>
      <c r="V167" s="8" t="s">
        <v>198</v>
      </c>
      <c r="W167" s="8"/>
    </row>
    <row r="168" spans="1:23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507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141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488</v>
      </c>
      <c r="R168" s="96" t="s">
        <v>489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507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141</v>
      </c>
      <c r="O169" s="8" t="str">
        <f t="shared" ca="1" si="9"/>
        <v>NO PRAZO</v>
      </c>
      <c r="P169" s="8" t="s">
        <v>32</v>
      </c>
      <c r="Q169" s="96" t="s">
        <v>488</v>
      </c>
      <c r="R169" s="96" t="s">
        <v>489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507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141</v>
      </c>
      <c r="O170" s="8" t="str">
        <f t="shared" ca="1" si="9"/>
        <v>NO PRAZO</v>
      </c>
      <c r="P170" s="8" t="s">
        <v>32</v>
      </c>
      <c r="Q170" s="96" t="s">
        <v>488</v>
      </c>
      <c r="R170" s="96" t="s">
        <v>489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507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141</v>
      </c>
      <c r="O171" s="8" t="str">
        <f t="shared" ca="1" si="9"/>
        <v>NO PRAZO</v>
      </c>
      <c r="P171" s="8" t="s">
        <v>32</v>
      </c>
      <c r="Q171" s="96" t="s">
        <v>488</v>
      </c>
      <c r="R171" s="96" t="s">
        <v>489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507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141</v>
      </c>
      <c r="O172" s="8" t="str">
        <f t="shared" ca="1" si="9"/>
        <v>NO PRAZO</v>
      </c>
      <c r="P172" s="8" t="s">
        <v>32</v>
      </c>
      <c r="Q172" s="96" t="s">
        <v>488</v>
      </c>
      <c r="R172" s="96" t="s">
        <v>489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508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141</v>
      </c>
      <c r="O173" s="8" t="str">
        <f t="shared" ca="1" si="9"/>
        <v>NO PRAZO</v>
      </c>
      <c r="P173" s="8" t="s">
        <v>32</v>
      </c>
      <c r="Q173" s="96" t="s">
        <v>488</v>
      </c>
      <c r="R173" s="96" t="s">
        <v>489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509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141</v>
      </c>
      <c r="O174" s="8" t="str">
        <f t="shared" ca="1" si="9"/>
        <v>NO PRAZO</v>
      </c>
      <c r="P174" s="8" t="s">
        <v>32</v>
      </c>
      <c r="Q174" s="96" t="s">
        <v>488</v>
      </c>
      <c r="R174" s="96" t="s">
        <v>489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510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141</v>
      </c>
      <c r="O175" s="8" t="str">
        <f t="shared" ca="1" si="9"/>
        <v>NO PRAZO</v>
      </c>
      <c r="P175" s="8" t="s">
        <v>32</v>
      </c>
      <c r="Q175" s="96" t="s">
        <v>488</v>
      </c>
      <c r="R175" s="96" t="s">
        <v>489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510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141</v>
      </c>
      <c r="O176" s="8" t="str">
        <f t="shared" ca="1" si="9"/>
        <v>NO PRAZO</v>
      </c>
      <c r="P176" s="8" t="s">
        <v>32</v>
      </c>
      <c r="Q176" s="96" t="s">
        <v>488</v>
      </c>
      <c r="R176" s="96" t="s">
        <v>489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511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141</v>
      </c>
      <c r="O177" s="8" t="str">
        <f t="shared" ca="1" si="9"/>
        <v>NO PRAZO</v>
      </c>
      <c r="P177" s="8" t="s">
        <v>32</v>
      </c>
      <c r="Q177" s="96" t="s">
        <v>488</v>
      </c>
      <c r="R177" s="96" t="s">
        <v>489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511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141</v>
      </c>
      <c r="O178" s="8" t="str">
        <f t="shared" ca="1" si="9"/>
        <v>NO PRAZO</v>
      </c>
      <c r="P178" s="8" t="s">
        <v>32</v>
      </c>
      <c r="Q178" s="96" t="s">
        <v>488</v>
      </c>
      <c r="R178" s="96" t="s">
        <v>489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511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141</v>
      </c>
      <c r="O179" s="8" t="str">
        <f t="shared" ca="1" si="9"/>
        <v>NO PRAZO</v>
      </c>
      <c r="P179" s="8" t="s">
        <v>32</v>
      </c>
      <c r="Q179" s="96" t="s">
        <v>488</v>
      </c>
      <c r="R179" s="96" t="s">
        <v>489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511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141</v>
      </c>
      <c r="O180" s="8" t="str">
        <f t="shared" ca="1" si="9"/>
        <v>NO PRAZO</v>
      </c>
      <c r="P180" s="8" t="s">
        <v>32</v>
      </c>
      <c r="Q180" s="96" t="s">
        <v>488</v>
      </c>
      <c r="R180" s="96" t="s">
        <v>489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511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141</v>
      </c>
      <c r="O181" s="8" t="str">
        <f t="shared" ca="1" si="9"/>
        <v>NO PRAZO</v>
      </c>
      <c r="P181" s="8" t="s">
        <v>32</v>
      </c>
      <c r="Q181" s="96" t="s">
        <v>488</v>
      </c>
      <c r="R181" s="96" t="s">
        <v>489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509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141</v>
      </c>
      <c r="O182" s="8" t="str">
        <f t="shared" ca="1" si="9"/>
        <v>NO PRAZO</v>
      </c>
      <c r="P182" s="8" t="s">
        <v>32</v>
      </c>
      <c r="Q182" s="96" t="s">
        <v>488</v>
      </c>
      <c r="R182" s="96" t="s">
        <v>489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510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141</v>
      </c>
      <c r="O183" s="8" t="str">
        <f t="shared" ca="1" si="9"/>
        <v>NO PRAZO</v>
      </c>
      <c r="P183" s="8" t="s">
        <v>32</v>
      </c>
      <c r="Q183" s="96" t="s">
        <v>488</v>
      </c>
      <c r="R183" s="96" t="s">
        <v>489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512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141</v>
      </c>
      <c r="O184" s="8" t="str">
        <f t="shared" ca="1" si="9"/>
        <v>NO PRAZO</v>
      </c>
      <c r="P184" s="8" t="s">
        <v>32</v>
      </c>
      <c r="Q184" s="96" t="s">
        <v>488</v>
      </c>
      <c r="R184" s="96" t="s">
        <v>489</v>
      </c>
      <c r="S184" s="96" t="s">
        <v>227</v>
      </c>
      <c r="T184" s="96" t="s">
        <v>370</v>
      </c>
      <c r="U184" s="96"/>
      <c r="V184" s="8" t="s">
        <v>481</v>
      </c>
      <c r="W184" s="8" t="s">
        <v>518</v>
      </c>
    </row>
    <row r="185" spans="1:23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512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141</v>
      </c>
      <c r="O185" s="8" t="str">
        <f t="shared" ca="1" si="9"/>
        <v>NO PRAZO</v>
      </c>
      <c r="P185" s="8" t="s">
        <v>32</v>
      </c>
      <c r="Q185" s="96" t="s">
        <v>488</v>
      </c>
      <c r="R185" s="96" t="s">
        <v>489</v>
      </c>
      <c r="S185" s="96" t="s">
        <v>227</v>
      </c>
      <c r="T185" s="96" t="s">
        <v>370</v>
      </c>
      <c r="U185" s="96"/>
      <c r="V185" s="8" t="s">
        <v>481</v>
      </c>
      <c r="W185" s="8" t="s">
        <v>518</v>
      </c>
    </row>
    <row r="186" spans="1:23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512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141</v>
      </c>
      <c r="O186" s="8" t="str">
        <f t="shared" ca="1" si="9"/>
        <v>NO PRAZO</v>
      </c>
      <c r="P186" s="8" t="s">
        <v>32</v>
      </c>
      <c r="Q186" s="96" t="s">
        <v>488</v>
      </c>
      <c r="R186" s="96" t="s">
        <v>489</v>
      </c>
      <c r="S186" s="96" t="s">
        <v>227</v>
      </c>
      <c r="T186" s="96" t="s">
        <v>370</v>
      </c>
      <c r="U186" s="96"/>
      <c r="V186" s="8" t="s">
        <v>481</v>
      </c>
      <c r="W186" s="8" t="s">
        <v>518</v>
      </c>
    </row>
    <row r="187" spans="1:23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512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141</v>
      </c>
      <c r="O187" s="8" t="str">
        <f t="shared" ca="1" si="9"/>
        <v>NO PRAZO</v>
      </c>
      <c r="P187" s="8" t="s">
        <v>32</v>
      </c>
      <c r="Q187" s="96" t="s">
        <v>488</v>
      </c>
      <c r="R187" s="96" t="s">
        <v>489</v>
      </c>
      <c r="S187" s="96" t="s">
        <v>227</v>
      </c>
      <c r="T187" s="96" t="s">
        <v>370</v>
      </c>
      <c r="U187" s="96"/>
      <c r="V187" s="8" t="s">
        <v>481</v>
      </c>
      <c r="W187" s="8" t="s">
        <v>518</v>
      </c>
    </row>
    <row r="188" spans="1:23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513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141</v>
      </c>
      <c r="O188" s="8" t="str">
        <f t="shared" ca="1" si="9"/>
        <v>NO PRAZO</v>
      </c>
      <c r="P188" s="8" t="s">
        <v>32</v>
      </c>
      <c r="Q188" s="96" t="s">
        <v>488</v>
      </c>
      <c r="R188" s="96" t="s">
        <v>489</v>
      </c>
      <c r="S188" s="96" t="s">
        <v>227</v>
      </c>
      <c r="T188" s="96" t="s">
        <v>370</v>
      </c>
      <c r="U188" s="96"/>
      <c r="V188" s="8" t="s">
        <v>481</v>
      </c>
      <c r="W188" s="8" t="s">
        <v>518</v>
      </c>
    </row>
    <row r="189" spans="1:23" ht="15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514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141</v>
      </c>
      <c r="O189" s="8" t="str">
        <f t="shared" ca="1" si="9"/>
        <v>NO PRAZO</v>
      </c>
      <c r="P189" s="8" t="s">
        <v>32</v>
      </c>
      <c r="Q189" s="96" t="s">
        <v>488</v>
      </c>
      <c r="R189" s="96" t="s">
        <v>489</v>
      </c>
      <c r="S189" s="96" t="s">
        <v>227</v>
      </c>
      <c r="T189" s="96" t="s">
        <v>370</v>
      </c>
      <c r="U189" s="96"/>
      <c r="V189" s="8" t="s">
        <v>481</v>
      </c>
      <c r="W189" s="8" t="s">
        <v>518</v>
      </c>
    </row>
    <row r="190" spans="1:23" ht="15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515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141</v>
      </c>
      <c r="O190" s="8" t="str">
        <f t="shared" ca="1" si="9"/>
        <v>NO PRAZO</v>
      </c>
      <c r="P190" s="8" t="s">
        <v>32</v>
      </c>
      <c r="Q190" s="96" t="s">
        <v>488</v>
      </c>
      <c r="R190" s="96" t="s">
        <v>489</v>
      </c>
      <c r="S190" s="96" t="s">
        <v>227</v>
      </c>
      <c r="T190" s="96" t="s">
        <v>370</v>
      </c>
      <c r="U190" s="96"/>
      <c r="V190" s="8" t="s">
        <v>481</v>
      </c>
      <c r="W190" s="8" t="s">
        <v>518</v>
      </c>
    </row>
    <row r="191" spans="1:23" ht="15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516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141</v>
      </c>
      <c r="O191" s="8" t="str">
        <f t="shared" ca="1" si="9"/>
        <v>NO PRAZO</v>
      </c>
      <c r="P191" s="8" t="s">
        <v>32</v>
      </c>
      <c r="Q191" s="96" t="s">
        <v>488</v>
      </c>
      <c r="R191" s="96" t="s">
        <v>489</v>
      </c>
      <c r="S191" s="96" t="s">
        <v>227</v>
      </c>
      <c r="T191" s="96" t="s">
        <v>370</v>
      </c>
      <c r="U191" s="96"/>
      <c r="V191" s="8" t="s">
        <v>481</v>
      </c>
      <c r="W191" s="8" t="s">
        <v>518</v>
      </c>
    </row>
    <row r="192" spans="1:23" ht="15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516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141</v>
      </c>
      <c r="O192" s="8" t="str">
        <f t="shared" ca="1" si="9"/>
        <v>NO PRAZO</v>
      </c>
      <c r="P192" s="8" t="s">
        <v>32</v>
      </c>
      <c r="Q192" s="96" t="s">
        <v>488</v>
      </c>
      <c r="R192" s="96" t="s">
        <v>489</v>
      </c>
      <c r="S192" s="96" t="s">
        <v>227</v>
      </c>
      <c r="T192" s="96" t="s">
        <v>370</v>
      </c>
      <c r="U192" s="96"/>
      <c r="V192" s="8" t="s">
        <v>481</v>
      </c>
      <c r="W192" s="8" t="s">
        <v>518</v>
      </c>
    </row>
    <row r="193" spans="1:23" ht="15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516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141</v>
      </c>
      <c r="O193" s="8" t="str">
        <f t="shared" ca="1" si="9"/>
        <v>NO PRAZO</v>
      </c>
      <c r="P193" s="8" t="s">
        <v>32</v>
      </c>
      <c r="Q193" s="96" t="s">
        <v>488</v>
      </c>
      <c r="R193" s="96" t="s">
        <v>489</v>
      </c>
      <c r="S193" s="96" t="s">
        <v>227</v>
      </c>
      <c r="T193" s="96" t="s">
        <v>370</v>
      </c>
      <c r="U193" s="96"/>
      <c r="V193" s="8" t="s">
        <v>481</v>
      </c>
      <c r="W193" s="8" t="s">
        <v>518</v>
      </c>
    </row>
    <row r="194" spans="1:23" ht="15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516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141</v>
      </c>
      <c r="O194" s="8" t="str">
        <f t="shared" ca="1" si="9"/>
        <v>NO PRAZO</v>
      </c>
      <c r="P194" s="8" t="s">
        <v>32</v>
      </c>
      <c r="Q194" s="96" t="s">
        <v>488</v>
      </c>
      <c r="R194" s="96" t="s">
        <v>489</v>
      </c>
      <c r="S194" s="96" t="s">
        <v>227</v>
      </c>
      <c r="T194" s="96" t="s">
        <v>370</v>
      </c>
      <c r="U194" s="96"/>
      <c r="V194" s="8" t="s">
        <v>481</v>
      </c>
      <c r="W194" s="8" t="s">
        <v>518</v>
      </c>
    </row>
    <row r="195" spans="1:23" ht="15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516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141</v>
      </c>
      <c r="O195" s="8" t="str">
        <f t="shared" ca="1" si="9"/>
        <v>NO PRAZO</v>
      </c>
      <c r="P195" s="8" t="s">
        <v>32</v>
      </c>
      <c r="Q195" s="96" t="s">
        <v>488</v>
      </c>
      <c r="R195" s="96" t="s">
        <v>489</v>
      </c>
      <c r="S195" s="96" t="s">
        <v>227</v>
      </c>
      <c r="T195" s="96" t="s">
        <v>370</v>
      </c>
      <c r="U195" s="96"/>
      <c r="V195" s="8" t="s">
        <v>481</v>
      </c>
      <c r="W195" s="8" t="s">
        <v>518</v>
      </c>
    </row>
    <row r="196" spans="1:23" ht="15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517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141</v>
      </c>
      <c r="O196" s="8" t="str">
        <f t="shared" ca="1" si="9"/>
        <v>NO PRAZO</v>
      </c>
      <c r="P196" s="8" t="s">
        <v>32</v>
      </c>
      <c r="Q196" s="96" t="s">
        <v>488</v>
      </c>
      <c r="R196" s="96" t="s">
        <v>489</v>
      </c>
      <c r="S196" s="96" t="s">
        <v>227</v>
      </c>
      <c r="T196" s="96" t="s">
        <v>370</v>
      </c>
      <c r="U196" s="96"/>
      <c r="V196" s="8" t="s">
        <v>481</v>
      </c>
      <c r="W196" s="8" t="s">
        <v>518</v>
      </c>
    </row>
    <row r="197" spans="1:23" ht="15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514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141</v>
      </c>
      <c r="O197" s="8" t="str">
        <f t="shared" ca="1" si="9"/>
        <v>NO PRAZO</v>
      </c>
      <c r="P197" s="8" t="s">
        <v>32</v>
      </c>
      <c r="Q197" s="96" t="s">
        <v>488</v>
      </c>
      <c r="R197" s="96" t="s">
        <v>489</v>
      </c>
      <c r="S197" s="96" t="s">
        <v>227</v>
      </c>
      <c r="T197" s="96" t="s">
        <v>370</v>
      </c>
      <c r="U197" s="96"/>
      <c r="V197" s="8" t="s">
        <v>481</v>
      </c>
      <c r="W197" s="8" t="s">
        <v>518</v>
      </c>
    </row>
    <row r="198" spans="1:23" ht="15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515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141</v>
      </c>
      <c r="O198" s="8" t="str">
        <f t="shared" ca="1" si="9"/>
        <v>NO PRAZO</v>
      </c>
      <c r="P198" s="8" t="s">
        <v>32</v>
      </c>
      <c r="Q198" s="96" t="s">
        <v>488</v>
      </c>
      <c r="R198" s="96" t="s">
        <v>489</v>
      </c>
      <c r="S198" s="96" t="s">
        <v>227</v>
      </c>
      <c r="T198" s="96" t="s">
        <v>370</v>
      </c>
      <c r="U198" s="96"/>
      <c r="V198" s="8" t="s">
        <v>481</v>
      </c>
      <c r="W198" s="8" t="s">
        <v>518</v>
      </c>
    </row>
    <row r="199" spans="1:23" x14ac:dyDescent="0.25">
      <c r="A199" s="8">
        <v>2367</v>
      </c>
      <c r="B199" s="8">
        <v>1</v>
      </c>
      <c r="C199" s="8" t="s">
        <v>597</v>
      </c>
      <c r="D199" s="8" t="s">
        <v>63</v>
      </c>
      <c r="E199" s="8" t="s">
        <v>594</v>
      </c>
      <c r="F199" s="114" t="s">
        <v>595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-5</v>
      </c>
      <c r="O199" s="8" t="str">
        <f ca="1">IF(N199&lt;0,"ATRASADO",IF(N199&lt;=15,"ATENÇÃO","NO PRAZO"))</f>
        <v>ATRASADO</v>
      </c>
      <c r="P199" s="8" t="s">
        <v>32</v>
      </c>
      <c r="Q199" s="93" t="s">
        <v>488</v>
      </c>
      <c r="R199" s="96" t="s">
        <v>489</v>
      </c>
      <c r="S199" s="96" t="s">
        <v>227</v>
      </c>
      <c r="T199" s="96" t="s">
        <v>370</v>
      </c>
      <c r="U199" s="96"/>
      <c r="V199" s="8" t="s">
        <v>198</v>
      </c>
      <c r="W199" s="8" t="s">
        <v>591</v>
      </c>
    </row>
    <row r="200" spans="1:23" x14ac:dyDescent="0.25">
      <c r="A200" s="8">
        <v>2367</v>
      </c>
      <c r="B200" s="8">
        <v>2</v>
      </c>
      <c r="C200" s="8" t="s">
        <v>597</v>
      </c>
      <c r="D200" s="8" t="s">
        <v>63</v>
      </c>
      <c r="E200" s="8" t="s">
        <v>594</v>
      </c>
      <c r="F200" s="114" t="s">
        <v>595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-5</v>
      </c>
      <c r="O200" s="8" t="str">
        <f t="shared" ref="O200:O203" ca="1" si="10">IF(N200&lt;0,"ATRASADO",IF(N200&lt;=15,"ATENÇÃO","NO PRAZO"))</f>
        <v>ATRASADO</v>
      </c>
      <c r="P200" s="8" t="s">
        <v>32</v>
      </c>
      <c r="Q200" s="93" t="s">
        <v>488</v>
      </c>
      <c r="R200" s="96" t="s">
        <v>489</v>
      </c>
      <c r="S200" s="96" t="s">
        <v>227</v>
      </c>
      <c r="T200" s="96" t="s">
        <v>370</v>
      </c>
      <c r="U200" s="96"/>
      <c r="V200" s="8" t="s">
        <v>198</v>
      </c>
      <c r="W200" s="8" t="s">
        <v>591</v>
      </c>
    </row>
    <row r="201" spans="1:23" x14ac:dyDescent="0.25">
      <c r="A201" s="8">
        <v>2367</v>
      </c>
      <c r="B201" s="8">
        <v>3</v>
      </c>
      <c r="C201" s="8" t="s">
        <v>597</v>
      </c>
      <c r="D201" s="8" t="s">
        <v>63</v>
      </c>
      <c r="E201" s="8" t="s">
        <v>594</v>
      </c>
      <c r="F201" s="114" t="s">
        <v>595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-5</v>
      </c>
      <c r="O201" s="8" t="str">
        <f t="shared" ca="1" si="10"/>
        <v>ATRASADO</v>
      </c>
      <c r="P201" s="8" t="s">
        <v>32</v>
      </c>
      <c r="Q201" s="93" t="s">
        <v>488</v>
      </c>
      <c r="R201" s="96" t="s">
        <v>489</v>
      </c>
      <c r="S201" s="96" t="s">
        <v>227</v>
      </c>
      <c r="T201" s="96" t="s">
        <v>370</v>
      </c>
      <c r="U201" s="96"/>
      <c r="V201" s="8" t="s">
        <v>198</v>
      </c>
      <c r="W201" s="8" t="s">
        <v>591</v>
      </c>
    </row>
    <row r="202" spans="1:23" x14ac:dyDescent="0.25">
      <c r="A202" s="8">
        <v>2367</v>
      </c>
      <c r="B202" s="8">
        <v>4</v>
      </c>
      <c r="C202" s="8" t="s">
        <v>597</v>
      </c>
      <c r="D202" s="8" t="s">
        <v>63</v>
      </c>
      <c r="E202" s="8" t="s">
        <v>594</v>
      </c>
      <c r="F202" s="114" t="s">
        <v>596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-5</v>
      </c>
      <c r="O202" s="8" t="str">
        <f t="shared" ca="1" si="10"/>
        <v>ATRASADO</v>
      </c>
      <c r="P202" s="8" t="s">
        <v>32</v>
      </c>
      <c r="Q202" s="93" t="s">
        <v>488</v>
      </c>
      <c r="R202" s="96" t="s">
        <v>489</v>
      </c>
      <c r="S202" s="96" t="s">
        <v>227</v>
      </c>
      <c r="T202" s="96" t="s">
        <v>370</v>
      </c>
      <c r="U202" s="96"/>
      <c r="V202" s="8" t="s">
        <v>198</v>
      </c>
      <c r="W202" s="8" t="s">
        <v>591</v>
      </c>
    </row>
    <row r="203" spans="1:23" x14ac:dyDescent="0.25">
      <c r="A203" s="8">
        <v>2367</v>
      </c>
      <c r="B203" s="8">
        <v>5</v>
      </c>
      <c r="C203" s="8" t="s">
        <v>597</v>
      </c>
      <c r="D203" s="8" t="s">
        <v>63</v>
      </c>
      <c r="E203" s="8" t="s">
        <v>594</v>
      </c>
      <c r="F203" s="114" t="s">
        <v>596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-5</v>
      </c>
      <c r="O203" s="8" t="str">
        <f t="shared" ca="1" si="10"/>
        <v>ATRASADO</v>
      </c>
      <c r="P203" s="8" t="s">
        <v>32</v>
      </c>
      <c r="Q203" s="93" t="s">
        <v>488</v>
      </c>
      <c r="R203" s="96" t="s">
        <v>489</v>
      </c>
      <c r="S203" s="96" t="s">
        <v>227</v>
      </c>
      <c r="T203" s="96" t="s">
        <v>370</v>
      </c>
      <c r="U203" s="96"/>
      <c r="V203" s="8" t="s">
        <v>198</v>
      </c>
      <c r="W203" s="8" t="s">
        <v>591</v>
      </c>
    </row>
    <row r="204" spans="1:23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598</v>
      </c>
      <c r="F204" s="115" t="s">
        <v>599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-8</v>
      </c>
      <c r="O204" s="8" t="str">
        <f ca="1">IF(N204&lt;0,"ATRASADO",IF(N204&lt;=15,"ATENÇÃO","NO PRAZO"))</f>
        <v>ATRASADO</v>
      </c>
      <c r="P204" s="8" t="s">
        <v>32</v>
      </c>
      <c r="Q204" s="93" t="s">
        <v>488</v>
      </c>
      <c r="R204" s="93" t="s">
        <v>489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598</v>
      </c>
      <c r="F205" s="115" t="s">
        <v>599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-8</v>
      </c>
      <c r="O205" s="8" t="str">
        <f t="shared" ref="O205:O214" ca="1" si="11">IF(N205&lt;0,"ATRASADO",IF(N205&lt;=15,"ATENÇÃO","NO PRAZO"))</f>
        <v>ATRASADO</v>
      </c>
      <c r="P205" s="8" t="s">
        <v>32</v>
      </c>
      <c r="Q205" s="93" t="s">
        <v>488</v>
      </c>
      <c r="R205" s="93" t="s">
        <v>489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598</v>
      </c>
      <c r="F206" s="115" t="s">
        <v>599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-8</v>
      </c>
      <c r="O206" s="8" t="str">
        <f t="shared" ca="1" si="11"/>
        <v>ATRASADO</v>
      </c>
      <c r="P206" s="8" t="s">
        <v>32</v>
      </c>
      <c r="Q206" s="93" t="s">
        <v>488</v>
      </c>
      <c r="R206" s="93" t="s">
        <v>489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598</v>
      </c>
      <c r="F207" s="115" t="s">
        <v>600</v>
      </c>
      <c r="G207" s="8">
        <v>1</v>
      </c>
      <c r="H207" s="9">
        <v>46230</v>
      </c>
      <c r="I207" s="9">
        <v>46230</v>
      </c>
      <c r="J207" s="9">
        <v>46241</v>
      </c>
      <c r="K207" s="16"/>
      <c r="L207" s="9" t="s">
        <v>56</v>
      </c>
      <c r="M207" s="10" t="s">
        <v>56</v>
      </c>
      <c r="N207" s="10">
        <f ca="1">Tabela3[[#This Row],[Prazo
Entrega]]-TODAY()</f>
        <v>-4</v>
      </c>
      <c r="O207" s="8" t="str">
        <f t="shared" ca="1" si="11"/>
        <v>ATRASADO</v>
      </c>
      <c r="P207" s="8" t="s">
        <v>32</v>
      </c>
      <c r="Q207" s="93" t="s">
        <v>488</v>
      </c>
      <c r="R207" s="96" t="s">
        <v>489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598</v>
      </c>
      <c r="F208" s="115" t="s">
        <v>600</v>
      </c>
      <c r="G208" s="8">
        <v>1</v>
      </c>
      <c r="H208" s="9">
        <v>46230</v>
      </c>
      <c r="I208" s="9">
        <v>46230</v>
      </c>
      <c r="J208" s="9">
        <v>46241</v>
      </c>
      <c r="K208" s="16"/>
      <c r="L208" s="9" t="s">
        <v>56</v>
      </c>
      <c r="M208" s="10" t="s">
        <v>56</v>
      </c>
      <c r="N208" s="10">
        <f ca="1">Tabela3[[#This Row],[Prazo
Entrega]]-TODAY()</f>
        <v>-4</v>
      </c>
      <c r="O208" s="8" t="str">
        <f t="shared" ca="1" si="11"/>
        <v>ATRASADO</v>
      </c>
      <c r="P208" s="8" t="s">
        <v>32</v>
      </c>
      <c r="Q208" s="93" t="s">
        <v>488</v>
      </c>
      <c r="R208" s="96" t="s">
        <v>489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598</v>
      </c>
      <c r="F209" s="115" t="s">
        <v>600</v>
      </c>
      <c r="G209" s="8">
        <v>1</v>
      </c>
      <c r="H209" s="9">
        <v>46230</v>
      </c>
      <c r="I209" s="9">
        <v>46230</v>
      </c>
      <c r="J209" s="9">
        <v>46241</v>
      </c>
      <c r="K209" s="16"/>
      <c r="L209" s="9" t="s">
        <v>56</v>
      </c>
      <c r="M209" s="10" t="s">
        <v>56</v>
      </c>
      <c r="N209" s="10">
        <f ca="1">Tabela3[[#This Row],[Prazo
Entrega]]-TODAY()</f>
        <v>-4</v>
      </c>
      <c r="O209" s="8" t="str">
        <f t="shared" ca="1" si="11"/>
        <v>ATRASADO</v>
      </c>
      <c r="P209" s="8" t="s">
        <v>32</v>
      </c>
      <c r="Q209" s="93" t="s">
        <v>488</v>
      </c>
      <c r="R209" s="96" t="s">
        <v>489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598</v>
      </c>
      <c r="F210" s="115" t="s">
        <v>601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-8</v>
      </c>
      <c r="O210" s="8" t="str">
        <f t="shared" ca="1" si="11"/>
        <v>ATRASADO</v>
      </c>
      <c r="P210" s="8" t="s">
        <v>32</v>
      </c>
      <c r="Q210" s="93" t="s">
        <v>488</v>
      </c>
      <c r="R210" s="93" t="s">
        <v>489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598</v>
      </c>
      <c r="F211" s="115" t="s">
        <v>601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-8</v>
      </c>
      <c r="O211" s="8" t="str">
        <f t="shared" ca="1" si="11"/>
        <v>ATRASADO</v>
      </c>
      <c r="P211" s="8" t="s">
        <v>32</v>
      </c>
      <c r="Q211" s="93" t="s">
        <v>488</v>
      </c>
      <c r="R211" s="93" t="s">
        <v>489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598</v>
      </c>
      <c r="F212" s="115" t="s">
        <v>601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-8</v>
      </c>
      <c r="O212" s="8" t="str">
        <f t="shared" ca="1" si="11"/>
        <v>ATRASADO</v>
      </c>
      <c r="P212" s="8" t="s">
        <v>32</v>
      </c>
      <c r="Q212" s="93" t="s">
        <v>488</v>
      </c>
      <c r="R212" s="93" t="s">
        <v>489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598</v>
      </c>
      <c r="F213" s="115" t="s">
        <v>601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-8</v>
      </c>
      <c r="O213" s="8" t="str">
        <f t="shared" ca="1" si="11"/>
        <v>ATRASADO</v>
      </c>
      <c r="P213" s="8" t="s">
        <v>32</v>
      </c>
      <c r="Q213" s="93" t="s">
        <v>488</v>
      </c>
      <c r="R213" s="93" t="s">
        <v>489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598</v>
      </c>
      <c r="F214" s="115" t="s">
        <v>601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-8</v>
      </c>
      <c r="O214" s="8" t="str">
        <f t="shared" ca="1" si="11"/>
        <v>ATRASADO</v>
      </c>
      <c r="P214" s="8" t="s">
        <v>32</v>
      </c>
      <c r="Q214" s="93" t="s">
        <v>488</v>
      </c>
      <c r="R214" s="93" t="s">
        <v>489</v>
      </c>
      <c r="S214" s="93" t="s">
        <v>227</v>
      </c>
      <c r="T214" s="93" t="s">
        <v>370</v>
      </c>
      <c r="U214" s="96"/>
      <c r="V214" s="8" t="s">
        <v>301</v>
      </c>
      <c r="W214" s="8"/>
    </row>
    <row r="215" spans="1:23" x14ac:dyDescent="0.25">
      <c r="A215" s="12">
        <v>2393</v>
      </c>
      <c r="B215" s="12">
        <v>20</v>
      </c>
      <c r="C215" s="13">
        <v>157135</v>
      </c>
      <c r="D215" s="13">
        <v>0</v>
      </c>
      <c r="E215" s="8" t="s">
        <v>598</v>
      </c>
      <c r="F215" s="115" t="s">
        <v>599</v>
      </c>
      <c r="G215" s="8">
        <v>1</v>
      </c>
      <c r="H215" s="9">
        <v>46325</v>
      </c>
      <c r="I215" s="8"/>
      <c r="J215" s="9">
        <v>46386</v>
      </c>
      <c r="K215" s="16"/>
      <c r="L215" s="9" t="s">
        <v>58</v>
      </c>
      <c r="M215" s="10" t="s">
        <v>58</v>
      </c>
      <c r="N215" s="10">
        <f ca="1">Tabela3[[#This Row],[Prazo
Entrega]]-TODAY()</f>
        <v>141</v>
      </c>
      <c r="O215" s="8" t="str">
        <f t="shared" ref="O215:O222" ca="1" si="12">IF(N215&lt;0,"ATRASADO",IF(N215&lt;=15,"ATENÇÃO","NO PRAZO"))</f>
        <v>NO PRAZO</v>
      </c>
      <c r="P215" s="8" t="s">
        <v>32</v>
      </c>
      <c r="Q215" s="96" t="s">
        <v>488</v>
      </c>
      <c r="R215" s="96" t="s">
        <v>489</v>
      </c>
      <c r="S215" s="96" t="s">
        <v>227</v>
      </c>
      <c r="T215" s="96" t="s">
        <v>370</v>
      </c>
      <c r="U215" s="96"/>
      <c r="V215" s="8" t="s">
        <v>48</v>
      </c>
      <c r="W215" s="8"/>
    </row>
    <row r="216" spans="1:23" x14ac:dyDescent="0.25">
      <c r="A216" s="12">
        <v>2393</v>
      </c>
      <c r="B216" s="12">
        <v>21</v>
      </c>
      <c r="C216" s="13">
        <v>157135</v>
      </c>
      <c r="D216" s="13">
        <v>0</v>
      </c>
      <c r="E216" s="8" t="s">
        <v>598</v>
      </c>
      <c r="F216" s="115" t="s">
        <v>599</v>
      </c>
      <c r="G216" s="8">
        <v>1</v>
      </c>
      <c r="H216" s="9">
        <v>46325</v>
      </c>
      <c r="I216" s="8"/>
      <c r="J216" s="9">
        <v>46386</v>
      </c>
      <c r="K216" s="16"/>
      <c r="L216" s="9" t="s">
        <v>58</v>
      </c>
      <c r="M216" s="10" t="s">
        <v>58</v>
      </c>
      <c r="N216" s="10">
        <f ca="1">Tabela3[[#This Row],[Prazo
Entrega]]-TODAY()</f>
        <v>141</v>
      </c>
      <c r="O216" s="8" t="str">
        <f t="shared" ca="1" si="12"/>
        <v>NO PRAZO</v>
      </c>
      <c r="P216" s="8" t="s">
        <v>32</v>
      </c>
      <c r="Q216" s="96" t="s">
        <v>488</v>
      </c>
      <c r="R216" s="96" t="s">
        <v>489</v>
      </c>
      <c r="S216" s="96" t="s">
        <v>227</v>
      </c>
      <c r="T216" s="96" t="s">
        <v>370</v>
      </c>
      <c r="U216" s="96"/>
      <c r="V216" s="8" t="s">
        <v>48</v>
      </c>
      <c r="W216" s="8"/>
    </row>
    <row r="217" spans="1:23" x14ac:dyDescent="0.25">
      <c r="A217" s="12">
        <v>2393</v>
      </c>
      <c r="B217" s="12">
        <v>22</v>
      </c>
      <c r="C217" s="13">
        <v>157135</v>
      </c>
      <c r="D217" s="13">
        <v>0</v>
      </c>
      <c r="E217" s="8" t="s">
        <v>598</v>
      </c>
      <c r="F217" s="115" t="s">
        <v>599</v>
      </c>
      <c r="G217" s="8">
        <v>1</v>
      </c>
      <c r="H217" s="9">
        <v>46325</v>
      </c>
      <c r="I217" s="8"/>
      <c r="J217" s="9">
        <v>46386</v>
      </c>
      <c r="K217" s="16"/>
      <c r="L217" s="9" t="s">
        <v>58</v>
      </c>
      <c r="M217" s="10" t="s">
        <v>58</v>
      </c>
      <c r="N217" s="10">
        <f ca="1">Tabela3[[#This Row],[Prazo
Entrega]]-TODAY()</f>
        <v>141</v>
      </c>
      <c r="O217" s="8" t="str">
        <f t="shared" ca="1" si="12"/>
        <v>NO PRAZO</v>
      </c>
      <c r="P217" s="8" t="s">
        <v>32</v>
      </c>
      <c r="Q217" s="96" t="s">
        <v>488</v>
      </c>
      <c r="R217" s="96" t="s">
        <v>489</v>
      </c>
      <c r="S217" s="96" t="s">
        <v>227</v>
      </c>
      <c r="T217" s="96" t="s">
        <v>370</v>
      </c>
      <c r="U217" s="96"/>
      <c r="V217" s="8" t="s">
        <v>48</v>
      </c>
      <c r="W217" s="8"/>
    </row>
    <row r="218" spans="1:23" x14ac:dyDescent="0.25">
      <c r="A218" s="12">
        <v>2393</v>
      </c>
      <c r="B218" s="12">
        <v>23</v>
      </c>
      <c r="C218" s="13">
        <v>157135</v>
      </c>
      <c r="D218" s="13">
        <v>0</v>
      </c>
      <c r="E218" s="8" t="s">
        <v>598</v>
      </c>
      <c r="F218" s="115" t="s">
        <v>599</v>
      </c>
      <c r="G218" s="8">
        <v>1</v>
      </c>
      <c r="H218" s="9">
        <v>46325</v>
      </c>
      <c r="I218" s="8"/>
      <c r="J218" s="9">
        <v>46386</v>
      </c>
      <c r="K218" s="16"/>
      <c r="L218" s="9" t="s">
        <v>58</v>
      </c>
      <c r="M218" s="10" t="s">
        <v>58</v>
      </c>
      <c r="N218" s="10">
        <f ca="1">Tabela3[[#This Row],[Prazo
Entrega]]-TODAY()</f>
        <v>141</v>
      </c>
      <c r="O218" s="8" t="str">
        <f t="shared" ca="1" si="12"/>
        <v>NO PRAZO</v>
      </c>
      <c r="P218" s="8" t="s">
        <v>32</v>
      </c>
      <c r="Q218" s="96" t="s">
        <v>488</v>
      </c>
      <c r="R218" s="96" t="s">
        <v>489</v>
      </c>
      <c r="S218" s="96" t="s">
        <v>227</v>
      </c>
      <c r="T218" s="96" t="s">
        <v>370</v>
      </c>
      <c r="U218" s="96"/>
      <c r="V218" s="8" t="s">
        <v>48</v>
      </c>
      <c r="W218" s="8"/>
    </row>
    <row r="219" spans="1:23" x14ac:dyDescent="0.25">
      <c r="A219" s="12">
        <v>2393</v>
      </c>
      <c r="B219" s="12">
        <v>24</v>
      </c>
      <c r="C219" s="13">
        <v>157134</v>
      </c>
      <c r="D219" s="13">
        <v>0</v>
      </c>
      <c r="E219" s="8" t="s">
        <v>598</v>
      </c>
      <c r="F219" s="115" t="s">
        <v>600</v>
      </c>
      <c r="G219" s="8">
        <v>1</v>
      </c>
      <c r="H219" s="9">
        <v>46325</v>
      </c>
      <c r="I219" s="8"/>
      <c r="J219" s="9">
        <v>46386</v>
      </c>
      <c r="K219" s="16"/>
      <c r="L219" s="9" t="s">
        <v>58</v>
      </c>
      <c r="M219" s="10" t="s">
        <v>58</v>
      </c>
      <c r="N219" s="10">
        <f ca="1">Tabela3[[#This Row],[Prazo
Entrega]]-TODAY()</f>
        <v>141</v>
      </c>
      <c r="O219" s="8" t="str">
        <f t="shared" ca="1" si="12"/>
        <v>NO PRAZO</v>
      </c>
      <c r="P219" s="8" t="s">
        <v>32</v>
      </c>
      <c r="Q219" s="96" t="s">
        <v>488</v>
      </c>
      <c r="R219" s="96" t="s">
        <v>489</v>
      </c>
      <c r="S219" s="96" t="s">
        <v>227</v>
      </c>
      <c r="T219" s="96" t="s">
        <v>370</v>
      </c>
      <c r="U219" s="96"/>
      <c r="V219" s="8" t="s">
        <v>48</v>
      </c>
      <c r="W219" s="8"/>
    </row>
    <row r="220" spans="1:23" x14ac:dyDescent="0.25">
      <c r="A220" s="12">
        <v>2393</v>
      </c>
      <c r="B220" s="12">
        <v>25</v>
      </c>
      <c r="C220" s="13">
        <v>157134</v>
      </c>
      <c r="D220" s="13">
        <v>0</v>
      </c>
      <c r="E220" s="8" t="s">
        <v>598</v>
      </c>
      <c r="F220" s="115" t="s">
        <v>600</v>
      </c>
      <c r="G220" s="8">
        <v>1</v>
      </c>
      <c r="H220" s="9">
        <v>46325</v>
      </c>
      <c r="I220" s="8"/>
      <c r="J220" s="9">
        <v>46386</v>
      </c>
      <c r="K220" s="16"/>
      <c r="L220" s="9" t="s">
        <v>58</v>
      </c>
      <c r="M220" s="10" t="s">
        <v>58</v>
      </c>
      <c r="N220" s="10">
        <f ca="1">Tabela3[[#This Row],[Prazo
Entrega]]-TODAY()</f>
        <v>141</v>
      </c>
      <c r="O220" s="8" t="str">
        <f t="shared" ca="1" si="12"/>
        <v>NO PRAZO</v>
      </c>
      <c r="P220" s="8" t="s">
        <v>32</v>
      </c>
      <c r="Q220" s="96" t="s">
        <v>488</v>
      </c>
      <c r="R220" s="96" t="s">
        <v>489</v>
      </c>
      <c r="S220" s="96" t="s">
        <v>227</v>
      </c>
      <c r="T220" s="96" t="s">
        <v>370</v>
      </c>
      <c r="U220" s="96"/>
      <c r="V220" s="8" t="s">
        <v>48</v>
      </c>
      <c r="W220" s="8"/>
    </row>
    <row r="221" spans="1:23" x14ac:dyDescent="0.25">
      <c r="A221" s="12">
        <v>2393</v>
      </c>
      <c r="B221" s="12">
        <v>26</v>
      </c>
      <c r="C221" s="13">
        <v>157134</v>
      </c>
      <c r="D221" s="13">
        <v>0</v>
      </c>
      <c r="E221" s="8" t="s">
        <v>598</v>
      </c>
      <c r="F221" s="115" t="s">
        <v>600</v>
      </c>
      <c r="G221" s="8">
        <v>1</v>
      </c>
      <c r="H221" s="9">
        <v>46325</v>
      </c>
      <c r="I221" s="8"/>
      <c r="J221" s="9">
        <v>46386</v>
      </c>
      <c r="K221" s="16"/>
      <c r="L221" s="9" t="s">
        <v>58</v>
      </c>
      <c r="M221" s="10" t="s">
        <v>58</v>
      </c>
      <c r="N221" s="10">
        <f ca="1">Tabela3[[#This Row],[Prazo
Entrega]]-TODAY()</f>
        <v>141</v>
      </c>
      <c r="O221" s="8" t="str">
        <f t="shared" ca="1" si="12"/>
        <v>NO PRAZO</v>
      </c>
      <c r="P221" s="8" t="s">
        <v>32</v>
      </c>
      <c r="Q221" s="96" t="s">
        <v>488</v>
      </c>
      <c r="R221" s="96" t="s">
        <v>489</v>
      </c>
      <c r="S221" s="96" t="s">
        <v>227</v>
      </c>
      <c r="T221" s="96" t="s">
        <v>370</v>
      </c>
      <c r="U221" s="96"/>
      <c r="V221" s="8" t="s">
        <v>48</v>
      </c>
      <c r="W221" s="8"/>
    </row>
    <row r="222" spans="1:23" x14ac:dyDescent="0.25">
      <c r="A222" s="12">
        <v>2393</v>
      </c>
      <c r="B222" s="12">
        <v>27</v>
      </c>
      <c r="C222" s="13">
        <v>157134</v>
      </c>
      <c r="D222" s="13">
        <v>0</v>
      </c>
      <c r="E222" s="8" t="s">
        <v>598</v>
      </c>
      <c r="F222" s="115" t="s">
        <v>600</v>
      </c>
      <c r="G222" s="8">
        <v>1</v>
      </c>
      <c r="H222" s="9">
        <v>46325</v>
      </c>
      <c r="I222" s="8"/>
      <c r="J222" s="9">
        <v>46386</v>
      </c>
      <c r="K222" s="16"/>
      <c r="L222" s="9" t="s">
        <v>58</v>
      </c>
      <c r="M222" s="10" t="s">
        <v>58</v>
      </c>
      <c r="N222" s="10">
        <f ca="1">Tabela3[[#This Row],[Prazo
Entrega]]-TODAY()</f>
        <v>141</v>
      </c>
      <c r="O222" s="8" t="str">
        <f t="shared" ca="1" si="12"/>
        <v>NO PRAZO</v>
      </c>
      <c r="P222" s="8" t="s">
        <v>32</v>
      </c>
      <c r="Q222" s="96" t="s">
        <v>488</v>
      </c>
      <c r="R222" s="96" t="s">
        <v>489</v>
      </c>
      <c r="S222" s="96" t="s">
        <v>227</v>
      </c>
      <c r="T222" s="96" t="s">
        <v>370</v>
      </c>
      <c r="U222" s="96"/>
      <c r="V222" s="8" t="s">
        <v>48</v>
      </c>
      <c r="W222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A62" workbookViewId="0">
      <selection activeCell="F82" sqref="F82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487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>
        <v>46232</v>
      </c>
      <c r="J2" s="16">
        <v>46269</v>
      </c>
      <c r="K2" s="28"/>
      <c r="L2" s="11">
        <f ca="1">Tabela13[[#This Row],[Data Prev.
Entrega]]-TODAY()</f>
        <v>24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16" t="s">
        <v>491</v>
      </c>
      <c r="R2" s="1" t="s">
        <v>493</v>
      </c>
      <c r="S2" s="1" t="s">
        <v>494</v>
      </c>
      <c r="T2" s="1" t="s">
        <v>220</v>
      </c>
      <c r="U2" s="1" t="s">
        <v>492</v>
      </c>
      <c r="V2" s="1" t="s">
        <v>227</v>
      </c>
      <c r="W2" s="1" t="s">
        <v>372</v>
      </c>
      <c r="X2" t="str">
        <f t="shared" ref="X2:X25" si="1">IF(I2="","AG. FUNDIDO",IF(W2="OK","LIBERADA","EM USINAGEM"))</f>
        <v>EM USINAGEM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28">
        <v>46232</v>
      </c>
      <c r="J3" s="16">
        <v>46269</v>
      </c>
      <c r="K3" s="28"/>
      <c r="L3" s="11">
        <f ca="1">Tabela13[[#This Row],[Data Prev.
Entrega]]-TODAY()</f>
        <v>24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16" t="s">
        <v>491</v>
      </c>
      <c r="R3" s="1" t="s">
        <v>493</v>
      </c>
      <c r="S3" s="1" t="s">
        <v>494</v>
      </c>
      <c r="T3" s="1" t="s">
        <v>220</v>
      </c>
      <c r="U3" s="1" t="s">
        <v>492</v>
      </c>
      <c r="V3" s="1" t="s">
        <v>227</v>
      </c>
      <c r="W3" s="1" t="s">
        <v>372</v>
      </c>
      <c r="X3" t="str">
        <f t="shared" si="1"/>
        <v>EM USINAGEM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-6</v>
      </c>
      <c r="M4" s="11" t="str">
        <f t="shared" ca="1" si="0"/>
        <v>ATRASADO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-6</v>
      </c>
      <c r="M5" s="11" t="str">
        <f t="shared" ca="1" si="0"/>
        <v>ATRASADO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-6</v>
      </c>
      <c r="M6" s="11" t="str">
        <f t="shared" ca="1" si="0"/>
        <v>ATRASADO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50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-6</v>
      </c>
      <c r="M8" s="11" t="str">
        <f t="shared" ca="1" si="0"/>
        <v>ATRASADO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21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21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21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21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21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50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50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50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35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491</v>
      </c>
      <c r="R17" s="1" t="s">
        <v>493</v>
      </c>
      <c r="S17" s="1" t="s">
        <v>494</v>
      </c>
      <c r="T17" s="1" t="s">
        <v>220</v>
      </c>
      <c r="U17" s="1" t="s">
        <v>492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35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491</v>
      </c>
      <c r="R18" s="1" t="s">
        <v>493</v>
      </c>
      <c r="S18" s="1" t="s">
        <v>494</v>
      </c>
      <c r="T18" s="1" t="s">
        <v>220</v>
      </c>
      <c r="U18" s="1" t="s">
        <v>492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35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491</v>
      </c>
      <c r="R19" s="1" t="s">
        <v>493</v>
      </c>
      <c r="S19" s="1" t="s">
        <v>494</v>
      </c>
      <c r="T19" s="1" t="s">
        <v>220</v>
      </c>
      <c r="U19" s="1" t="s">
        <v>492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35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491</v>
      </c>
      <c r="R20" s="1" t="s">
        <v>493</v>
      </c>
      <c r="S20" s="1" t="s">
        <v>494</v>
      </c>
      <c r="T20" s="1" t="s">
        <v>220</v>
      </c>
      <c r="U20" s="1" t="s">
        <v>492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35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491</v>
      </c>
      <c r="R21" s="1" t="s">
        <v>493</v>
      </c>
      <c r="S21" s="1" t="s">
        <v>494</v>
      </c>
      <c r="T21" s="1" t="s">
        <v>220</v>
      </c>
      <c r="U21" s="1" t="s">
        <v>492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35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491</v>
      </c>
      <c r="R22" s="1" t="s">
        <v>493</v>
      </c>
      <c r="S22" s="1" t="s">
        <v>494</v>
      </c>
      <c r="T22" s="1" t="s">
        <v>220</v>
      </c>
      <c r="U22" s="1" t="s">
        <v>492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35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491</v>
      </c>
      <c r="R23" s="1" t="s">
        <v>493</v>
      </c>
      <c r="S23" s="1" t="s">
        <v>494</v>
      </c>
      <c r="T23" s="1" t="s">
        <v>220</v>
      </c>
      <c r="U23" s="1" t="s">
        <v>492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35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491</v>
      </c>
      <c r="R24" s="1" t="s">
        <v>493</v>
      </c>
      <c r="S24" s="1" t="s">
        <v>494</v>
      </c>
      <c r="T24" s="1" t="s">
        <v>220</v>
      </c>
      <c r="U24" s="1" t="s">
        <v>492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35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491</v>
      </c>
      <c r="R25" s="1" t="s">
        <v>493</v>
      </c>
      <c r="S25" s="1" t="s">
        <v>494</v>
      </c>
      <c r="T25" s="1" t="s">
        <v>220</v>
      </c>
      <c r="U25" s="1" t="s">
        <v>492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129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491</v>
      </c>
      <c r="R26" s="1" t="s">
        <v>493</v>
      </c>
      <c r="S26" s="1" t="s">
        <v>494</v>
      </c>
      <c r="T26" s="1" t="s">
        <v>220</v>
      </c>
      <c r="U26" s="1" t="s">
        <v>492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129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491</v>
      </c>
      <c r="R27" s="1" t="s">
        <v>493</v>
      </c>
      <c r="S27" s="1" t="s">
        <v>494</v>
      </c>
      <c r="T27" s="1" t="s">
        <v>220</v>
      </c>
      <c r="U27" s="1" t="s">
        <v>492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129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491</v>
      </c>
      <c r="R28" s="1" t="s">
        <v>493</v>
      </c>
      <c r="S28" s="1" t="s">
        <v>494</v>
      </c>
      <c r="T28" s="1" t="s">
        <v>220</v>
      </c>
      <c r="U28" s="1" t="s">
        <v>492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41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491</v>
      </c>
      <c r="R29" s="1" t="s">
        <v>493</v>
      </c>
      <c r="S29" s="1" t="s">
        <v>494</v>
      </c>
      <c r="T29" s="1" t="s">
        <v>220</v>
      </c>
      <c r="U29" s="1" t="s">
        <v>492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41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491</v>
      </c>
      <c r="R30" s="1" t="s">
        <v>493</v>
      </c>
      <c r="S30" s="1" t="s">
        <v>494</v>
      </c>
      <c r="T30" s="1" t="s">
        <v>220</v>
      </c>
      <c r="U30" s="1" t="s">
        <v>492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41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491</v>
      </c>
      <c r="R31" s="1" t="s">
        <v>493</v>
      </c>
      <c r="S31" s="1" t="s">
        <v>494</v>
      </c>
      <c r="T31" s="1" t="s">
        <v>220</v>
      </c>
      <c r="U31" s="1" t="s">
        <v>492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129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491</v>
      </c>
      <c r="R32" s="1" t="s">
        <v>493</v>
      </c>
      <c r="S32" s="1" t="s">
        <v>494</v>
      </c>
      <c r="T32" s="1" t="s">
        <v>220</v>
      </c>
      <c r="U32" s="1" t="s">
        <v>492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129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491</v>
      </c>
      <c r="R33" s="1" t="s">
        <v>493</v>
      </c>
      <c r="S33" s="1" t="s">
        <v>494</v>
      </c>
      <c r="T33" s="1" t="s">
        <v>220</v>
      </c>
      <c r="U33" s="1" t="s">
        <v>492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129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491</v>
      </c>
      <c r="R34" s="1" t="s">
        <v>493</v>
      </c>
      <c r="S34" s="1" t="s">
        <v>494</v>
      </c>
      <c r="T34" s="1" t="s">
        <v>220</v>
      </c>
      <c r="U34" s="1" t="s">
        <v>492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129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491</v>
      </c>
      <c r="R35" s="1" t="s">
        <v>493</v>
      </c>
      <c r="S35" s="1" t="s">
        <v>494</v>
      </c>
      <c r="T35" s="1" t="s">
        <v>220</v>
      </c>
      <c r="U35" s="1" t="s">
        <v>492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50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491</v>
      </c>
      <c r="R36" s="1" t="s">
        <v>493</v>
      </c>
      <c r="S36" s="1" t="s">
        <v>494</v>
      </c>
      <c r="T36" s="1" t="s">
        <v>220</v>
      </c>
      <c r="U36" s="1" t="s">
        <v>492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50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491</v>
      </c>
      <c r="R37" s="1" t="s">
        <v>493</v>
      </c>
      <c r="S37" s="1" t="s">
        <v>494</v>
      </c>
      <c r="T37" s="1" t="s">
        <v>220</v>
      </c>
      <c r="U37" s="1" t="s">
        <v>492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50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491</v>
      </c>
      <c r="R38" s="1" t="s">
        <v>493</v>
      </c>
      <c r="S38" s="1" t="s">
        <v>494</v>
      </c>
      <c r="T38" s="1" t="s">
        <v>220</v>
      </c>
      <c r="U38" s="1" t="s">
        <v>492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50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491</v>
      </c>
      <c r="R39" s="1" t="s">
        <v>493</v>
      </c>
      <c r="S39" s="1" t="s">
        <v>494</v>
      </c>
      <c r="T39" s="1" t="s">
        <v>220</v>
      </c>
      <c r="U39" s="1" t="s">
        <v>492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472</v>
      </c>
      <c r="F40" s="6" t="s">
        <v>499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84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491</v>
      </c>
      <c r="R40" s="1" t="s">
        <v>493</v>
      </c>
      <c r="S40" s="1" t="s">
        <v>494</v>
      </c>
      <c r="T40" s="1" t="s">
        <v>220</v>
      </c>
      <c r="U40" s="1" t="s">
        <v>492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472</v>
      </c>
      <c r="F41" s="6" t="s">
        <v>499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84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491</v>
      </c>
      <c r="R41" s="1" t="s">
        <v>493</v>
      </c>
      <c r="S41" s="1" t="s">
        <v>494</v>
      </c>
      <c r="T41" s="1" t="s">
        <v>220</v>
      </c>
      <c r="U41" s="1" t="s">
        <v>492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472</v>
      </c>
      <c r="F42" s="6" t="s">
        <v>499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84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491</v>
      </c>
      <c r="R42" s="1" t="s">
        <v>493</v>
      </c>
      <c r="S42" s="1" t="s">
        <v>494</v>
      </c>
      <c r="T42" s="1" t="s">
        <v>220</v>
      </c>
      <c r="U42" s="1" t="s">
        <v>492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472</v>
      </c>
      <c r="F43" s="6" t="s">
        <v>499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84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491</v>
      </c>
      <c r="R43" s="1" t="s">
        <v>493</v>
      </c>
      <c r="S43" s="1" t="s">
        <v>494</v>
      </c>
      <c r="T43" s="1" t="s">
        <v>220</v>
      </c>
      <c r="U43" s="1" t="s">
        <v>492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472</v>
      </c>
      <c r="F44" s="6" t="s">
        <v>499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84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491</v>
      </c>
      <c r="R44" s="1" t="s">
        <v>493</v>
      </c>
      <c r="S44" s="1" t="s">
        <v>494</v>
      </c>
      <c r="T44" s="1" t="s">
        <v>220</v>
      </c>
      <c r="U44" s="1" t="s">
        <v>492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472</v>
      </c>
      <c r="F45" s="6" t="s">
        <v>499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84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491</v>
      </c>
      <c r="R45" s="1" t="s">
        <v>493</v>
      </c>
      <c r="S45" s="1" t="s">
        <v>494</v>
      </c>
      <c r="T45" s="1" t="s">
        <v>220</v>
      </c>
      <c r="U45" s="1" t="s">
        <v>492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472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84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491</v>
      </c>
      <c r="R46" s="1" t="s">
        <v>493</v>
      </c>
      <c r="S46" s="1" t="s">
        <v>494</v>
      </c>
      <c r="T46" s="1" t="s">
        <v>220</v>
      </c>
      <c r="U46" s="1" t="s">
        <v>492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472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84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491</v>
      </c>
      <c r="R47" s="1" t="s">
        <v>493</v>
      </c>
      <c r="S47" s="1" t="s">
        <v>494</v>
      </c>
      <c r="T47" s="1" t="s">
        <v>220</v>
      </c>
      <c r="U47" s="1" t="s">
        <v>492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472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84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491</v>
      </c>
      <c r="R48" s="1" t="s">
        <v>493</v>
      </c>
      <c r="S48" s="1" t="s">
        <v>494</v>
      </c>
      <c r="T48" s="1" t="s">
        <v>220</v>
      </c>
      <c r="U48" s="1" t="s">
        <v>492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472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84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491</v>
      </c>
      <c r="R49" s="1" t="s">
        <v>493</v>
      </c>
      <c r="S49" s="1" t="s">
        <v>494</v>
      </c>
      <c r="T49" s="1" t="s">
        <v>220</v>
      </c>
      <c r="U49" s="1" t="s">
        <v>492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472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84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491</v>
      </c>
      <c r="R50" s="1" t="s">
        <v>493</v>
      </c>
      <c r="S50" s="1" t="s">
        <v>494</v>
      </c>
      <c r="T50" s="1" t="s">
        <v>220</v>
      </c>
      <c r="U50" s="1" t="s">
        <v>492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472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84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491</v>
      </c>
      <c r="R51" s="1" t="s">
        <v>493</v>
      </c>
      <c r="S51" s="1" t="s">
        <v>494</v>
      </c>
      <c r="T51" s="1" t="s">
        <v>220</v>
      </c>
      <c r="U51" s="1" t="s">
        <v>492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500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141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491</v>
      </c>
      <c r="R52" s="1" t="s">
        <v>493</v>
      </c>
      <c r="S52" s="1" t="s">
        <v>494</v>
      </c>
      <c r="T52" s="1" t="s">
        <v>220</v>
      </c>
      <c r="U52" s="1" t="s">
        <v>492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501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502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141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491</v>
      </c>
      <c r="R53" s="1" t="s">
        <v>493</v>
      </c>
      <c r="S53" s="1" t="s">
        <v>494</v>
      </c>
      <c r="T53" s="1" t="s">
        <v>220</v>
      </c>
      <c r="U53" s="1" t="s">
        <v>492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503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502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141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491</v>
      </c>
      <c r="R54" s="1" t="s">
        <v>493</v>
      </c>
      <c r="S54" s="1" t="s">
        <v>494</v>
      </c>
      <c r="T54" s="1" t="s">
        <v>220</v>
      </c>
      <c r="U54" s="1" t="s">
        <v>492</v>
      </c>
      <c r="V54" s="1" t="s">
        <v>227</v>
      </c>
      <c r="W54" s="1" t="s">
        <v>372</v>
      </c>
      <c r="X54" t="str">
        <f t="shared" si="14"/>
        <v>AG. FUNDIDO</v>
      </c>
      <c r="Y54" t="s">
        <v>504</v>
      </c>
    </row>
    <row r="55" spans="1:25" x14ac:dyDescent="0.25">
      <c r="A55" s="12">
        <v>2354</v>
      </c>
      <c r="B55" s="12">
        <v>20</v>
      </c>
      <c r="C55" s="12">
        <v>27639</v>
      </c>
      <c r="D55" s="12">
        <v>10</v>
      </c>
      <c r="E55" s="6" t="s">
        <v>519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141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491</v>
      </c>
      <c r="R55" s="1" t="s">
        <v>493</v>
      </c>
      <c r="S55" s="1" t="s">
        <v>494</v>
      </c>
      <c r="T55" s="1" t="s">
        <v>220</v>
      </c>
      <c r="U55" s="1" t="s">
        <v>492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>
        <v>11</v>
      </c>
      <c r="C56" s="12">
        <v>27639</v>
      </c>
      <c r="D56" s="12">
        <v>11</v>
      </c>
      <c r="E56" s="6" t="s">
        <v>519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141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491</v>
      </c>
      <c r="R56" s="1" t="s">
        <v>493</v>
      </c>
      <c r="S56" s="1" t="s">
        <v>494</v>
      </c>
      <c r="T56" s="1" t="s">
        <v>220</v>
      </c>
      <c r="U56" s="1" t="s">
        <v>492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A57" s="12">
        <v>2372</v>
      </c>
      <c r="B57" s="12">
        <v>1</v>
      </c>
      <c r="C57" s="12">
        <v>144131</v>
      </c>
      <c r="D57" s="12">
        <v>0</v>
      </c>
      <c r="E57" s="6" t="s">
        <v>694</v>
      </c>
      <c r="F57" s="6" t="s">
        <v>695</v>
      </c>
      <c r="G57" s="12">
        <v>1</v>
      </c>
      <c r="H57" s="16">
        <v>46290</v>
      </c>
      <c r="I57" s="1"/>
      <c r="J57" s="16">
        <v>46321</v>
      </c>
      <c r="K57" s="1"/>
      <c r="L57" s="11">
        <f ca="1">Tabela13[[#This Row],[Data Prev.
Entrega]]-TODAY()</f>
        <v>76</v>
      </c>
      <c r="M57" s="11" t="str">
        <f t="shared" ref="M57:M59" ca="1" si="15">IF(L57&lt;0,"ATRASADO",IF(L57&lt;=15,"ATENÇÃO","NO PRAZO"))</f>
        <v>NO PRAZO</v>
      </c>
      <c r="N57" t="s">
        <v>32</v>
      </c>
      <c r="O57" s="29">
        <v>46285</v>
      </c>
      <c r="P57" s="1" t="s">
        <v>58</v>
      </c>
      <c r="Q57" s="1" t="s">
        <v>491</v>
      </c>
      <c r="R57" s="1" t="s">
        <v>493</v>
      </c>
      <c r="S57" s="1" t="s">
        <v>494</v>
      </c>
      <c r="T57" s="1" t="s">
        <v>220</v>
      </c>
      <c r="U57" s="1" t="s">
        <v>492</v>
      </c>
      <c r="V57" s="1" t="s">
        <v>227</v>
      </c>
      <c r="W57" s="1" t="s">
        <v>372</v>
      </c>
      <c r="X57" t="str">
        <f t="shared" ref="X57:X59" si="16">IF(I57="","AG. FUNDIDO",IF(W57="OK","LIBERADA","EM USINAGEM"))</f>
        <v>AG. FUNDIDO</v>
      </c>
    </row>
    <row r="58" spans="1:25" x14ac:dyDescent="0.25">
      <c r="A58" s="12">
        <v>2372</v>
      </c>
      <c r="B58" s="12">
        <v>2</v>
      </c>
      <c r="C58" s="12">
        <v>144131</v>
      </c>
      <c r="D58" s="12">
        <v>0</v>
      </c>
      <c r="E58" s="6" t="s">
        <v>694</v>
      </c>
      <c r="F58" s="6" t="s">
        <v>695</v>
      </c>
      <c r="G58" s="12">
        <v>1</v>
      </c>
      <c r="H58" s="16">
        <v>46290</v>
      </c>
      <c r="I58" s="1"/>
      <c r="J58" s="16">
        <v>46321</v>
      </c>
      <c r="K58" s="1"/>
      <c r="L58" s="11">
        <f ca="1">Tabela13[[#This Row],[Data Prev.
Entrega]]-TODAY()</f>
        <v>76</v>
      </c>
      <c r="M58" s="11" t="str">
        <f t="shared" ca="1" si="15"/>
        <v>NO PRAZO</v>
      </c>
      <c r="N58" t="s">
        <v>32</v>
      </c>
      <c r="O58" s="29">
        <v>46285</v>
      </c>
      <c r="P58" s="1" t="s">
        <v>58</v>
      </c>
      <c r="Q58" s="1" t="s">
        <v>491</v>
      </c>
      <c r="R58" s="1" t="s">
        <v>493</v>
      </c>
      <c r="S58" s="1" t="s">
        <v>494</v>
      </c>
      <c r="T58" s="1" t="s">
        <v>220</v>
      </c>
      <c r="U58" s="1" t="s">
        <v>492</v>
      </c>
      <c r="V58" s="1" t="s">
        <v>227</v>
      </c>
      <c r="W58" s="1" t="s">
        <v>372</v>
      </c>
      <c r="X58" t="str">
        <f t="shared" si="16"/>
        <v>AG. FUNDIDO</v>
      </c>
    </row>
    <row r="59" spans="1:25" x14ac:dyDescent="0.25">
      <c r="A59" s="12">
        <v>2372</v>
      </c>
      <c r="B59" s="12">
        <v>3</v>
      </c>
      <c r="C59" s="12">
        <v>144132</v>
      </c>
      <c r="D59" s="12">
        <v>0</v>
      </c>
      <c r="E59" s="6" t="s">
        <v>694</v>
      </c>
      <c r="F59" s="6" t="s">
        <v>696</v>
      </c>
      <c r="G59" s="12">
        <v>1</v>
      </c>
      <c r="H59" s="16">
        <v>46290</v>
      </c>
      <c r="I59" s="1"/>
      <c r="J59" s="16">
        <v>46321</v>
      </c>
      <c r="K59" s="1"/>
      <c r="L59" s="11">
        <f ca="1">Tabela13[[#This Row],[Data Prev.
Entrega]]-TODAY()</f>
        <v>76</v>
      </c>
      <c r="M59" s="11" t="str">
        <f t="shared" ca="1" si="15"/>
        <v>NO PRAZO</v>
      </c>
      <c r="N59" t="s">
        <v>32</v>
      </c>
      <c r="O59" s="29">
        <v>46285</v>
      </c>
      <c r="P59" s="1" t="s">
        <v>58</v>
      </c>
      <c r="Q59" s="1" t="s">
        <v>491</v>
      </c>
      <c r="R59" s="1" t="s">
        <v>493</v>
      </c>
      <c r="S59" s="1" t="s">
        <v>494</v>
      </c>
      <c r="T59" s="1" t="s">
        <v>220</v>
      </c>
      <c r="U59" s="1" t="s">
        <v>492</v>
      </c>
      <c r="V59" s="1" t="s">
        <v>227</v>
      </c>
      <c r="W59" s="1" t="s">
        <v>372</v>
      </c>
      <c r="X59" t="str">
        <f t="shared" si="16"/>
        <v>AG. FUNDIDO</v>
      </c>
    </row>
    <row r="60" spans="1:25" x14ac:dyDescent="0.25">
      <c r="A60" s="12">
        <v>2373</v>
      </c>
      <c r="B60" s="12">
        <v>1</v>
      </c>
      <c r="C60" s="12">
        <v>163061</v>
      </c>
      <c r="D60" s="12">
        <v>0</v>
      </c>
      <c r="E60" s="6" t="s">
        <v>697</v>
      </c>
      <c r="F60" s="6" t="s">
        <v>698</v>
      </c>
      <c r="G60" s="12">
        <v>1</v>
      </c>
      <c r="H60" s="16">
        <v>46293</v>
      </c>
      <c r="I60" s="1"/>
      <c r="J60" s="16">
        <v>46325</v>
      </c>
      <c r="K60" s="1"/>
      <c r="L60" s="11">
        <f ca="1">Tabela13[[#This Row],[Data Prev.
Entrega]]-TODAY()</f>
        <v>80</v>
      </c>
      <c r="M60" s="11" t="str">
        <f ca="1">IF(L60&lt;0,"ATRASADO",IF(L60&lt;=15,"ATENÇÃO","NO PRAZO"))</f>
        <v>NO PRAZO</v>
      </c>
      <c r="N60" t="s">
        <v>32</v>
      </c>
      <c r="O60" s="29">
        <v>46285</v>
      </c>
      <c r="P60" s="1" t="s">
        <v>58</v>
      </c>
      <c r="Q60" s="1" t="s">
        <v>491</v>
      </c>
      <c r="R60" s="1" t="s">
        <v>493</v>
      </c>
      <c r="S60" s="1" t="s">
        <v>494</v>
      </c>
      <c r="T60" s="1" t="s">
        <v>220</v>
      </c>
      <c r="U60" s="1" t="s">
        <v>492</v>
      </c>
      <c r="V60" s="1" t="s">
        <v>227</v>
      </c>
      <c r="W60" s="1" t="s">
        <v>372</v>
      </c>
      <c r="X60" t="str">
        <f>IF(I60="","AG. FUNDIDO",IF(W60="OK","LIBERADA","EM USINAGEM"))</f>
        <v>AG. FUNDIDO</v>
      </c>
    </row>
    <row r="61" spans="1:25" x14ac:dyDescent="0.25">
      <c r="A61" s="12">
        <v>2373</v>
      </c>
      <c r="B61" s="12">
        <v>2</v>
      </c>
      <c r="C61" s="12">
        <v>163061</v>
      </c>
      <c r="D61" s="12">
        <v>0</v>
      </c>
      <c r="E61" s="6" t="s">
        <v>697</v>
      </c>
      <c r="F61" s="6" t="s">
        <v>698</v>
      </c>
      <c r="G61" s="12">
        <v>1</v>
      </c>
      <c r="H61" s="16">
        <v>46293</v>
      </c>
      <c r="I61" s="1"/>
      <c r="J61" s="16">
        <v>46325</v>
      </c>
      <c r="K61" s="1"/>
      <c r="L61" s="11">
        <f ca="1">Tabela13[[#This Row],[Data Prev.
Entrega]]-TODAY()</f>
        <v>80</v>
      </c>
      <c r="M61" s="11" t="str">
        <f t="shared" ref="M61:M64" ca="1" si="17">IF(L61&lt;0,"ATRASADO",IF(L61&lt;=15,"ATENÇÃO","NO PRAZO"))</f>
        <v>NO PRAZO</v>
      </c>
      <c r="N61" t="s">
        <v>32</v>
      </c>
      <c r="O61" s="29">
        <v>46285</v>
      </c>
      <c r="P61" s="1" t="s">
        <v>58</v>
      </c>
      <c r="Q61" s="1" t="s">
        <v>491</v>
      </c>
      <c r="R61" s="1" t="s">
        <v>493</v>
      </c>
      <c r="S61" s="1" t="s">
        <v>494</v>
      </c>
      <c r="T61" s="1" t="s">
        <v>220</v>
      </c>
      <c r="U61" s="1" t="s">
        <v>492</v>
      </c>
      <c r="V61" s="1" t="s">
        <v>227</v>
      </c>
      <c r="W61" s="1" t="s">
        <v>372</v>
      </c>
      <c r="X61" t="str">
        <f t="shared" ref="X61:X64" si="18">IF(I61="","AG. FUNDIDO",IF(W61="OK","LIBERADA","EM USINAGEM"))</f>
        <v>AG. FUNDIDO</v>
      </c>
    </row>
    <row r="62" spans="1:25" x14ac:dyDescent="0.25">
      <c r="A62" s="12">
        <v>2373</v>
      </c>
      <c r="B62" s="12">
        <v>3</v>
      </c>
      <c r="C62" s="12">
        <v>163061</v>
      </c>
      <c r="D62" s="12">
        <v>0</v>
      </c>
      <c r="E62" s="6" t="s">
        <v>697</v>
      </c>
      <c r="F62" s="6" t="s">
        <v>698</v>
      </c>
      <c r="G62" s="12">
        <v>1</v>
      </c>
      <c r="H62" s="16">
        <v>46293</v>
      </c>
      <c r="I62" s="1"/>
      <c r="J62" s="16">
        <v>46325</v>
      </c>
      <c r="K62" s="1"/>
      <c r="L62" s="11">
        <f ca="1">Tabela13[[#This Row],[Data Prev.
Entrega]]-TODAY()</f>
        <v>80</v>
      </c>
      <c r="M62" s="11" t="str">
        <f t="shared" ca="1" si="17"/>
        <v>NO PRAZO</v>
      </c>
      <c r="N62" t="s">
        <v>32</v>
      </c>
      <c r="O62" s="29">
        <v>46285</v>
      </c>
      <c r="P62" s="1" t="s">
        <v>58</v>
      </c>
      <c r="Q62" s="1" t="s">
        <v>491</v>
      </c>
      <c r="R62" s="1" t="s">
        <v>493</v>
      </c>
      <c r="S62" s="1" t="s">
        <v>494</v>
      </c>
      <c r="T62" s="1" t="s">
        <v>220</v>
      </c>
      <c r="U62" s="1" t="s">
        <v>492</v>
      </c>
      <c r="V62" s="1" t="s">
        <v>227</v>
      </c>
      <c r="W62" s="1" t="s">
        <v>372</v>
      </c>
      <c r="X62" t="str">
        <f t="shared" si="18"/>
        <v>AG. FUNDIDO</v>
      </c>
    </row>
    <row r="63" spans="1:25" x14ac:dyDescent="0.25">
      <c r="A63" s="12">
        <v>2373</v>
      </c>
      <c r="B63" s="12">
        <v>4</v>
      </c>
      <c r="C63" s="12">
        <v>163062</v>
      </c>
      <c r="D63" s="12">
        <v>0</v>
      </c>
      <c r="E63" s="6" t="s">
        <v>697</v>
      </c>
      <c r="F63" s="6" t="s">
        <v>699</v>
      </c>
      <c r="G63" s="12">
        <v>1</v>
      </c>
      <c r="H63" s="16">
        <v>46293</v>
      </c>
      <c r="I63" s="1"/>
      <c r="J63" s="16">
        <v>46325</v>
      </c>
      <c r="K63" s="1"/>
      <c r="L63" s="11">
        <f ca="1">Tabela13[[#This Row],[Data Prev.
Entrega]]-TODAY()</f>
        <v>80</v>
      </c>
      <c r="M63" s="11" t="str">
        <f t="shared" ca="1" si="17"/>
        <v>NO PRAZO</v>
      </c>
      <c r="N63" t="s">
        <v>32</v>
      </c>
      <c r="O63" s="29">
        <v>46285</v>
      </c>
      <c r="P63" s="1" t="s">
        <v>58</v>
      </c>
      <c r="Q63" s="1" t="s">
        <v>491</v>
      </c>
      <c r="R63" s="1" t="s">
        <v>493</v>
      </c>
      <c r="S63" s="1" t="s">
        <v>494</v>
      </c>
      <c r="T63" s="1" t="s">
        <v>220</v>
      </c>
      <c r="U63" s="1" t="s">
        <v>492</v>
      </c>
      <c r="V63" s="1" t="s">
        <v>227</v>
      </c>
      <c r="W63" s="1" t="s">
        <v>372</v>
      </c>
      <c r="X63" t="str">
        <f t="shared" si="18"/>
        <v>AG. FUNDIDO</v>
      </c>
    </row>
    <row r="64" spans="1:25" x14ac:dyDescent="0.25">
      <c r="A64" s="12">
        <v>2373</v>
      </c>
      <c r="B64" s="12">
        <v>5</v>
      </c>
      <c r="C64" s="12">
        <v>163063</v>
      </c>
      <c r="D64" s="12">
        <v>0</v>
      </c>
      <c r="E64" s="6" t="s">
        <v>697</v>
      </c>
      <c r="F64" s="6" t="s">
        <v>700</v>
      </c>
      <c r="G64" s="12">
        <v>1</v>
      </c>
      <c r="H64" s="16">
        <v>46293</v>
      </c>
      <c r="I64" s="1"/>
      <c r="J64" s="16">
        <v>46325</v>
      </c>
      <c r="K64" s="1"/>
      <c r="L64" s="11">
        <f ca="1">Tabela13[[#This Row],[Data Prev.
Entrega]]-TODAY()</f>
        <v>80</v>
      </c>
      <c r="M64" s="11" t="str">
        <f t="shared" ca="1" si="17"/>
        <v>NO PRAZO</v>
      </c>
      <c r="N64" t="s">
        <v>32</v>
      </c>
      <c r="O64" s="29">
        <v>46285</v>
      </c>
      <c r="P64" s="1" t="s">
        <v>58</v>
      </c>
      <c r="Q64" s="1" t="s">
        <v>491</v>
      </c>
      <c r="R64" s="1" t="s">
        <v>493</v>
      </c>
      <c r="S64" s="1" t="s">
        <v>494</v>
      </c>
      <c r="T64" s="1" t="s">
        <v>220</v>
      </c>
      <c r="U64" s="1" t="s">
        <v>492</v>
      </c>
      <c r="V64" s="1" t="s">
        <v>227</v>
      </c>
      <c r="W64" s="1" t="s">
        <v>372</v>
      </c>
      <c r="X64" t="str">
        <f t="shared" si="18"/>
        <v>AG. FUNDIDO</v>
      </c>
    </row>
    <row r="65" spans="1:24" x14ac:dyDescent="0.25">
      <c r="A65" s="12">
        <v>2375</v>
      </c>
      <c r="B65" s="12">
        <v>4</v>
      </c>
      <c r="C65" s="13">
        <v>143132</v>
      </c>
      <c r="D65" s="13">
        <v>0</v>
      </c>
      <c r="E65" s="6" t="s">
        <v>713</v>
      </c>
      <c r="F65" s="6" t="s">
        <v>707</v>
      </c>
      <c r="G65" s="12">
        <v>1</v>
      </c>
      <c r="H65" s="16">
        <v>46325</v>
      </c>
      <c r="I65" s="1"/>
      <c r="J65" s="16">
        <v>46386</v>
      </c>
      <c r="K65" s="1"/>
      <c r="L65" s="11">
        <f ca="1">Tabela13[[#This Row],[Data Prev.
Entrega]]-TODAY()</f>
        <v>141</v>
      </c>
      <c r="M65" s="11" t="str">
        <f t="shared" ref="M65:M74" ca="1" si="19">IF(L65&lt;0,"ATRASADO",IF(L65&lt;=15,"ATENÇÃO","NO PRAZO"))</f>
        <v>NO PRAZO</v>
      </c>
      <c r="N65" t="s">
        <v>32</v>
      </c>
      <c r="O65" s="29">
        <v>46285</v>
      </c>
      <c r="P65" s="1" t="s">
        <v>58</v>
      </c>
      <c r="Q65" s="1" t="s">
        <v>491</v>
      </c>
      <c r="R65" s="1" t="s">
        <v>493</v>
      </c>
      <c r="S65" s="1" t="s">
        <v>494</v>
      </c>
      <c r="T65" s="1" t="s">
        <v>220</v>
      </c>
      <c r="U65" s="1" t="s">
        <v>492</v>
      </c>
      <c r="V65" s="1" t="s">
        <v>227</v>
      </c>
      <c r="W65" s="1" t="s">
        <v>372</v>
      </c>
      <c r="X65" t="str">
        <f t="shared" ref="X65:X74" si="20">IF(I65="","AG. FUNDIDO",IF(W65="OK","LIBERADA","EM USINAGEM"))</f>
        <v>AG. FUNDIDO</v>
      </c>
    </row>
    <row r="66" spans="1:24" x14ac:dyDescent="0.25">
      <c r="A66" s="12">
        <v>2375</v>
      </c>
      <c r="B66" s="12">
        <v>5</v>
      </c>
      <c r="C66" s="13">
        <v>143133</v>
      </c>
      <c r="D66" s="13">
        <v>0</v>
      </c>
      <c r="E66" s="6" t="s">
        <v>713</v>
      </c>
      <c r="F66" s="6" t="s">
        <v>708</v>
      </c>
      <c r="G66" s="12">
        <v>1</v>
      </c>
      <c r="H66" s="16">
        <v>46325</v>
      </c>
      <c r="I66" s="1"/>
      <c r="J66" s="16">
        <v>46386</v>
      </c>
      <c r="K66" s="1"/>
      <c r="L66" s="11">
        <f ca="1">Tabela13[[#This Row],[Data Prev.
Entrega]]-TODAY()</f>
        <v>141</v>
      </c>
      <c r="M66" s="11" t="str">
        <f t="shared" ca="1" si="19"/>
        <v>NO PRAZO</v>
      </c>
      <c r="N66" t="s">
        <v>32</v>
      </c>
      <c r="O66" s="29">
        <v>46285</v>
      </c>
      <c r="P66" s="1" t="s">
        <v>58</v>
      </c>
      <c r="Q66" s="1" t="s">
        <v>491</v>
      </c>
      <c r="R66" s="1" t="s">
        <v>493</v>
      </c>
      <c r="S66" s="1" t="s">
        <v>494</v>
      </c>
      <c r="T66" s="1" t="s">
        <v>220</v>
      </c>
      <c r="U66" s="1" t="s">
        <v>492</v>
      </c>
      <c r="V66" s="1" t="s">
        <v>227</v>
      </c>
      <c r="W66" s="1" t="s">
        <v>372</v>
      </c>
      <c r="X66" t="str">
        <f t="shared" si="20"/>
        <v>AG. FUNDIDO</v>
      </c>
    </row>
    <row r="67" spans="1:24" x14ac:dyDescent="0.25">
      <c r="A67" s="12">
        <v>2375</v>
      </c>
      <c r="B67" s="12">
        <v>16</v>
      </c>
      <c r="C67" s="13">
        <v>143134</v>
      </c>
      <c r="D67" s="13">
        <v>0</v>
      </c>
      <c r="E67" s="6" t="s">
        <v>713</v>
      </c>
      <c r="F67" s="6" t="s">
        <v>709</v>
      </c>
      <c r="G67" s="12">
        <v>1</v>
      </c>
      <c r="H67" s="16">
        <v>46325</v>
      </c>
      <c r="I67" s="1"/>
      <c r="J67" s="16">
        <v>46386</v>
      </c>
      <c r="K67" s="1"/>
      <c r="L67" s="11">
        <f ca="1">Tabela13[[#This Row],[Data Prev.
Entrega]]-TODAY()</f>
        <v>141</v>
      </c>
      <c r="M67" s="11" t="str">
        <f t="shared" ca="1" si="19"/>
        <v>NO PRAZO</v>
      </c>
      <c r="N67" t="s">
        <v>32</v>
      </c>
      <c r="O67" s="29">
        <v>46285</v>
      </c>
      <c r="P67" s="1" t="s">
        <v>58</v>
      </c>
      <c r="Q67" s="1" t="s">
        <v>491</v>
      </c>
      <c r="R67" s="1" t="s">
        <v>493</v>
      </c>
      <c r="S67" s="1" t="s">
        <v>494</v>
      </c>
      <c r="T67" s="1" t="s">
        <v>220</v>
      </c>
      <c r="U67" s="1" t="s">
        <v>492</v>
      </c>
      <c r="V67" s="1" t="s">
        <v>227</v>
      </c>
      <c r="W67" s="1" t="s">
        <v>372</v>
      </c>
      <c r="X67" t="str">
        <f t="shared" si="20"/>
        <v>AG. FUNDIDO</v>
      </c>
    </row>
    <row r="68" spans="1:24" x14ac:dyDescent="0.25">
      <c r="A68" s="12">
        <v>2375</v>
      </c>
      <c r="B68" s="12">
        <v>17</v>
      </c>
      <c r="C68" s="13">
        <v>143135</v>
      </c>
      <c r="D68" s="13">
        <v>0</v>
      </c>
      <c r="E68" s="6" t="s">
        <v>713</v>
      </c>
      <c r="F68" s="6" t="s">
        <v>710</v>
      </c>
      <c r="G68" s="12">
        <v>1</v>
      </c>
      <c r="H68" s="16">
        <v>46325</v>
      </c>
      <c r="I68" s="1"/>
      <c r="J68" s="16">
        <v>46386</v>
      </c>
      <c r="K68" s="1"/>
      <c r="L68" s="11">
        <f ca="1">Tabela13[[#This Row],[Data Prev.
Entrega]]-TODAY()</f>
        <v>141</v>
      </c>
      <c r="M68" s="11" t="str">
        <f t="shared" ca="1" si="19"/>
        <v>NO PRAZO</v>
      </c>
      <c r="N68" t="s">
        <v>32</v>
      </c>
      <c r="O68" s="29">
        <v>46285</v>
      </c>
      <c r="P68" s="1" t="s">
        <v>58</v>
      </c>
      <c r="Q68" s="1" t="s">
        <v>491</v>
      </c>
      <c r="R68" s="1" t="s">
        <v>493</v>
      </c>
      <c r="S68" s="1" t="s">
        <v>494</v>
      </c>
      <c r="T68" s="1" t="s">
        <v>220</v>
      </c>
      <c r="U68" s="1" t="s">
        <v>492</v>
      </c>
      <c r="V68" s="1" t="s">
        <v>227</v>
      </c>
      <c r="W68" s="1" t="s">
        <v>372</v>
      </c>
      <c r="X68" t="str">
        <f t="shared" si="20"/>
        <v>AG. FUNDIDO</v>
      </c>
    </row>
    <row r="69" spans="1:24" x14ac:dyDescent="0.25">
      <c r="A69" s="12">
        <v>2375</v>
      </c>
      <c r="B69" s="12">
        <v>18</v>
      </c>
      <c r="C69" s="13">
        <v>143136</v>
      </c>
      <c r="D69" s="13">
        <v>0</v>
      </c>
      <c r="E69" s="6" t="s">
        <v>713</v>
      </c>
      <c r="F69" s="6" t="s">
        <v>711</v>
      </c>
      <c r="G69" s="12">
        <v>1</v>
      </c>
      <c r="H69" s="16">
        <v>46325</v>
      </c>
      <c r="I69" s="1"/>
      <c r="J69" s="16">
        <v>46386</v>
      </c>
      <c r="K69" s="1"/>
      <c r="L69" s="11">
        <f ca="1">Tabela13[[#This Row],[Data Prev.
Entrega]]-TODAY()</f>
        <v>141</v>
      </c>
      <c r="M69" s="11" t="str">
        <f t="shared" ca="1" si="19"/>
        <v>NO PRAZO</v>
      </c>
      <c r="N69" t="s">
        <v>32</v>
      </c>
      <c r="O69" s="29">
        <v>46285</v>
      </c>
      <c r="P69" s="1" t="s">
        <v>58</v>
      </c>
      <c r="Q69" s="1" t="s">
        <v>491</v>
      </c>
      <c r="R69" s="1" t="s">
        <v>493</v>
      </c>
      <c r="S69" s="1" t="s">
        <v>494</v>
      </c>
      <c r="T69" s="1" t="s">
        <v>220</v>
      </c>
      <c r="U69" s="1" t="s">
        <v>492</v>
      </c>
      <c r="V69" s="1" t="s">
        <v>227</v>
      </c>
      <c r="W69" s="1" t="s">
        <v>372</v>
      </c>
      <c r="X69" t="str">
        <f t="shared" si="20"/>
        <v>AG. FUNDIDO</v>
      </c>
    </row>
    <row r="70" spans="1:24" x14ac:dyDescent="0.25">
      <c r="A70" s="12">
        <v>2375</v>
      </c>
      <c r="B70" s="12">
        <v>19</v>
      </c>
      <c r="C70" s="13">
        <v>143083</v>
      </c>
      <c r="D70" s="13">
        <v>0</v>
      </c>
      <c r="E70" s="6" t="s">
        <v>713</v>
      </c>
      <c r="F70" s="6" t="s">
        <v>712</v>
      </c>
      <c r="G70" s="12">
        <v>1</v>
      </c>
      <c r="H70" s="16">
        <v>46325</v>
      </c>
      <c r="I70" s="1"/>
      <c r="J70" s="16">
        <v>46386</v>
      </c>
      <c r="K70" s="1"/>
      <c r="L70" s="11">
        <f ca="1">Tabela13[[#This Row],[Data Prev.
Entrega]]-TODAY()</f>
        <v>141</v>
      </c>
      <c r="M70" s="11" t="str">
        <f t="shared" ca="1" si="19"/>
        <v>NO PRAZO</v>
      </c>
      <c r="N70" t="s">
        <v>32</v>
      </c>
      <c r="O70" s="29">
        <v>46285</v>
      </c>
      <c r="P70" s="1" t="s">
        <v>58</v>
      </c>
      <c r="Q70" s="1" t="s">
        <v>491</v>
      </c>
      <c r="R70" s="1" t="s">
        <v>493</v>
      </c>
      <c r="S70" s="1" t="s">
        <v>494</v>
      </c>
      <c r="T70" s="1" t="s">
        <v>220</v>
      </c>
      <c r="U70" s="1" t="s">
        <v>492</v>
      </c>
      <c r="V70" s="1" t="s">
        <v>227</v>
      </c>
      <c r="W70" s="1" t="s">
        <v>372</v>
      </c>
      <c r="X70" t="str">
        <f t="shared" si="20"/>
        <v>AG. FUNDIDO</v>
      </c>
    </row>
    <row r="71" spans="1:24" x14ac:dyDescent="0.25">
      <c r="A71" s="12">
        <v>2375</v>
      </c>
      <c r="B71" s="12">
        <v>20</v>
      </c>
      <c r="C71" s="13">
        <v>143083</v>
      </c>
      <c r="D71" s="13">
        <v>0</v>
      </c>
      <c r="E71" s="6" t="s">
        <v>713</v>
      </c>
      <c r="F71" s="6" t="s">
        <v>712</v>
      </c>
      <c r="G71" s="12">
        <v>1</v>
      </c>
      <c r="H71" s="16">
        <v>46325</v>
      </c>
      <c r="I71" s="1"/>
      <c r="J71" s="16">
        <v>46386</v>
      </c>
      <c r="K71" s="1"/>
      <c r="L71" s="11">
        <f ca="1">Tabela13[[#This Row],[Data Prev.
Entrega]]-TODAY()</f>
        <v>141</v>
      </c>
      <c r="M71" s="11" t="str">
        <f t="shared" ca="1" si="19"/>
        <v>NO PRAZO</v>
      </c>
      <c r="N71" t="s">
        <v>32</v>
      </c>
      <c r="O71" s="29">
        <v>46285</v>
      </c>
      <c r="P71" s="1" t="s">
        <v>58</v>
      </c>
      <c r="Q71" s="1" t="s">
        <v>491</v>
      </c>
      <c r="R71" s="1" t="s">
        <v>493</v>
      </c>
      <c r="S71" s="1" t="s">
        <v>494</v>
      </c>
      <c r="T71" s="1" t="s">
        <v>220</v>
      </c>
      <c r="U71" s="1" t="s">
        <v>492</v>
      </c>
      <c r="V71" s="1" t="s">
        <v>227</v>
      </c>
      <c r="W71" s="1" t="s">
        <v>372</v>
      </c>
      <c r="X71" t="str">
        <f t="shared" si="20"/>
        <v>AG. FUNDIDO</v>
      </c>
    </row>
    <row r="72" spans="1:24" x14ac:dyDescent="0.25">
      <c r="A72" s="12">
        <v>2375</v>
      </c>
      <c r="B72" s="12">
        <v>20</v>
      </c>
      <c r="C72" s="13">
        <v>143083</v>
      </c>
      <c r="D72" s="13">
        <v>0</v>
      </c>
      <c r="E72" s="6" t="s">
        <v>713</v>
      </c>
      <c r="F72" s="6" t="s">
        <v>712</v>
      </c>
      <c r="G72" s="12">
        <v>1</v>
      </c>
      <c r="H72" s="16">
        <v>46325</v>
      </c>
      <c r="I72" s="1"/>
      <c r="J72" s="16">
        <v>46386</v>
      </c>
      <c r="K72" s="1"/>
      <c r="L72" s="11">
        <f ca="1">Tabela13[[#This Row],[Data Prev.
Entrega]]-TODAY()</f>
        <v>141</v>
      </c>
      <c r="M72" s="11" t="str">
        <f t="shared" ca="1" si="19"/>
        <v>NO PRAZO</v>
      </c>
      <c r="N72" t="s">
        <v>32</v>
      </c>
      <c r="O72" s="29">
        <v>46285</v>
      </c>
      <c r="P72" s="1" t="s">
        <v>58</v>
      </c>
      <c r="Q72" s="1" t="s">
        <v>491</v>
      </c>
      <c r="R72" s="1" t="s">
        <v>493</v>
      </c>
      <c r="S72" s="1" t="s">
        <v>494</v>
      </c>
      <c r="T72" s="1" t="s">
        <v>220</v>
      </c>
      <c r="U72" s="1" t="s">
        <v>492</v>
      </c>
      <c r="V72" s="1" t="s">
        <v>227</v>
      </c>
      <c r="W72" s="1" t="s">
        <v>372</v>
      </c>
      <c r="X72" t="str">
        <f t="shared" si="20"/>
        <v>AG. FUNDIDO</v>
      </c>
    </row>
    <row r="73" spans="1:24" x14ac:dyDescent="0.25">
      <c r="A73" s="12">
        <v>2375</v>
      </c>
      <c r="B73" s="12">
        <v>21</v>
      </c>
      <c r="C73" s="13">
        <v>143083</v>
      </c>
      <c r="D73" s="13">
        <v>0</v>
      </c>
      <c r="E73" s="6" t="s">
        <v>713</v>
      </c>
      <c r="F73" s="6" t="s">
        <v>712</v>
      </c>
      <c r="G73" s="12">
        <v>1</v>
      </c>
      <c r="H73" s="16">
        <v>46325</v>
      </c>
      <c r="I73" s="1"/>
      <c r="J73" s="16">
        <v>46386</v>
      </c>
      <c r="K73" s="1"/>
      <c r="L73" s="11">
        <f ca="1">Tabela13[[#This Row],[Data Prev.
Entrega]]-TODAY()</f>
        <v>141</v>
      </c>
      <c r="M73" s="11" t="str">
        <f t="shared" ca="1" si="19"/>
        <v>NO PRAZO</v>
      </c>
      <c r="N73" t="s">
        <v>32</v>
      </c>
      <c r="O73" s="29">
        <v>46285</v>
      </c>
      <c r="P73" s="1" t="s">
        <v>58</v>
      </c>
      <c r="Q73" s="1" t="s">
        <v>491</v>
      </c>
      <c r="R73" s="1" t="s">
        <v>493</v>
      </c>
      <c r="S73" s="1" t="s">
        <v>494</v>
      </c>
      <c r="T73" s="1" t="s">
        <v>220</v>
      </c>
      <c r="U73" s="1" t="s">
        <v>492</v>
      </c>
      <c r="V73" s="1" t="s">
        <v>227</v>
      </c>
      <c r="W73" s="1" t="s">
        <v>372</v>
      </c>
      <c r="X73" t="str">
        <f t="shared" si="20"/>
        <v>AG. FUNDIDO</v>
      </c>
    </row>
    <row r="74" spans="1:24" x14ac:dyDescent="0.25">
      <c r="A74" s="12">
        <v>2375</v>
      </c>
      <c r="B74" s="12">
        <v>22</v>
      </c>
      <c r="C74" s="13">
        <v>143083</v>
      </c>
      <c r="D74" s="13">
        <v>0</v>
      </c>
      <c r="E74" s="6" t="s">
        <v>713</v>
      </c>
      <c r="F74" s="6" t="s">
        <v>712</v>
      </c>
      <c r="G74" s="12">
        <v>1</v>
      </c>
      <c r="H74" s="16">
        <v>46325</v>
      </c>
      <c r="I74" s="1"/>
      <c r="J74" s="16">
        <v>46386</v>
      </c>
      <c r="K74" s="1"/>
      <c r="L74" s="11">
        <f ca="1">Tabela13[[#This Row],[Data Prev.
Entrega]]-TODAY()</f>
        <v>141</v>
      </c>
      <c r="M74" s="11" t="str">
        <f t="shared" ca="1" si="19"/>
        <v>NO PRAZO</v>
      </c>
      <c r="N74" t="s">
        <v>32</v>
      </c>
      <c r="O74" s="29">
        <v>46285</v>
      </c>
      <c r="P74" s="1" t="s">
        <v>58</v>
      </c>
      <c r="Q74" s="1" t="s">
        <v>491</v>
      </c>
      <c r="R74" s="1" t="s">
        <v>493</v>
      </c>
      <c r="S74" s="1" t="s">
        <v>494</v>
      </c>
      <c r="T74" s="1" t="s">
        <v>220</v>
      </c>
      <c r="U74" s="1" t="s">
        <v>492</v>
      </c>
      <c r="V74" s="1" t="s">
        <v>227</v>
      </c>
      <c r="W74" s="1" t="s">
        <v>372</v>
      </c>
      <c r="X74" t="str">
        <f t="shared" si="20"/>
        <v>AG. FUNDIDO</v>
      </c>
    </row>
    <row r="75" spans="1:24" x14ac:dyDescent="0.25">
      <c r="A75" s="12">
        <v>2393</v>
      </c>
      <c r="B75" s="12">
        <v>10</v>
      </c>
      <c r="C75" s="12">
        <v>157114</v>
      </c>
      <c r="D75" s="12">
        <v>0</v>
      </c>
      <c r="E75" s="6" t="s">
        <v>598</v>
      </c>
      <c r="F75" s="6" t="s">
        <v>714</v>
      </c>
      <c r="G75" s="12">
        <v>1</v>
      </c>
      <c r="H75" s="16">
        <v>46325</v>
      </c>
      <c r="I75" s="1"/>
      <c r="J75" s="16">
        <v>46386</v>
      </c>
      <c r="K75" s="1"/>
      <c r="L75" s="11">
        <f ca="1">Tabela13[[#This Row],[Data Prev.
Entrega]]-TODAY()</f>
        <v>141</v>
      </c>
      <c r="M75" s="11" t="str">
        <f t="shared" ref="M75:M80" ca="1" si="21">IF(L75&lt;0,"ATRASADO",IF(L75&lt;=15,"ATENÇÃO","NO PRAZO"))</f>
        <v>NO PRAZO</v>
      </c>
      <c r="N75" t="s">
        <v>32</v>
      </c>
      <c r="O75" s="29">
        <v>46285</v>
      </c>
      <c r="P75" s="1" t="s">
        <v>58</v>
      </c>
      <c r="Q75" s="1" t="s">
        <v>491</v>
      </c>
      <c r="R75" s="1" t="s">
        <v>493</v>
      </c>
      <c r="S75" s="1" t="s">
        <v>494</v>
      </c>
      <c r="T75" s="1" t="s">
        <v>220</v>
      </c>
      <c r="U75" s="1" t="s">
        <v>492</v>
      </c>
      <c r="V75" s="1" t="s">
        <v>227</v>
      </c>
      <c r="W75" s="1" t="s">
        <v>372</v>
      </c>
      <c r="X75" t="str">
        <f t="shared" ref="X75:X80" si="22">IF(I75="","AG. FUNDIDO",IF(W75="OK","LIBERADA","EM USINAGEM"))</f>
        <v>AG. FUNDIDO</v>
      </c>
    </row>
    <row r="76" spans="1:24" x14ac:dyDescent="0.25">
      <c r="A76" s="12">
        <v>2393</v>
      </c>
      <c r="B76" s="12">
        <v>11</v>
      </c>
      <c r="C76" s="12">
        <v>157114</v>
      </c>
      <c r="D76" s="12">
        <v>0</v>
      </c>
      <c r="E76" s="6" t="s">
        <v>598</v>
      </c>
      <c r="F76" s="6" t="s">
        <v>714</v>
      </c>
      <c r="G76" s="12">
        <v>1</v>
      </c>
      <c r="H76" s="16">
        <v>46325</v>
      </c>
      <c r="I76" s="1"/>
      <c r="J76" s="16">
        <v>46386</v>
      </c>
      <c r="K76" s="1"/>
      <c r="L76" s="11">
        <f ca="1">Tabela13[[#This Row],[Data Prev.
Entrega]]-TODAY()</f>
        <v>141</v>
      </c>
      <c r="M76" s="11" t="str">
        <f t="shared" ca="1" si="21"/>
        <v>NO PRAZO</v>
      </c>
      <c r="N76" t="s">
        <v>32</v>
      </c>
      <c r="O76" s="29">
        <v>46285</v>
      </c>
      <c r="P76" s="1" t="s">
        <v>58</v>
      </c>
      <c r="Q76" s="1" t="s">
        <v>491</v>
      </c>
      <c r="R76" s="1" t="s">
        <v>493</v>
      </c>
      <c r="S76" s="1" t="s">
        <v>494</v>
      </c>
      <c r="T76" s="1" t="s">
        <v>220</v>
      </c>
      <c r="U76" s="1" t="s">
        <v>492</v>
      </c>
      <c r="V76" s="1" t="s">
        <v>227</v>
      </c>
      <c r="W76" s="1" t="s">
        <v>372</v>
      </c>
      <c r="X76" t="str">
        <f t="shared" si="22"/>
        <v>AG. FUNDIDO</v>
      </c>
    </row>
    <row r="77" spans="1:24" x14ac:dyDescent="0.25">
      <c r="A77" s="12">
        <v>2393</v>
      </c>
      <c r="B77" s="12">
        <v>12</v>
      </c>
      <c r="C77" s="12">
        <v>157176</v>
      </c>
      <c r="D77" s="12">
        <v>0</v>
      </c>
      <c r="E77" s="6" t="s">
        <v>598</v>
      </c>
      <c r="F77" s="6" t="s">
        <v>715</v>
      </c>
      <c r="G77" s="12">
        <v>1</v>
      </c>
      <c r="H77" s="16">
        <v>46325</v>
      </c>
      <c r="I77" s="1"/>
      <c r="J77" s="16">
        <v>46386</v>
      </c>
      <c r="K77" s="1"/>
      <c r="L77" s="11">
        <f ca="1">Tabela13[[#This Row],[Data Prev.
Entrega]]-TODAY()</f>
        <v>141</v>
      </c>
      <c r="M77" s="11" t="str">
        <f t="shared" ca="1" si="21"/>
        <v>NO PRAZO</v>
      </c>
      <c r="N77" t="s">
        <v>32</v>
      </c>
      <c r="O77" s="29">
        <v>46285</v>
      </c>
      <c r="P77" s="1" t="s">
        <v>58</v>
      </c>
      <c r="Q77" s="1" t="s">
        <v>491</v>
      </c>
      <c r="R77" s="1" t="s">
        <v>493</v>
      </c>
      <c r="S77" s="1" t="s">
        <v>494</v>
      </c>
      <c r="T77" s="1" t="s">
        <v>220</v>
      </c>
      <c r="U77" s="1" t="s">
        <v>492</v>
      </c>
      <c r="V77" s="1" t="s">
        <v>227</v>
      </c>
      <c r="W77" s="1" t="s">
        <v>372</v>
      </c>
      <c r="X77" t="str">
        <f t="shared" si="22"/>
        <v>AG. FUNDIDO</v>
      </c>
    </row>
    <row r="78" spans="1:24" x14ac:dyDescent="0.25">
      <c r="A78" s="12">
        <v>2393</v>
      </c>
      <c r="B78" s="12">
        <v>28</v>
      </c>
      <c r="C78" s="12">
        <v>157177</v>
      </c>
      <c r="D78" s="12">
        <v>0</v>
      </c>
      <c r="E78" s="6" t="s">
        <v>598</v>
      </c>
      <c r="F78" s="6" t="s">
        <v>716</v>
      </c>
      <c r="G78" s="12">
        <v>1</v>
      </c>
      <c r="H78" s="16">
        <v>46325</v>
      </c>
      <c r="I78" s="1"/>
      <c r="J78" s="16">
        <v>46386</v>
      </c>
      <c r="K78" s="1"/>
      <c r="L78" s="11">
        <f ca="1">Tabela13[[#This Row],[Data Prev.
Entrega]]-TODAY()</f>
        <v>141</v>
      </c>
      <c r="M78" s="11" t="str">
        <f t="shared" ca="1" si="21"/>
        <v>NO PRAZO</v>
      </c>
      <c r="N78" t="s">
        <v>32</v>
      </c>
      <c r="O78" s="29">
        <v>46285</v>
      </c>
      <c r="P78" s="1" t="s">
        <v>58</v>
      </c>
      <c r="Q78" s="1" t="s">
        <v>491</v>
      </c>
      <c r="R78" s="1" t="s">
        <v>493</v>
      </c>
      <c r="S78" s="1" t="s">
        <v>494</v>
      </c>
      <c r="T78" s="1" t="s">
        <v>220</v>
      </c>
      <c r="U78" s="1" t="s">
        <v>492</v>
      </c>
      <c r="V78" s="1" t="s">
        <v>227</v>
      </c>
      <c r="W78" s="1" t="s">
        <v>372</v>
      </c>
      <c r="X78" t="str">
        <f t="shared" si="22"/>
        <v>AG. FUNDIDO</v>
      </c>
    </row>
    <row r="79" spans="1:24" x14ac:dyDescent="0.25">
      <c r="A79" s="12">
        <v>2393</v>
      </c>
      <c r="B79" s="12">
        <v>29</v>
      </c>
      <c r="C79" s="12">
        <v>157178</v>
      </c>
      <c r="D79" s="12">
        <v>0</v>
      </c>
      <c r="E79" s="6" t="s">
        <v>598</v>
      </c>
      <c r="F79" s="6" t="s">
        <v>717</v>
      </c>
      <c r="G79" s="12">
        <v>1</v>
      </c>
      <c r="H79" s="16">
        <v>46325</v>
      </c>
      <c r="I79" s="1"/>
      <c r="J79" s="16">
        <v>46386</v>
      </c>
      <c r="K79" s="1"/>
      <c r="L79" s="11">
        <f ca="1">Tabela13[[#This Row],[Data Prev.
Entrega]]-TODAY()</f>
        <v>141</v>
      </c>
      <c r="M79" s="11" t="str">
        <f t="shared" ca="1" si="21"/>
        <v>NO PRAZO</v>
      </c>
      <c r="N79" t="s">
        <v>32</v>
      </c>
      <c r="O79" s="29">
        <v>46285</v>
      </c>
      <c r="P79" s="1" t="s">
        <v>58</v>
      </c>
      <c r="Q79" s="1" t="s">
        <v>491</v>
      </c>
      <c r="R79" s="1" t="s">
        <v>493</v>
      </c>
      <c r="S79" s="1" t="s">
        <v>494</v>
      </c>
      <c r="T79" s="1" t="s">
        <v>220</v>
      </c>
      <c r="U79" s="1" t="s">
        <v>492</v>
      </c>
      <c r="V79" s="1" t="s">
        <v>227</v>
      </c>
      <c r="W79" s="1" t="s">
        <v>372</v>
      </c>
      <c r="X79" t="str">
        <f t="shared" si="22"/>
        <v>AG. FUNDIDO</v>
      </c>
    </row>
    <row r="80" spans="1:24" x14ac:dyDescent="0.25">
      <c r="A80" s="12">
        <v>2393</v>
      </c>
      <c r="B80" s="12">
        <v>30</v>
      </c>
      <c r="C80" s="12">
        <v>157179</v>
      </c>
      <c r="D80" s="12">
        <v>0</v>
      </c>
      <c r="E80" s="6" t="s">
        <v>598</v>
      </c>
      <c r="F80" s="6" t="s">
        <v>718</v>
      </c>
      <c r="G80" s="12">
        <v>1</v>
      </c>
      <c r="H80" s="16">
        <v>46325</v>
      </c>
      <c r="I80" s="1"/>
      <c r="J80" s="16">
        <v>46386</v>
      </c>
      <c r="K80" s="1"/>
      <c r="L80" s="11">
        <f ca="1">Tabela13[[#This Row],[Data Prev.
Entrega]]-TODAY()</f>
        <v>141</v>
      </c>
      <c r="M80" s="11" t="str">
        <f t="shared" ca="1" si="21"/>
        <v>NO PRAZO</v>
      </c>
      <c r="N80" t="s">
        <v>32</v>
      </c>
      <c r="O80" s="29">
        <v>46285</v>
      </c>
      <c r="P80" s="1" t="s">
        <v>58</v>
      </c>
      <c r="Q80" s="1" t="s">
        <v>491</v>
      </c>
      <c r="R80" s="1" t="s">
        <v>493</v>
      </c>
      <c r="S80" s="1" t="s">
        <v>494</v>
      </c>
      <c r="T80" s="1" t="s">
        <v>220</v>
      </c>
      <c r="U80" s="1" t="s">
        <v>492</v>
      </c>
      <c r="V80" s="1" t="s">
        <v>227</v>
      </c>
      <c r="W80" s="1" t="s">
        <v>372</v>
      </c>
      <c r="X80" t="str">
        <f t="shared" si="22"/>
        <v>AG. FUNDIDO</v>
      </c>
    </row>
    <row r="81" spans="1:24" x14ac:dyDescent="0.25">
      <c r="A81" s="12">
        <v>2397</v>
      </c>
      <c r="B81" s="12">
        <v>1</v>
      </c>
      <c r="C81" s="12">
        <v>27692</v>
      </c>
      <c r="D81" s="12">
        <v>1</v>
      </c>
      <c r="E81" s="6" t="s">
        <v>720</v>
      </c>
      <c r="F81" s="6" t="s">
        <v>721</v>
      </c>
      <c r="G81" s="12">
        <v>1</v>
      </c>
      <c r="H81" s="16">
        <v>46309</v>
      </c>
      <c r="I81" s="1"/>
      <c r="J81" s="16">
        <v>46344</v>
      </c>
      <c r="K81" s="1"/>
      <c r="L81" s="11">
        <f ca="1">Tabela13[[#This Row],[Data Prev.
Entrega]]-TODAY()</f>
        <v>99</v>
      </c>
      <c r="M81" s="11" t="str">
        <f ca="1">IF(L81&lt;0,"ATRASADO",IF(L81&lt;=15,"ATENÇÃO","NO PRAZO"))</f>
        <v>NO PRAZO</v>
      </c>
      <c r="N81" t="s">
        <v>32</v>
      </c>
      <c r="O81" s="29">
        <v>46285</v>
      </c>
      <c r="P81" s="1" t="s">
        <v>58</v>
      </c>
      <c r="Q81" s="1" t="s">
        <v>491</v>
      </c>
      <c r="R81" s="1" t="s">
        <v>493</v>
      </c>
      <c r="S81" s="1" t="s">
        <v>494</v>
      </c>
      <c r="T81" s="1" t="s">
        <v>220</v>
      </c>
      <c r="U81" s="1" t="s">
        <v>492</v>
      </c>
      <c r="V81" s="1" t="s">
        <v>227</v>
      </c>
      <c r="W81" s="1" t="s">
        <v>372</v>
      </c>
      <c r="X81" t="str">
        <f>IF(I81="","AG. FUNDIDO",IF(W81="OK","LIBERADA","EM USINAGEM"))</f>
        <v>AG. FUNDIDO</v>
      </c>
    </row>
    <row r="82" spans="1:24" x14ac:dyDescent="0.25">
      <c r="A82" s="12">
        <v>2397</v>
      </c>
      <c r="B82" s="12">
        <v>2</v>
      </c>
      <c r="C82" s="12">
        <v>27692</v>
      </c>
      <c r="D82" s="12">
        <v>2</v>
      </c>
      <c r="E82" s="6" t="s">
        <v>720</v>
      </c>
      <c r="F82" s="6" t="s">
        <v>722</v>
      </c>
      <c r="G82" s="12">
        <v>1</v>
      </c>
      <c r="H82" s="16">
        <v>46309</v>
      </c>
      <c r="I82" s="1"/>
      <c r="J82" s="16">
        <v>46344</v>
      </c>
      <c r="K82" s="1"/>
      <c r="L82" s="11">
        <f ca="1">Tabela13[[#This Row],[Data Prev.
Entrega]]-TODAY()</f>
        <v>99</v>
      </c>
      <c r="M82" s="11" t="str">
        <f t="shared" ref="M82:M84" ca="1" si="23">IF(L82&lt;0,"ATRASADO",IF(L82&lt;=15,"ATENÇÃO","NO PRAZO"))</f>
        <v>NO PRAZO</v>
      </c>
      <c r="N82" t="s">
        <v>32</v>
      </c>
      <c r="O82" s="29">
        <v>46285</v>
      </c>
      <c r="P82" s="1" t="s">
        <v>58</v>
      </c>
      <c r="Q82" s="1" t="s">
        <v>491</v>
      </c>
      <c r="R82" s="1" t="s">
        <v>493</v>
      </c>
      <c r="S82" s="1" t="s">
        <v>494</v>
      </c>
      <c r="T82" s="1" t="s">
        <v>220</v>
      </c>
      <c r="U82" s="1" t="s">
        <v>492</v>
      </c>
      <c r="V82" s="1" t="s">
        <v>227</v>
      </c>
      <c r="W82" s="1" t="s">
        <v>372</v>
      </c>
      <c r="X82" t="str">
        <f t="shared" ref="X82:X84" si="24">IF(I82="","AG. FUNDIDO",IF(W82="OK","LIBERADA","EM USINAGEM"))</f>
        <v>AG. FUNDIDO</v>
      </c>
    </row>
    <row r="83" spans="1:24" x14ac:dyDescent="0.25">
      <c r="A83" s="12">
        <v>2397</v>
      </c>
      <c r="B83" s="12">
        <v>3</v>
      </c>
      <c r="C83" s="12">
        <v>27692</v>
      </c>
      <c r="D83" s="12">
        <v>3</v>
      </c>
      <c r="E83" s="6" t="s">
        <v>720</v>
      </c>
      <c r="F83" s="6" t="s">
        <v>723</v>
      </c>
      <c r="G83" s="12">
        <v>1</v>
      </c>
      <c r="H83" s="16">
        <v>46309</v>
      </c>
      <c r="I83" s="1"/>
      <c r="J83" s="16">
        <v>46344</v>
      </c>
      <c r="K83" s="1"/>
      <c r="L83" s="11">
        <f ca="1">Tabela13[[#This Row],[Data Prev.
Entrega]]-TODAY()</f>
        <v>99</v>
      </c>
      <c r="M83" s="11" t="str">
        <f t="shared" ca="1" si="23"/>
        <v>NO PRAZO</v>
      </c>
      <c r="N83" t="s">
        <v>32</v>
      </c>
      <c r="O83" s="29">
        <v>46285</v>
      </c>
      <c r="P83" s="1" t="s">
        <v>58</v>
      </c>
      <c r="Q83" s="1" t="s">
        <v>491</v>
      </c>
      <c r="R83" s="1" t="s">
        <v>493</v>
      </c>
      <c r="S83" s="1" t="s">
        <v>494</v>
      </c>
      <c r="T83" s="1" t="s">
        <v>220</v>
      </c>
      <c r="U83" s="1" t="s">
        <v>492</v>
      </c>
      <c r="V83" s="1" t="s">
        <v>227</v>
      </c>
      <c r="W83" s="1" t="s">
        <v>372</v>
      </c>
      <c r="X83" t="str">
        <f t="shared" si="24"/>
        <v>AG. FUNDIDO</v>
      </c>
    </row>
    <row r="84" spans="1:24" x14ac:dyDescent="0.25">
      <c r="A84" s="12">
        <v>2397</v>
      </c>
      <c r="B84" s="12">
        <v>4</v>
      </c>
      <c r="C84" s="12">
        <v>27692</v>
      </c>
      <c r="D84" s="12">
        <v>4</v>
      </c>
      <c r="E84" s="6" t="s">
        <v>720</v>
      </c>
      <c r="F84" s="6" t="s">
        <v>723</v>
      </c>
      <c r="G84" s="12">
        <v>1</v>
      </c>
      <c r="H84" s="16">
        <v>46309</v>
      </c>
      <c r="I84" s="1"/>
      <c r="J84" s="16">
        <v>46344</v>
      </c>
      <c r="K84" s="1"/>
      <c r="L84" s="11">
        <f ca="1">Tabela13[[#This Row],[Data Prev.
Entrega]]-TODAY()</f>
        <v>99</v>
      </c>
      <c r="M84" s="11" t="str">
        <f t="shared" ca="1" si="23"/>
        <v>NO PRAZO</v>
      </c>
      <c r="N84" t="s">
        <v>32</v>
      </c>
      <c r="O84" s="29">
        <v>46285</v>
      </c>
      <c r="P84" s="1" t="s">
        <v>58</v>
      </c>
      <c r="Q84" s="1" t="s">
        <v>491</v>
      </c>
      <c r="R84" s="1" t="s">
        <v>493</v>
      </c>
      <c r="S84" s="1" t="s">
        <v>494</v>
      </c>
      <c r="T84" s="1" t="s">
        <v>220</v>
      </c>
      <c r="U84" s="1" t="s">
        <v>492</v>
      </c>
      <c r="V84" s="1" t="s">
        <v>227</v>
      </c>
      <c r="W84" s="1" t="s">
        <v>372</v>
      </c>
      <c r="X84" t="str">
        <f t="shared" si="24"/>
        <v>AG. FUNDIDO</v>
      </c>
    </row>
    <row r="85" spans="1:24" x14ac:dyDescent="0.25">
      <c r="A85" s="12">
        <v>2396</v>
      </c>
      <c r="B85" s="12">
        <v>1</v>
      </c>
      <c r="C85" s="12">
        <v>27691</v>
      </c>
      <c r="D85" s="12">
        <v>1</v>
      </c>
      <c r="E85" s="6" t="s">
        <v>548</v>
      </c>
      <c r="F85" s="6" t="s">
        <v>724</v>
      </c>
      <c r="G85" s="12">
        <v>1</v>
      </c>
      <c r="H85" s="16">
        <v>46309</v>
      </c>
      <c r="I85" s="1"/>
      <c r="J85" s="16">
        <v>46344</v>
      </c>
      <c r="K85" s="1"/>
      <c r="L85" s="11">
        <f ca="1">Tabela13[[#This Row],[Data Prev.
Entrega]]-TODAY()</f>
        <v>99</v>
      </c>
      <c r="M85" s="11" t="str">
        <f ca="1">IF(L85&lt;0,"ATRASADO",IF(L85&lt;=15,"ATENÇÃO","NO PRAZO"))</f>
        <v>NO PRAZO</v>
      </c>
      <c r="N85" t="s">
        <v>32</v>
      </c>
      <c r="O85" s="29">
        <v>46285</v>
      </c>
      <c r="P85" s="1" t="s">
        <v>58</v>
      </c>
      <c r="Q85" s="1" t="s">
        <v>491</v>
      </c>
      <c r="R85" s="1" t="s">
        <v>493</v>
      </c>
      <c r="S85" s="1" t="s">
        <v>494</v>
      </c>
      <c r="T85" s="1" t="s">
        <v>220</v>
      </c>
      <c r="U85" s="1" t="s">
        <v>492</v>
      </c>
      <c r="V85" s="1" t="s">
        <v>227</v>
      </c>
      <c r="W85" s="1" t="s">
        <v>372</v>
      </c>
      <c r="X85" t="str">
        <f>IF(I85="","AG. FUNDIDO",IF(W85="OK","LIBERADA","EM USINAGEM"))</f>
        <v>AG. FUNDIDO</v>
      </c>
    </row>
    <row r="86" spans="1:24" x14ac:dyDescent="0.25">
      <c r="A86" s="12">
        <v>2396</v>
      </c>
      <c r="B86" s="12">
        <v>2</v>
      </c>
      <c r="C86" s="12">
        <v>27691</v>
      </c>
      <c r="D86" s="12">
        <v>2</v>
      </c>
      <c r="E86" s="6" t="s">
        <v>548</v>
      </c>
      <c r="F86" s="6" t="s">
        <v>725</v>
      </c>
      <c r="G86" s="12">
        <v>1</v>
      </c>
      <c r="H86" s="16">
        <v>46309</v>
      </c>
      <c r="I86" s="1"/>
      <c r="J86" s="16">
        <v>46344</v>
      </c>
      <c r="K86" s="1"/>
      <c r="L86" s="11">
        <f ca="1">Tabela13[[#This Row],[Data Prev.
Entrega]]-TODAY()</f>
        <v>99</v>
      </c>
      <c r="M86" s="11" t="str">
        <f t="shared" ref="M86:M87" ca="1" si="25">IF(L86&lt;0,"ATRASADO",IF(L86&lt;=15,"ATENÇÃO","NO PRAZO"))</f>
        <v>NO PRAZO</v>
      </c>
      <c r="N86" t="s">
        <v>32</v>
      </c>
      <c r="O86" s="29">
        <v>46285</v>
      </c>
      <c r="P86" s="1" t="s">
        <v>58</v>
      </c>
      <c r="Q86" s="1" t="s">
        <v>491</v>
      </c>
      <c r="R86" s="1" t="s">
        <v>493</v>
      </c>
      <c r="S86" s="1" t="s">
        <v>494</v>
      </c>
      <c r="T86" s="1" t="s">
        <v>220</v>
      </c>
      <c r="U86" s="1" t="s">
        <v>492</v>
      </c>
      <c r="V86" s="1" t="s">
        <v>227</v>
      </c>
      <c r="W86" s="1" t="s">
        <v>372</v>
      </c>
      <c r="X86" t="str">
        <f t="shared" ref="X86:X87" si="26">IF(I86="","AG. FUNDIDO",IF(W86="OK","LIBERADA","EM USINAGEM"))</f>
        <v>AG. FUNDIDO</v>
      </c>
    </row>
    <row r="87" spans="1:24" x14ac:dyDescent="0.25">
      <c r="A87" s="12">
        <v>2396</v>
      </c>
      <c r="B87" s="12">
        <v>3</v>
      </c>
      <c r="C87" s="12">
        <v>27691</v>
      </c>
      <c r="D87" s="12">
        <v>3</v>
      </c>
      <c r="E87" s="6" t="s">
        <v>548</v>
      </c>
      <c r="F87" s="6" t="s">
        <v>726</v>
      </c>
      <c r="G87" s="12">
        <v>1</v>
      </c>
      <c r="H87" s="16">
        <v>46309</v>
      </c>
      <c r="I87" s="1"/>
      <c r="J87" s="16">
        <v>46344</v>
      </c>
      <c r="K87" s="1"/>
      <c r="L87" s="11">
        <f ca="1">Tabela13[[#This Row],[Data Prev.
Entrega]]-TODAY()</f>
        <v>99</v>
      </c>
      <c r="M87" s="11" t="str">
        <f t="shared" ca="1" si="25"/>
        <v>NO PRAZO</v>
      </c>
      <c r="N87" t="s">
        <v>32</v>
      </c>
      <c r="O87" s="29">
        <v>46285</v>
      </c>
      <c r="P87" s="1" t="s">
        <v>58</v>
      </c>
      <c r="Q87" s="1" t="s">
        <v>491</v>
      </c>
      <c r="R87" s="1" t="s">
        <v>493</v>
      </c>
      <c r="S87" s="1" t="s">
        <v>494</v>
      </c>
      <c r="T87" s="1" t="s">
        <v>220</v>
      </c>
      <c r="U87" s="1" t="s">
        <v>492</v>
      </c>
      <c r="V87" s="1" t="s">
        <v>227</v>
      </c>
      <c r="W87" s="1" t="s">
        <v>372</v>
      </c>
      <c r="X87" t="str">
        <f t="shared" si="26"/>
        <v>AG. FUNDIDO</v>
      </c>
    </row>
    <row r="88" spans="1:24" x14ac:dyDescent="0.25">
      <c r="F88" t="s">
        <v>719</v>
      </c>
      <c r="L88" s="11"/>
      <c r="M88" s="11"/>
    </row>
    <row r="89" spans="1:24" x14ac:dyDescent="0.25">
      <c r="L89" s="11"/>
      <c r="M89" s="11"/>
    </row>
    <row r="90" spans="1:24" x14ac:dyDescent="0.25">
      <c r="L90" s="11"/>
      <c r="M90" s="11"/>
    </row>
    <row r="91" spans="1:24" x14ac:dyDescent="0.25">
      <c r="L91" s="11"/>
      <c r="M91" s="11"/>
    </row>
    <row r="92" spans="1:24" x14ac:dyDescent="0.25">
      <c r="L92" s="11"/>
      <c r="M92" s="11"/>
    </row>
    <row r="93" spans="1:24" x14ac:dyDescent="0.25">
      <c r="L93" s="11"/>
      <c r="M93" s="11"/>
    </row>
    <row r="94" spans="1:24" x14ac:dyDescent="0.25">
      <c r="L94" s="11"/>
      <c r="M94" s="11"/>
    </row>
    <row r="95" spans="1:24" x14ac:dyDescent="0.25">
      <c r="L95" s="11"/>
      <c r="M95" s="11"/>
    </row>
    <row r="96" spans="1:24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97"/>
  <sheetViews>
    <sheetView topLeftCell="A48" workbookViewId="0">
      <selection activeCell="D98" sqref="D98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540</v>
      </c>
      <c r="J9" s="88">
        <v>46376</v>
      </c>
      <c r="K9" s="81" t="s">
        <v>482</v>
      </c>
      <c r="L9" s="81" t="s">
        <v>483</v>
      </c>
      <c r="M9" s="81" t="s">
        <v>220</v>
      </c>
      <c r="N9" s="81" t="s">
        <v>389</v>
      </c>
      <c r="O9" s="81" t="s">
        <v>484</v>
      </c>
      <c r="P9" s="81" t="s">
        <v>370</v>
      </c>
      <c r="Q9" s="81"/>
      <c r="R9" s="81"/>
      <c r="S9" s="81"/>
      <c r="T9" s="81" t="s">
        <v>198</v>
      </c>
      <c r="U9" s="81" t="s">
        <v>485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540</v>
      </c>
      <c r="J10" s="88">
        <v>46376</v>
      </c>
      <c r="K10" s="81" t="s">
        <v>482</v>
      </c>
      <c r="L10" s="81" t="s">
        <v>483</v>
      </c>
      <c r="M10" s="81" t="s">
        <v>220</v>
      </c>
      <c r="N10" s="81" t="s">
        <v>389</v>
      </c>
      <c r="O10" s="81" t="s">
        <v>484</v>
      </c>
      <c r="P10" s="81" t="s">
        <v>370</v>
      </c>
      <c r="Q10" s="81"/>
      <c r="R10" s="81"/>
      <c r="S10" s="81"/>
      <c r="T10" s="81" t="s">
        <v>198</v>
      </c>
      <c r="U10" s="81" t="s">
        <v>486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545</v>
      </c>
      <c r="D45" s="81" t="s">
        <v>546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545</v>
      </c>
      <c r="D46" s="81" t="s">
        <v>546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545</v>
      </c>
      <c r="D47" s="81" t="s">
        <v>547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545</v>
      </c>
      <c r="D48" s="81" t="s">
        <v>547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545</v>
      </c>
      <c r="D49" s="81" t="s">
        <v>547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548</v>
      </c>
      <c r="D50" s="81" t="s">
        <v>549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548</v>
      </c>
      <c r="D51" s="81" t="s">
        <v>549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548</v>
      </c>
      <c r="D52" s="81" t="s">
        <v>549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548</v>
      </c>
      <c r="D53" s="81" t="s">
        <v>549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560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560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560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560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 t="s">
        <v>63</v>
      </c>
      <c r="C58" s="81" t="s">
        <v>570</v>
      </c>
      <c r="D58" s="81" t="s">
        <v>568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 t="s">
        <v>63</v>
      </c>
      <c r="C59" s="81" t="s">
        <v>570</v>
      </c>
      <c r="D59" s="81" t="s">
        <v>568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 t="s">
        <v>63</v>
      </c>
      <c r="C60" s="81" t="s">
        <v>570</v>
      </c>
      <c r="D60" s="81" t="s">
        <v>579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 t="s">
        <v>63</v>
      </c>
      <c r="C61" s="81" t="s">
        <v>570</v>
      </c>
      <c r="D61" s="81" t="s">
        <v>580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 t="s">
        <v>63</v>
      </c>
      <c r="C62" s="81" t="s">
        <v>570</v>
      </c>
      <c r="D62" s="81" t="s">
        <v>581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 t="s">
        <v>63</v>
      </c>
      <c r="C63" s="81" t="s">
        <v>570</v>
      </c>
      <c r="D63" s="81" t="s">
        <v>582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 t="s">
        <v>63</v>
      </c>
      <c r="C64" s="81" t="s">
        <v>570</v>
      </c>
      <c r="D64" s="81" t="s">
        <v>583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 t="s">
        <v>63</v>
      </c>
      <c r="C65" s="81" t="s">
        <v>570</v>
      </c>
      <c r="D65" s="81" t="s">
        <v>584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  <row r="66" spans="1:21" x14ac:dyDescent="0.25">
      <c r="A66" s="85">
        <v>1000</v>
      </c>
      <c r="B66" s="85" t="s">
        <v>63</v>
      </c>
      <c r="C66" s="81" t="s">
        <v>106</v>
      </c>
      <c r="D66" s="81" t="s">
        <v>622</v>
      </c>
      <c r="E66" s="81">
        <v>1</v>
      </c>
      <c r="F66" s="81" t="s">
        <v>587</v>
      </c>
      <c r="G66" s="81" t="s">
        <v>63</v>
      </c>
      <c r="H66" s="88">
        <v>46241</v>
      </c>
      <c r="I66" s="81" t="s">
        <v>58</v>
      </c>
      <c r="J66" s="88">
        <v>46280</v>
      </c>
      <c r="K66" s="81" t="s">
        <v>628</v>
      </c>
      <c r="L66" s="81" t="s">
        <v>372</v>
      </c>
      <c r="M66" s="81"/>
      <c r="N66" s="81"/>
      <c r="O66" s="81"/>
      <c r="P66" s="81"/>
      <c r="Q66" s="81"/>
      <c r="R66" s="81"/>
      <c r="S66" s="81"/>
      <c r="T66" s="81" t="s">
        <v>481</v>
      </c>
      <c r="U66" s="81" t="s">
        <v>626</v>
      </c>
    </row>
    <row r="67" spans="1:21" x14ac:dyDescent="0.25">
      <c r="A67" s="85">
        <v>1000</v>
      </c>
      <c r="B67" s="85" t="s">
        <v>63</v>
      </c>
      <c r="C67" s="81" t="s">
        <v>106</v>
      </c>
      <c r="D67" s="81" t="s">
        <v>623</v>
      </c>
      <c r="E67" s="81">
        <v>1</v>
      </c>
      <c r="F67" s="81" t="s">
        <v>263</v>
      </c>
      <c r="G67" s="81" t="s">
        <v>63</v>
      </c>
      <c r="H67" s="88">
        <v>46241</v>
      </c>
      <c r="I67" s="81" t="s">
        <v>58</v>
      </c>
      <c r="J67" s="88">
        <v>46280</v>
      </c>
      <c r="K67" s="81" t="s">
        <v>628</v>
      </c>
      <c r="L67" s="81" t="s">
        <v>372</v>
      </c>
      <c r="M67" s="81"/>
      <c r="N67" s="81"/>
      <c r="O67" s="81"/>
      <c r="P67" s="81"/>
      <c r="Q67" s="81"/>
      <c r="R67" s="81"/>
      <c r="S67" s="81"/>
      <c r="T67" s="81" t="s">
        <v>481</v>
      </c>
      <c r="U67" s="81" t="s">
        <v>627</v>
      </c>
    </row>
    <row r="68" spans="1:21" x14ac:dyDescent="0.25">
      <c r="A68" s="85">
        <v>1000</v>
      </c>
      <c r="B68" s="85" t="s">
        <v>63</v>
      </c>
      <c r="C68" s="81" t="s">
        <v>106</v>
      </c>
      <c r="D68" s="81" t="s">
        <v>624</v>
      </c>
      <c r="E68" s="81">
        <v>1</v>
      </c>
      <c r="F68" s="81" t="s">
        <v>587</v>
      </c>
      <c r="G68" s="81" t="s">
        <v>63</v>
      </c>
      <c r="H68" s="88">
        <v>46241</v>
      </c>
      <c r="I68" s="81" t="s">
        <v>58</v>
      </c>
      <c r="J68" s="88">
        <v>46280</v>
      </c>
      <c r="K68" s="82" t="s">
        <v>365</v>
      </c>
      <c r="L68" s="82" t="s">
        <v>372</v>
      </c>
      <c r="M68" s="82" t="s">
        <v>242</v>
      </c>
      <c r="N68" s="81"/>
      <c r="O68" s="81"/>
      <c r="P68" s="81"/>
      <c r="Q68" s="81"/>
      <c r="R68" s="81"/>
      <c r="S68" s="81"/>
      <c r="T68" s="81" t="s">
        <v>607</v>
      </c>
      <c r="U68" s="81" t="s">
        <v>625</v>
      </c>
    </row>
    <row r="69" spans="1:21" x14ac:dyDescent="0.25">
      <c r="A69" s="85">
        <v>1040</v>
      </c>
      <c r="B69" s="85" t="s">
        <v>63</v>
      </c>
      <c r="C69" s="81" t="s">
        <v>567</v>
      </c>
      <c r="D69" s="81" t="s">
        <v>568</v>
      </c>
      <c r="E69" s="81">
        <v>12</v>
      </c>
      <c r="F69" s="81" t="s">
        <v>197</v>
      </c>
      <c r="G69" s="81" t="s">
        <v>63</v>
      </c>
      <c r="H69" s="88">
        <v>46388</v>
      </c>
      <c r="I69" s="81" t="s">
        <v>58</v>
      </c>
      <c r="J69" s="88">
        <v>46433</v>
      </c>
      <c r="K69" s="81" t="s">
        <v>365</v>
      </c>
      <c r="L69" s="81" t="s">
        <v>372</v>
      </c>
      <c r="M69" s="81" t="s">
        <v>242</v>
      </c>
      <c r="N69" s="81"/>
      <c r="O69" s="81"/>
      <c r="P69" s="81"/>
      <c r="Q69" s="81"/>
      <c r="R69" s="81"/>
      <c r="S69" s="81"/>
      <c r="T69" s="81" t="s">
        <v>196</v>
      </c>
      <c r="U69" s="81"/>
    </row>
    <row r="70" spans="1:21" x14ac:dyDescent="0.25">
      <c r="A70" s="85">
        <v>1040</v>
      </c>
      <c r="B70" s="85" t="s">
        <v>63</v>
      </c>
      <c r="C70" s="81" t="s">
        <v>567</v>
      </c>
      <c r="D70" s="81" t="s">
        <v>409</v>
      </c>
      <c r="E70" s="81">
        <v>1</v>
      </c>
      <c r="F70" s="81" t="s">
        <v>197</v>
      </c>
      <c r="G70" s="81" t="s">
        <v>63</v>
      </c>
      <c r="H70" s="88">
        <v>46388</v>
      </c>
      <c r="I70" s="81" t="s">
        <v>58</v>
      </c>
      <c r="J70" s="88">
        <v>46430</v>
      </c>
      <c r="K70" s="81" t="s">
        <v>365</v>
      </c>
      <c r="L70" s="81" t="s">
        <v>372</v>
      </c>
      <c r="M70" s="81" t="s">
        <v>242</v>
      </c>
      <c r="N70" s="81"/>
      <c r="O70" s="81"/>
      <c r="P70" s="81"/>
      <c r="Q70" s="81"/>
      <c r="R70" s="81"/>
      <c r="S70" s="81"/>
      <c r="T70" s="81" t="s">
        <v>196</v>
      </c>
      <c r="U70" s="81"/>
    </row>
    <row r="71" spans="1:21" x14ac:dyDescent="0.25">
      <c r="A71" s="85">
        <v>1040</v>
      </c>
      <c r="B71" s="85" t="s">
        <v>63</v>
      </c>
      <c r="C71" s="81" t="s">
        <v>567</v>
      </c>
      <c r="D71" s="81" t="s">
        <v>632</v>
      </c>
      <c r="E71" s="81">
        <v>2</v>
      </c>
      <c r="F71" s="81" t="s">
        <v>197</v>
      </c>
      <c r="G71" s="81" t="s">
        <v>63</v>
      </c>
      <c r="H71" s="88">
        <v>46388</v>
      </c>
      <c r="I71" s="81" t="s">
        <v>58</v>
      </c>
      <c r="J71" s="88">
        <v>46433</v>
      </c>
      <c r="K71" s="81" t="s">
        <v>365</v>
      </c>
      <c r="L71" s="81" t="s">
        <v>372</v>
      </c>
      <c r="M71" s="81" t="s">
        <v>242</v>
      </c>
      <c r="N71" s="81"/>
      <c r="O71" s="81"/>
      <c r="P71" s="81"/>
      <c r="Q71" s="81"/>
      <c r="R71" s="81"/>
      <c r="S71" s="81"/>
      <c r="T71" s="81" t="s">
        <v>196</v>
      </c>
      <c r="U71" s="81"/>
    </row>
    <row r="72" spans="1:21" x14ac:dyDescent="0.25">
      <c r="A72" s="85">
        <v>1040</v>
      </c>
      <c r="B72" s="85" t="s">
        <v>63</v>
      </c>
      <c r="C72" s="81" t="s">
        <v>567</v>
      </c>
      <c r="D72" s="81" t="s">
        <v>634</v>
      </c>
      <c r="E72" s="81">
        <v>8</v>
      </c>
      <c r="F72" s="81" t="s">
        <v>197</v>
      </c>
      <c r="G72" s="81" t="s">
        <v>63</v>
      </c>
      <c r="H72" s="88">
        <v>46254</v>
      </c>
      <c r="I72" s="81" t="s">
        <v>58</v>
      </c>
      <c r="J72" s="88">
        <v>46302</v>
      </c>
      <c r="K72" s="82" t="s">
        <v>365</v>
      </c>
      <c r="L72" s="82" t="s">
        <v>372</v>
      </c>
      <c r="M72" s="81" t="s">
        <v>242</v>
      </c>
      <c r="N72" s="81"/>
      <c r="O72" s="81"/>
      <c r="P72" s="81"/>
      <c r="Q72" s="81"/>
      <c r="R72" s="81"/>
      <c r="S72" s="81"/>
      <c r="T72" s="81" t="s">
        <v>375</v>
      </c>
      <c r="U72" s="81"/>
    </row>
    <row r="73" spans="1:21" x14ac:dyDescent="0.25">
      <c r="A73" s="85">
        <v>1040</v>
      </c>
      <c r="B73" s="85" t="s">
        <v>63</v>
      </c>
      <c r="C73" s="81" t="s">
        <v>567</v>
      </c>
      <c r="D73" s="81" t="s">
        <v>633</v>
      </c>
      <c r="E73" s="81">
        <v>2</v>
      </c>
      <c r="F73" s="81" t="s">
        <v>197</v>
      </c>
      <c r="G73" s="81" t="s">
        <v>63</v>
      </c>
      <c r="H73" s="88">
        <v>46388</v>
      </c>
      <c r="I73" s="81" t="s">
        <v>58</v>
      </c>
      <c r="J73" s="88">
        <v>46433</v>
      </c>
      <c r="K73" s="81" t="s">
        <v>365</v>
      </c>
      <c r="L73" s="81" t="s">
        <v>372</v>
      </c>
      <c r="M73" s="81" t="s">
        <v>242</v>
      </c>
      <c r="N73" s="81"/>
      <c r="O73" s="81"/>
      <c r="P73" s="81"/>
      <c r="Q73" s="81"/>
      <c r="R73" s="81"/>
      <c r="S73" s="81"/>
      <c r="T73" s="81" t="s">
        <v>196</v>
      </c>
      <c r="U73" s="81"/>
    </row>
    <row r="74" spans="1:21" x14ac:dyDescent="0.25">
      <c r="A74" s="85">
        <v>1043</v>
      </c>
      <c r="B74" s="85" t="s">
        <v>63</v>
      </c>
      <c r="C74" s="81" t="s">
        <v>567</v>
      </c>
      <c r="D74" s="51" t="s">
        <v>654</v>
      </c>
      <c r="E74" s="81">
        <v>1</v>
      </c>
      <c r="F74" s="81" t="s">
        <v>197</v>
      </c>
      <c r="G74" s="81" t="s">
        <v>63</v>
      </c>
      <c r="H74" s="88">
        <v>46388</v>
      </c>
      <c r="I74" s="81" t="s">
        <v>58</v>
      </c>
      <c r="J74" s="88">
        <v>46419</v>
      </c>
      <c r="K74" s="81" t="s">
        <v>365</v>
      </c>
      <c r="L74" s="81" t="s">
        <v>407</v>
      </c>
      <c r="M74" s="81" t="s">
        <v>372</v>
      </c>
      <c r="N74" s="81" t="s">
        <v>242</v>
      </c>
      <c r="O74" s="81" t="s">
        <v>408</v>
      </c>
      <c r="P74" s="81"/>
      <c r="Q74" s="81"/>
      <c r="R74" s="81"/>
      <c r="S74" s="81"/>
      <c r="T74" s="81" t="s">
        <v>196</v>
      </c>
      <c r="U74" s="81"/>
    </row>
    <row r="75" spans="1:21" x14ac:dyDescent="0.25">
      <c r="A75" s="85">
        <v>1043</v>
      </c>
      <c r="B75" s="85" t="s">
        <v>63</v>
      </c>
      <c r="C75" s="81" t="s">
        <v>567</v>
      </c>
      <c r="D75" s="51" t="s">
        <v>655</v>
      </c>
      <c r="E75" s="81">
        <v>1</v>
      </c>
      <c r="F75" s="81" t="s">
        <v>197</v>
      </c>
      <c r="G75" s="81" t="s">
        <v>63</v>
      </c>
      <c r="H75" s="88">
        <v>46388</v>
      </c>
      <c r="I75" s="81" t="s">
        <v>58</v>
      </c>
      <c r="J75" s="88">
        <v>46416</v>
      </c>
      <c r="K75" s="81" t="s">
        <v>365</v>
      </c>
      <c r="L75" s="81" t="s">
        <v>407</v>
      </c>
      <c r="M75" s="81" t="s">
        <v>372</v>
      </c>
      <c r="N75" s="81" t="s">
        <v>242</v>
      </c>
      <c r="O75" s="81" t="s">
        <v>408</v>
      </c>
      <c r="P75" s="81"/>
      <c r="Q75" s="81"/>
      <c r="R75" s="81"/>
      <c r="S75" s="81"/>
      <c r="T75" s="81" t="s">
        <v>196</v>
      </c>
      <c r="U75" s="81"/>
    </row>
    <row r="76" spans="1:21" x14ac:dyDescent="0.25">
      <c r="A76" s="85">
        <v>1043</v>
      </c>
      <c r="B76" s="85" t="s">
        <v>63</v>
      </c>
      <c r="C76" s="81" t="s">
        <v>567</v>
      </c>
      <c r="D76" s="51" t="s">
        <v>656</v>
      </c>
      <c r="E76" s="81">
        <v>1</v>
      </c>
      <c r="F76" s="81" t="s">
        <v>197</v>
      </c>
      <c r="G76" s="81" t="s">
        <v>63</v>
      </c>
      <c r="H76" s="88">
        <v>46388</v>
      </c>
      <c r="I76" s="81" t="s">
        <v>58</v>
      </c>
      <c r="J76" s="88">
        <v>46437</v>
      </c>
      <c r="K76" s="81" t="s">
        <v>365</v>
      </c>
      <c r="L76" s="81" t="s">
        <v>407</v>
      </c>
      <c r="M76" s="81" t="s">
        <v>372</v>
      </c>
      <c r="N76" s="81" t="s">
        <v>242</v>
      </c>
      <c r="O76" s="81" t="s">
        <v>408</v>
      </c>
      <c r="P76" s="81"/>
      <c r="Q76" s="81"/>
      <c r="R76" s="81"/>
      <c r="S76" s="81"/>
      <c r="T76" s="81" t="s">
        <v>196</v>
      </c>
      <c r="U76" s="81"/>
    </row>
    <row r="77" spans="1:21" x14ac:dyDescent="0.25">
      <c r="A77" s="85">
        <v>1043</v>
      </c>
      <c r="B77" s="85" t="s">
        <v>63</v>
      </c>
      <c r="C77" s="81" t="s">
        <v>567</v>
      </c>
      <c r="D77" s="51" t="s">
        <v>657</v>
      </c>
      <c r="E77" s="81">
        <v>1</v>
      </c>
      <c r="F77" s="81" t="s">
        <v>197</v>
      </c>
      <c r="G77" s="81" t="s">
        <v>63</v>
      </c>
      <c r="H77" s="88">
        <v>46388</v>
      </c>
      <c r="I77" s="81" t="s">
        <v>58</v>
      </c>
      <c r="J77" s="88">
        <v>46420</v>
      </c>
      <c r="K77" s="81" t="s">
        <v>365</v>
      </c>
      <c r="L77" s="81" t="s">
        <v>407</v>
      </c>
      <c r="M77" s="81" t="s">
        <v>372</v>
      </c>
      <c r="N77" s="81" t="s">
        <v>242</v>
      </c>
      <c r="O77" s="81" t="s">
        <v>408</v>
      </c>
      <c r="P77" s="81"/>
      <c r="Q77" s="81"/>
      <c r="R77" s="81"/>
      <c r="S77" s="81"/>
      <c r="T77" s="81" t="s">
        <v>196</v>
      </c>
      <c r="U77" s="81"/>
    </row>
    <row r="78" spans="1:21" x14ac:dyDescent="0.25">
      <c r="A78" s="85">
        <v>1043</v>
      </c>
      <c r="B78" s="85" t="s">
        <v>63</v>
      </c>
      <c r="C78" s="81" t="s">
        <v>567</v>
      </c>
      <c r="D78" s="51" t="s">
        <v>658</v>
      </c>
      <c r="E78" s="81">
        <v>1</v>
      </c>
      <c r="F78" s="81" t="s">
        <v>197</v>
      </c>
      <c r="G78" s="81" t="s">
        <v>63</v>
      </c>
      <c r="H78" s="88">
        <v>46388</v>
      </c>
      <c r="I78" s="81" t="s">
        <v>58</v>
      </c>
      <c r="J78" s="88">
        <v>46422</v>
      </c>
      <c r="K78" s="81" t="s">
        <v>365</v>
      </c>
      <c r="L78" s="81" t="s">
        <v>407</v>
      </c>
      <c r="M78" s="81" t="s">
        <v>372</v>
      </c>
      <c r="N78" s="81" t="s">
        <v>242</v>
      </c>
      <c r="O78" s="81" t="s">
        <v>408</v>
      </c>
      <c r="P78" s="81"/>
      <c r="Q78" s="81"/>
      <c r="R78" s="81"/>
      <c r="S78" s="81"/>
      <c r="T78" s="81" t="s">
        <v>196</v>
      </c>
      <c r="U78" s="81"/>
    </row>
    <row r="79" spans="1:21" x14ac:dyDescent="0.25">
      <c r="A79" s="85">
        <v>1043</v>
      </c>
      <c r="B79" s="85" t="s">
        <v>63</v>
      </c>
      <c r="C79" s="81" t="s">
        <v>567</v>
      </c>
      <c r="D79" s="51" t="s">
        <v>659</v>
      </c>
      <c r="E79" s="81">
        <v>1</v>
      </c>
      <c r="F79" s="81" t="s">
        <v>197</v>
      </c>
      <c r="G79" s="81" t="s">
        <v>63</v>
      </c>
      <c r="H79" s="88">
        <v>46388</v>
      </c>
      <c r="I79" s="81" t="s">
        <v>58</v>
      </c>
      <c r="J79" s="88">
        <v>46438</v>
      </c>
      <c r="K79" s="81" t="s">
        <v>365</v>
      </c>
      <c r="L79" s="81" t="s">
        <v>407</v>
      </c>
      <c r="M79" s="81" t="s">
        <v>372</v>
      </c>
      <c r="N79" s="81" t="s">
        <v>242</v>
      </c>
      <c r="O79" s="81" t="s">
        <v>408</v>
      </c>
      <c r="P79" s="81"/>
      <c r="Q79" s="81"/>
      <c r="R79" s="81"/>
      <c r="S79" s="81"/>
      <c r="T79" s="81" t="s">
        <v>196</v>
      </c>
      <c r="U79" s="81"/>
    </row>
    <row r="80" spans="1:21" x14ac:dyDescent="0.25">
      <c r="A80" s="85">
        <v>1043</v>
      </c>
      <c r="B80" s="85" t="s">
        <v>63</v>
      </c>
      <c r="C80" s="81" t="s">
        <v>567</v>
      </c>
      <c r="D80" s="51" t="s">
        <v>660</v>
      </c>
      <c r="E80" s="81">
        <v>1</v>
      </c>
      <c r="F80" s="81" t="s">
        <v>197</v>
      </c>
      <c r="G80" s="81" t="s">
        <v>63</v>
      </c>
      <c r="H80" s="88">
        <v>46388</v>
      </c>
      <c r="I80" s="81" t="s">
        <v>58</v>
      </c>
      <c r="J80" s="88">
        <v>46423</v>
      </c>
      <c r="K80" s="81" t="s">
        <v>365</v>
      </c>
      <c r="L80" s="81" t="s">
        <v>407</v>
      </c>
      <c r="M80" s="81" t="s">
        <v>372</v>
      </c>
      <c r="N80" s="81" t="s">
        <v>242</v>
      </c>
      <c r="O80" s="81" t="s">
        <v>408</v>
      </c>
      <c r="P80" s="81"/>
      <c r="Q80" s="81"/>
      <c r="R80" s="81"/>
      <c r="S80" s="81"/>
      <c r="T80" s="81" t="s">
        <v>196</v>
      </c>
      <c r="U80" s="81"/>
    </row>
    <row r="81" spans="1:21" x14ac:dyDescent="0.25">
      <c r="A81" s="85">
        <v>1043</v>
      </c>
      <c r="B81" s="85" t="s">
        <v>63</v>
      </c>
      <c r="C81" s="81" t="s">
        <v>567</v>
      </c>
      <c r="D81" s="51" t="s">
        <v>661</v>
      </c>
      <c r="E81" s="81">
        <v>1</v>
      </c>
      <c r="F81" s="81" t="s">
        <v>197</v>
      </c>
      <c r="G81" s="81" t="s">
        <v>63</v>
      </c>
      <c r="H81" s="88">
        <v>46388</v>
      </c>
      <c r="I81" s="81" t="s">
        <v>58</v>
      </c>
      <c r="J81" s="88">
        <v>46426</v>
      </c>
      <c r="K81" s="81" t="s">
        <v>365</v>
      </c>
      <c r="L81" s="81" t="s">
        <v>407</v>
      </c>
      <c r="M81" s="81" t="s">
        <v>372</v>
      </c>
      <c r="N81" s="81" t="s">
        <v>242</v>
      </c>
      <c r="O81" s="81" t="s">
        <v>408</v>
      </c>
      <c r="P81" s="81"/>
      <c r="Q81" s="81"/>
      <c r="R81" s="81"/>
      <c r="S81" s="81"/>
      <c r="T81" s="81" t="s">
        <v>196</v>
      </c>
      <c r="U81" s="81"/>
    </row>
    <row r="82" spans="1:21" x14ac:dyDescent="0.25">
      <c r="A82" s="85">
        <v>1043</v>
      </c>
      <c r="B82" s="85" t="s">
        <v>63</v>
      </c>
      <c r="C82" s="81" t="s">
        <v>567</v>
      </c>
      <c r="D82" s="51" t="s">
        <v>662</v>
      </c>
      <c r="E82" s="81">
        <v>1</v>
      </c>
      <c r="F82" s="81" t="s">
        <v>197</v>
      </c>
      <c r="G82" s="81" t="s">
        <v>63</v>
      </c>
      <c r="H82" s="88">
        <v>46388</v>
      </c>
      <c r="I82" s="81" t="s">
        <v>58</v>
      </c>
      <c r="J82" s="88">
        <v>46440</v>
      </c>
      <c r="K82" s="81" t="s">
        <v>365</v>
      </c>
      <c r="L82" s="81" t="s">
        <v>407</v>
      </c>
      <c r="M82" s="81" t="s">
        <v>372</v>
      </c>
      <c r="N82" s="81" t="s">
        <v>242</v>
      </c>
      <c r="O82" s="81" t="s">
        <v>408</v>
      </c>
      <c r="P82" s="81"/>
      <c r="Q82" s="81"/>
      <c r="R82" s="81"/>
      <c r="S82" s="81"/>
      <c r="T82" s="81" t="s">
        <v>196</v>
      </c>
      <c r="U82" s="81"/>
    </row>
    <row r="83" spans="1:21" x14ac:dyDescent="0.25">
      <c r="A83" s="85">
        <v>1043</v>
      </c>
      <c r="B83" s="85" t="s">
        <v>63</v>
      </c>
      <c r="C83" s="81" t="s">
        <v>567</v>
      </c>
      <c r="D83" s="51" t="s">
        <v>663</v>
      </c>
      <c r="E83" s="81">
        <v>1</v>
      </c>
      <c r="F83" s="81" t="s">
        <v>197</v>
      </c>
      <c r="G83" s="81" t="s">
        <v>63</v>
      </c>
      <c r="H83" s="88">
        <v>46388</v>
      </c>
      <c r="I83" s="81" t="s">
        <v>58</v>
      </c>
      <c r="J83" s="88">
        <v>46414</v>
      </c>
      <c r="K83" s="81" t="s">
        <v>365</v>
      </c>
      <c r="L83" s="81" t="s">
        <v>407</v>
      </c>
      <c r="M83" s="81" t="s">
        <v>372</v>
      </c>
      <c r="N83" s="81" t="s">
        <v>242</v>
      </c>
      <c r="O83" s="81" t="s">
        <v>408</v>
      </c>
      <c r="P83" s="81"/>
      <c r="Q83" s="81"/>
      <c r="R83" s="81"/>
      <c r="S83" s="81"/>
      <c r="T83" s="81" t="s">
        <v>196</v>
      </c>
      <c r="U83" s="81"/>
    </row>
    <row r="84" spans="1:21" x14ac:dyDescent="0.25">
      <c r="A84" s="85">
        <v>1043</v>
      </c>
      <c r="B84" s="85" t="s">
        <v>63</v>
      </c>
      <c r="C84" s="81" t="s">
        <v>567</v>
      </c>
      <c r="D84" s="51" t="s">
        <v>664</v>
      </c>
      <c r="E84" s="81">
        <v>1</v>
      </c>
      <c r="F84" s="81" t="s">
        <v>197</v>
      </c>
      <c r="G84" s="81" t="s">
        <v>63</v>
      </c>
      <c r="H84" s="88">
        <v>46388</v>
      </c>
      <c r="I84" s="81" t="s">
        <v>58</v>
      </c>
      <c r="J84" s="88">
        <v>46428</v>
      </c>
      <c r="K84" s="81" t="s">
        <v>365</v>
      </c>
      <c r="L84" s="81" t="s">
        <v>407</v>
      </c>
      <c r="M84" s="81" t="s">
        <v>372</v>
      </c>
      <c r="N84" s="81" t="s">
        <v>242</v>
      </c>
      <c r="O84" s="81" t="s">
        <v>408</v>
      </c>
      <c r="P84" s="81"/>
      <c r="Q84" s="81"/>
      <c r="R84" s="81"/>
      <c r="S84" s="81"/>
      <c r="T84" s="81" t="s">
        <v>196</v>
      </c>
      <c r="U84" s="81"/>
    </row>
    <row r="85" spans="1:21" x14ac:dyDescent="0.25">
      <c r="A85" s="85">
        <v>1043</v>
      </c>
      <c r="B85" s="85" t="s">
        <v>63</v>
      </c>
      <c r="C85" s="81" t="s">
        <v>567</v>
      </c>
      <c r="D85" s="51" t="s">
        <v>665</v>
      </c>
      <c r="E85" s="81">
        <v>1</v>
      </c>
      <c r="F85" s="81" t="s">
        <v>197</v>
      </c>
      <c r="G85" s="81" t="s">
        <v>63</v>
      </c>
      <c r="H85" s="88">
        <v>46388</v>
      </c>
      <c r="I85" s="81" t="s">
        <v>58</v>
      </c>
      <c r="J85" s="88">
        <v>46440</v>
      </c>
      <c r="K85" s="81" t="s">
        <v>365</v>
      </c>
      <c r="L85" s="81" t="s">
        <v>407</v>
      </c>
      <c r="M85" s="81" t="s">
        <v>372</v>
      </c>
      <c r="N85" s="81" t="s">
        <v>242</v>
      </c>
      <c r="O85" s="81" t="s">
        <v>408</v>
      </c>
      <c r="P85" s="81"/>
      <c r="Q85" s="81"/>
      <c r="R85" s="81"/>
      <c r="S85" s="81"/>
      <c r="T85" s="81" t="s">
        <v>196</v>
      </c>
      <c r="U85" s="81"/>
    </row>
    <row r="86" spans="1:21" x14ac:dyDescent="0.25">
      <c r="A86" s="85">
        <v>1043</v>
      </c>
      <c r="B86" s="85" t="s">
        <v>63</v>
      </c>
      <c r="C86" s="81" t="s">
        <v>567</v>
      </c>
      <c r="D86" s="51" t="s">
        <v>666</v>
      </c>
      <c r="E86" s="81">
        <v>1</v>
      </c>
      <c r="F86" s="81" t="s">
        <v>197</v>
      </c>
      <c r="G86" s="81" t="s">
        <v>63</v>
      </c>
      <c r="H86" s="88">
        <v>46388</v>
      </c>
      <c r="I86" s="81" t="s">
        <v>58</v>
      </c>
      <c r="J86" s="88">
        <v>46430</v>
      </c>
      <c r="K86" s="81" t="s">
        <v>365</v>
      </c>
      <c r="L86" s="81" t="s">
        <v>407</v>
      </c>
      <c r="M86" s="81" t="s">
        <v>372</v>
      </c>
      <c r="N86" s="81" t="s">
        <v>242</v>
      </c>
      <c r="O86" s="81" t="s">
        <v>408</v>
      </c>
      <c r="P86" s="81"/>
      <c r="Q86" s="81"/>
      <c r="R86" s="81"/>
      <c r="S86" s="81"/>
      <c r="T86" s="81" t="s">
        <v>196</v>
      </c>
      <c r="U86" s="81"/>
    </row>
    <row r="87" spans="1:21" x14ac:dyDescent="0.25">
      <c r="A87" s="85">
        <v>1043</v>
      </c>
      <c r="B87" s="85" t="s">
        <v>63</v>
      </c>
      <c r="C87" s="81" t="s">
        <v>567</v>
      </c>
      <c r="D87" s="51" t="s">
        <v>667</v>
      </c>
      <c r="E87" s="81">
        <v>1</v>
      </c>
      <c r="F87" s="81" t="s">
        <v>197</v>
      </c>
      <c r="G87" s="81" t="s">
        <v>63</v>
      </c>
      <c r="H87" s="88">
        <v>46388</v>
      </c>
      <c r="I87" s="81" t="s">
        <v>58</v>
      </c>
      <c r="J87" s="88">
        <v>46431</v>
      </c>
      <c r="K87" s="81" t="s">
        <v>365</v>
      </c>
      <c r="L87" s="81" t="s">
        <v>407</v>
      </c>
      <c r="M87" s="81" t="s">
        <v>372</v>
      </c>
      <c r="N87" s="81" t="s">
        <v>242</v>
      </c>
      <c r="O87" s="81" t="s">
        <v>408</v>
      </c>
      <c r="P87" s="81"/>
      <c r="Q87" s="81"/>
      <c r="R87" s="81"/>
      <c r="S87" s="81"/>
      <c r="T87" s="81" t="s">
        <v>196</v>
      </c>
      <c r="U87" s="81"/>
    </row>
    <row r="88" spans="1:21" x14ac:dyDescent="0.25">
      <c r="A88" s="85">
        <v>1043</v>
      </c>
      <c r="B88" s="85" t="s">
        <v>63</v>
      </c>
      <c r="C88" s="81" t="s">
        <v>567</v>
      </c>
      <c r="D88" s="51" t="s">
        <v>668</v>
      </c>
      <c r="E88" s="81">
        <v>1</v>
      </c>
      <c r="F88" s="81" t="s">
        <v>197</v>
      </c>
      <c r="G88" s="81" t="s">
        <v>63</v>
      </c>
      <c r="H88" s="88">
        <v>46388</v>
      </c>
      <c r="I88" s="81" t="s">
        <v>58</v>
      </c>
      <c r="J88" s="88">
        <v>46441</v>
      </c>
      <c r="K88" s="81" t="s">
        <v>365</v>
      </c>
      <c r="L88" s="81" t="s">
        <v>407</v>
      </c>
      <c r="M88" s="81" t="s">
        <v>372</v>
      </c>
      <c r="N88" s="81" t="s">
        <v>242</v>
      </c>
      <c r="O88" s="81" t="s">
        <v>408</v>
      </c>
      <c r="P88" s="81"/>
      <c r="Q88" s="81"/>
      <c r="R88" s="81"/>
      <c r="S88" s="81"/>
      <c r="T88" s="81" t="s">
        <v>196</v>
      </c>
      <c r="U88" s="81"/>
    </row>
    <row r="89" spans="1:21" x14ac:dyDescent="0.25">
      <c r="A89" s="85">
        <v>1043</v>
      </c>
      <c r="B89" s="85" t="s">
        <v>63</v>
      </c>
      <c r="C89" s="81" t="s">
        <v>567</v>
      </c>
      <c r="D89" s="51" t="s">
        <v>669</v>
      </c>
      <c r="E89" s="81">
        <v>1</v>
      </c>
      <c r="F89" s="81" t="s">
        <v>197</v>
      </c>
      <c r="G89" s="81" t="s">
        <v>63</v>
      </c>
      <c r="H89" s="88">
        <v>46388</v>
      </c>
      <c r="I89" s="81" t="s">
        <v>58</v>
      </c>
      <c r="J89" s="88">
        <v>46433</v>
      </c>
      <c r="K89" s="81" t="s">
        <v>365</v>
      </c>
      <c r="L89" s="81" t="s">
        <v>407</v>
      </c>
      <c r="M89" s="81" t="s">
        <v>372</v>
      </c>
      <c r="N89" s="81" t="s">
        <v>242</v>
      </c>
      <c r="O89" s="81" t="s">
        <v>408</v>
      </c>
      <c r="P89" s="81"/>
      <c r="Q89" s="81"/>
      <c r="R89" s="81"/>
      <c r="S89" s="81"/>
      <c r="T89" s="81" t="s">
        <v>196</v>
      </c>
      <c r="U89" s="81"/>
    </row>
    <row r="90" spans="1:21" x14ac:dyDescent="0.25">
      <c r="A90" s="85">
        <v>1043</v>
      </c>
      <c r="B90" s="85" t="s">
        <v>63</v>
      </c>
      <c r="C90" s="81" t="s">
        <v>567</v>
      </c>
      <c r="D90" s="51" t="s">
        <v>670</v>
      </c>
      <c r="E90" s="81">
        <v>1</v>
      </c>
      <c r="F90" s="81" t="s">
        <v>197</v>
      </c>
      <c r="G90" s="81" t="s">
        <v>63</v>
      </c>
      <c r="H90" s="88">
        <v>46388</v>
      </c>
      <c r="I90" s="81" t="s">
        <v>58</v>
      </c>
      <c r="J90" s="88">
        <v>46434</v>
      </c>
      <c r="K90" s="81" t="s">
        <v>365</v>
      </c>
      <c r="L90" s="81" t="s">
        <v>407</v>
      </c>
      <c r="M90" s="81" t="s">
        <v>372</v>
      </c>
      <c r="N90" s="81" t="s">
        <v>242</v>
      </c>
      <c r="O90" s="81" t="s">
        <v>408</v>
      </c>
      <c r="P90" s="81"/>
      <c r="Q90" s="81"/>
      <c r="R90" s="81"/>
      <c r="S90" s="81"/>
      <c r="T90" s="81" t="s">
        <v>196</v>
      </c>
      <c r="U90" s="81"/>
    </row>
    <row r="91" spans="1:21" x14ac:dyDescent="0.25">
      <c r="A91" s="85">
        <v>1043</v>
      </c>
      <c r="B91" s="85" t="s">
        <v>63</v>
      </c>
      <c r="C91" s="81" t="s">
        <v>567</v>
      </c>
      <c r="D91" s="51" t="s">
        <v>671</v>
      </c>
      <c r="E91" s="81">
        <v>1</v>
      </c>
      <c r="F91" s="81" t="s">
        <v>197</v>
      </c>
      <c r="G91" s="81" t="s">
        <v>63</v>
      </c>
      <c r="H91" s="88">
        <v>46388</v>
      </c>
      <c r="I91" s="81" t="s">
        <v>58</v>
      </c>
      <c r="J91" s="88">
        <v>46441</v>
      </c>
      <c r="K91" s="81" t="s">
        <v>365</v>
      </c>
      <c r="L91" s="81" t="s">
        <v>407</v>
      </c>
      <c r="M91" s="81" t="s">
        <v>372</v>
      </c>
      <c r="N91" s="81" t="s">
        <v>242</v>
      </c>
      <c r="O91" s="81" t="s">
        <v>408</v>
      </c>
      <c r="P91" s="81"/>
      <c r="Q91" s="81"/>
      <c r="R91" s="81"/>
      <c r="S91" s="81"/>
      <c r="T91" s="81" t="s">
        <v>196</v>
      </c>
      <c r="U91" s="81"/>
    </row>
    <row r="92" spans="1:21" x14ac:dyDescent="0.25">
      <c r="A92" s="85">
        <v>1055</v>
      </c>
      <c r="B92" s="85" t="s">
        <v>63</v>
      </c>
      <c r="C92" s="81" t="s">
        <v>678</v>
      </c>
      <c r="D92" s="51" t="s">
        <v>688</v>
      </c>
      <c r="E92" s="81">
        <v>1</v>
      </c>
      <c r="F92" s="81">
        <v>2000</v>
      </c>
      <c r="G92" s="81" t="s">
        <v>63</v>
      </c>
      <c r="H92" s="88">
        <v>46388</v>
      </c>
      <c r="I92" s="81" t="s">
        <v>58</v>
      </c>
      <c r="J92" s="88">
        <v>46426</v>
      </c>
      <c r="K92" s="81" t="s">
        <v>365</v>
      </c>
      <c r="L92" s="81" t="s">
        <v>408</v>
      </c>
      <c r="M92" s="81"/>
      <c r="N92" s="81"/>
      <c r="O92" s="81"/>
      <c r="P92" s="81"/>
      <c r="Q92" s="81"/>
      <c r="R92" s="81"/>
      <c r="S92" s="81"/>
      <c r="T92" s="81" t="s">
        <v>196</v>
      </c>
      <c r="U92" s="81"/>
    </row>
    <row r="93" spans="1:21" x14ac:dyDescent="0.25">
      <c r="A93" s="85">
        <v>1055</v>
      </c>
      <c r="B93" s="85" t="s">
        <v>63</v>
      </c>
      <c r="C93" s="81" t="s">
        <v>678</v>
      </c>
      <c r="D93" s="51" t="s">
        <v>689</v>
      </c>
      <c r="E93" s="81">
        <v>1</v>
      </c>
      <c r="F93" s="81">
        <v>1700</v>
      </c>
      <c r="G93" s="81" t="s">
        <v>63</v>
      </c>
      <c r="H93" s="88">
        <v>46388</v>
      </c>
      <c r="I93" s="81" t="s">
        <v>58</v>
      </c>
      <c r="J93" s="88">
        <v>46428</v>
      </c>
      <c r="K93" s="81" t="s">
        <v>365</v>
      </c>
      <c r="L93" s="81" t="s">
        <v>408</v>
      </c>
      <c r="M93" s="81"/>
      <c r="N93" s="81"/>
      <c r="O93" s="81"/>
      <c r="P93" s="81"/>
      <c r="Q93" s="81"/>
      <c r="R93" s="81"/>
      <c r="S93" s="81"/>
      <c r="T93" s="81" t="s">
        <v>196</v>
      </c>
      <c r="U93" s="81"/>
    </row>
    <row r="94" spans="1:21" x14ac:dyDescent="0.25">
      <c r="A94" s="85">
        <v>1055</v>
      </c>
      <c r="B94" s="85" t="s">
        <v>63</v>
      </c>
      <c r="C94" s="81" t="s">
        <v>678</v>
      </c>
      <c r="D94" s="51" t="s">
        <v>690</v>
      </c>
      <c r="E94" s="81">
        <v>1</v>
      </c>
      <c r="F94" s="81">
        <v>1700</v>
      </c>
      <c r="G94" s="81" t="s">
        <v>63</v>
      </c>
      <c r="H94" s="88">
        <v>46388</v>
      </c>
      <c r="I94" s="81" t="s">
        <v>58</v>
      </c>
      <c r="J94" s="88">
        <v>46431</v>
      </c>
      <c r="K94" s="81" t="s">
        <v>365</v>
      </c>
      <c r="L94" s="81" t="s">
        <v>408</v>
      </c>
      <c r="M94" s="81"/>
      <c r="N94" s="81"/>
      <c r="O94" s="81"/>
      <c r="P94" s="81"/>
      <c r="Q94" s="81"/>
      <c r="R94" s="81"/>
      <c r="S94" s="81"/>
      <c r="T94" s="81" t="s">
        <v>196</v>
      </c>
      <c r="U94" s="81"/>
    </row>
    <row r="95" spans="1:21" x14ac:dyDescent="0.25">
      <c r="A95" s="85">
        <v>1055</v>
      </c>
      <c r="B95" s="85" t="s">
        <v>63</v>
      </c>
      <c r="C95" s="81" t="s">
        <v>678</v>
      </c>
      <c r="D95" s="51" t="s">
        <v>691</v>
      </c>
      <c r="E95" s="81">
        <v>1</v>
      </c>
      <c r="F95" s="81">
        <v>1700</v>
      </c>
      <c r="G95" s="81" t="s">
        <v>63</v>
      </c>
      <c r="H95" s="88">
        <v>46388</v>
      </c>
      <c r="I95" s="81" t="s">
        <v>58</v>
      </c>
      <c r="J95" s="88">
        <v>46433</v>
      </c>
      <c r="K95" s="81" t="s">
        <v>365</v>
      </c>
      <c r="L95" s="81" t="s">
        <v>408</v>
      </c>
      <c r="M95" s="81"/>
      <c r="N95" s="81"/>
      <c r="O95" s="81"/>
      <c r="P95" s="81"/>
      <c r="Q95" s="81"/>
      <c r="R95" s="81"/>
      <c r="S95" s="81"/>
      <c r="T95" s="81" t="s">
        <v>196</v>
      </c>
      <c r="U95" s="81"/>
    </row>
    <row r="96" spans="1:21" x14ac:dyDescent="0.25">
      <c r="A96" s="85">
        <v>1055</v>
      </c>
      <c r="B96" s="85" t="s">
        <v>63</v>
      </c>
      <c r="C96" s="81" t="s">
        <v>678</v>
      </c>
      <c r="D96" s="51" t="s">
        <v>692</v>
      </c>
      <c r="E96" s="81">
        <v>1</v>
      </c>
      <c r="F96" s="81">
        <v>1700</v>
      </c>
      <c r="G96" s="81" t="s">
        <v>63</v>
      </c>
      <c r="H96" s="88">
        <v>46388</v>
      </c>
      <c r="I96" s="81" t="s">
        <v>58</v>
      </c>
      <c r="J96" s="88">
        <v>46435</v>
      </c>
      <c r="K96" s="81" t="s">
        <v>365</v>
      </c>
      <c r="L96" s="81" t="s">
        <v>408</v>
      </c>
      <c r="M96" s="81"/>
      <c r="N96" s="81"/>
      <c r="O96" s="81"/>
      <c r="P96" s="81"/>
      <c r="Q96" s="81"/>
      <c r="R96" s="81"/>
      <c r="S96" s="81"/>
      <c r="T96" s="81" t="s">
        <v>196</v>
      </c>
      <c r="U96" s="81"/>
    </row>
    <row r="97" spans="1:21" x14ac:dyDescent="0.25">
      <c r="A97" s="85">
        <v>1055</v>
      </c>
      <c r="B97" s="85" t="s">
        <v>63</v>
      </c>
      <c r="C97" s="81" t="s">
        <v>678</v>
      </c>
      <c r="D97" s="51" t="s">
        <v>693</v>
      </c>
      <c r="E97" s="81">
        <v>1</v>
      </c>
      <c r="F97" s="81">
        <v>2000</v>
      </c>
      <c r="G97" s="81" t="s">
        <v>63</v>
      </c>
      <c r="H97" s="88">
        <v>46388</v>
      </c>
      <c r="I97" s="81" t="s">
        <v>58</v>
      </c>
      <c r="J97" s="88">
        <v>46438</v>
      </c>
      <c r="K97" s="81" t="s">
        <v>365</v>
      </c>
      <c r="L97" s="81" t="s">
        <v>408</v>
      </c>
      <c r="M97" s="81"/>
      <c r="N97" s="81"/>
      <c r="O97" s="81"/>
      <c r="P97" s="81"/>
      <c r="Q97" s="81"/>
      <c r="R97" s="81"/>
      <c r="S97" s="81"/>
      <c r="T97" s="81" t="s">
        <v>196</v>
      </c>
      <c r="U97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54"/>
  <sheetViews>
    <sheetView workbookViewId="0">
      <selection activeCell="O161" sqref="O161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496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9</v>
      </c>
      <c r="M2" t="str">
        <f t="shared" ref="M2:M9" ca="1" si="0">IF(L2&lt;0,"ATRASADO",IF(L2&lt;=15,"ATENÇÃO","NO PRAZO"))</f>
        <v>ATENÇÃO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9</v>
      </c>
      <c r="M3" t="str">
        <f t="shared" ca="1" si="0"/>
        <v>ATENÇÃO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9</v>
      </c>
      <c r="M4" t="str">
        <f t="shared" ca="1" si="0"/>
        <v>ATENÇÃO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9</v>
      </c>
      <c r="M5" t="str">
        <f t="shared" ca="1" si="0"/>
        <v>ATENÇÃO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9</v>
      </c>
      <c r="M6" t="str">
        <f t="shared" ca="1" si="0"/>
        <v>ATENÇÃO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9</v>
      </c>
      <c r="M7" t="str">
        <f t="shared" ca="1" si="0"/>
        <v>ATENÇÃO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9</v>
      </c>
      <c r="M8" t="str">
        <f t="shared" ca="1" si="0"/>
        <v>ATENÇÃO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9</v>
      </c>
      <c r="M9" t="str">
        <f t="shared" ca="1" si="0"/>
        <v>ATENÇÃO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-67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131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565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131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565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131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565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131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131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131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36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36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131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131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131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131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131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131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131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131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131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131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131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131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131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131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131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131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131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131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131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131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131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131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131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131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131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131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131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131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131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131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131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131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131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131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570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-42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111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111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111</v>
      </c>
      <c r="M56" t="str">
        <f ca="1">IF(L56&lt;0,"ATRASADO",IF(L56&lt;=15,"ATENÇÃO","NO PRAZO"))</f>
        <v>NO PRAZO</v>
      </c>
      <c r="N56" s="8" t="s">
        <v>32</v>
      </c>
      <c r="O56" s="9" t="s">
        <v>56</v>
      </c>
      <c r="P56" s="1" t="s">
        <v>56</v>
      </c>
      <c r="Q56" t="s">
        <v>702</v>
      </c>
      <c r="R56" t="s">
        <v>703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111</v>
      </c>
      <c r="M57" t="str">
        <f t="shared" ref="M57:M59" ca="1" si="7">IF(L57&lt;0,"ATRASADO",IF(L57&lt;=15,"ATENÇÃO","NO PRAZO"))</f>
        <v>NO PRAZO</v>
      </c>
      <c r="N57" s="8" t="s">
        <v>32</v>
      </c>
      <c r="O57" s="9" t="s">
        <v>56</v>
      </c>
      <c r="P57" s="1" t="s">
        <v>56</v>
      </c>
      <c r="Q57" t="s">
        <v>702</v>
      </c>
      <c r="R57" t="s">
        <v>703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111</v>
      </c>
      <c r="M58" t="str">
        <f t="shared" ca="1" si="7"/>
        <v>NO PRAZO</v>
      </c>
      <c r="N58" s="8" t="s">
        <v>32</v>
      </c>
      <c r="O58" s="9" t="s">
        <v>56</v>
      </c>
      <c r="P58" s="1" t="s">
        <v>56</v>
      </c>
      <c r="Q58" t="s">
        <v>702</v>
      </c>
      <c r="R58" t="s">
        <v>704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111</v>
      </c>
      <c r="M59" t="str">
        <f t="shared" ca="1" si="7"/>
        <v>NO PRAZO</v>
      </c>
      <c r="N59" s="8" t="s">
        <v>32</v>
      </c>
      <c r="O59" s="9" t="s">
        <v>56</v>
      </c>
      <c r="P59" s="1" t="s">
        <v>56</v>
      </c>
      <c r="Q59" t="s">
        <v>702</v>
      </c>
      <c r="R59" t="s">
        <v>704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111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111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111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111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111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111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111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111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111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111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111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111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111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111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111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111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111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111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111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111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111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111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111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111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111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111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111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111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111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-42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126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126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126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126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126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126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126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126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569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52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569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52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569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52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569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52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569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52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569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52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570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111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570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111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570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111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570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111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570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111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570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111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570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111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570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111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570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111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570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111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570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111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570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111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570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111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570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111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570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111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570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111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570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111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570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111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570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111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570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111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hidden="1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567</v>
      </c>
      <c r="F124" s="12">
        <v>1</v>
      </c>
      <c r="G124" s="6" t="s">
        <v>522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141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hidden="1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567</v>
      </c>
      <c r="F125" s="12">
        <v>1</v>
      </c>
      <c r="G125" s="6" t="s">
        <v>522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141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hidden="1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567</v>
      </c>
      <c r="F126" s="12">
        <v>1</v>
      </c>
      <c r="G126" s="6" t="s">
        <v>523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141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hidden="1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567</v>
      </c>
      <c r="F127" s="12">
        <v>1</v>
      </c>
      <c r="G127" s="6" t="s">
        <v>523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141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hidden="1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567</v>
      </c>
      <c r="F128" s="101">
        <v>1</v>
      </c>
      <c r="G128" s="62" t="s">
        <v>528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141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hidden="1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567</v>
      </c>
      <c r="F129" s="101">
        <v>1</v>
      </c>
      <c r="G129" s="62" t="s">
        <v>527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141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hidden="1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567</v>
      </c>
      <c r="F130" s="109">
        <v>2</v>
      </c>
      <c r="G130" s="110" t="s">
        <v>524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141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hidden="1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567</v>
      </c>
      <c r="F131" s="109">
        <v>2</v>
      </c>
      <c r="G131" s="110" t="s">
        <v>529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141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hidden="1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567</v>
      </c>
      <c r="F132" s="101">
        <v>2</v>
      </c>
      <c r="G132" s="62" t="s">
        <v>525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141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hidden="1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567</v>
      </c>
      <c r="F133" s="101">
        <v>2</v>
      </c>
      <c r="G133" s="62" t="s">
        <v>530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141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hidden="1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567</v>
      </c>
      <c r="F134" s="101">
        <v>1</v>
      </c>
      <c r="G134" s="62" t="s">
        <v>531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141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hidden="1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567</v>
      </c>
      <c r="F135" s="101">
        <v>1</v>
      </c>
      <c r="G135" s="62" t="s">
        <v>531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141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hidden="1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567</v>
      </c>
      <c r="F136" s="101">
        <v>1</v>
      </c>
      <c r="G136" s="62" t="s">
        <v>531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141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hidden="1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567</v>
      </c>
      <c r="F137" s="101">
        <v>1</v>
      </c>
      <c r="G137" s="62" t="s">
        <v>531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141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hidden="1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567</v>
      </c>
      <c r="F138" s="12">
        <v>16</v>
      </c>
      <c r="G138" s="62" t="s">
        <v>532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141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hidden="1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567</v>
      </c>
      <c r="F139" s="12">
        <v>16</v>
      </c>
      <c r="G139" s="62" t="s">
        <v>526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141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543</v>
      </c>
      <c r="F140" s="12">
        <v>1</v>
      </c>
      <c r="G140" s="6" t="s">
        <v>544</v>
      </c>
      <c r="H140" s="7">
        <v>46287</v>
      </c>
      <c r="J140" s="7">
        <v>46328</v>
      </c>
      <c r="L140" s="11">
        <f ca="1">Tabela4[[#This Row],[Prazo
Entrega]]-TODAY()</f>
        <v>83</v>
      </c>
      <c r="M140" t="str">
        <f ca="1">IF(L140&lt;0,"ATRASADO",IF(L140&lt;=15,"ATENÇÃO","NO PRAZO"))</f>
        <v>NO PRAZO</v>
      </c>
      <c r="N140" s="14" t="s">
        <v>63</v>
      </c>
      <c r="O140" s="9" t="s">
        <v>56</v>
      </c>
      <c r="P140" s="1" t="s">
        <v>56</v>
      </c>
      <c r="Q140" t="s">
        <v>48</v>
      </c>
    </row>
    <row r="141" spans="1:17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543</v>
      </c>
      <c r="F141" s="12">
        <v>1</v>
      </c>
      <c r="G141" s="6" t="s">
        <v>544</v>
      </c>
      <c r="H141" s="7">
        <v>46287</v>
      </c>
      <c r="J141" s="7">
        <v>46328</v>
      </c>
      <c r="L141" s="11">
        <f ca="1">Tabela4[[#This Row],[Prazo
Entrega]]-TODAY()</f>
        <v>83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 t="s">
        <v>56</v>
      </c>
      <c r="P141" s="1" t="s">
        <v>56</v>
      </c>
      <c r="Q141" t="s">
        <v>48</v>
      </c>
    </row>
    <row r="142" spans="1:17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543</v>
      </c>
      <c r="F142" s="12">
        <v>1</v>
      </c>
      <c r="G142" s="6" t="s">
        <v>544</v>
      </c>
      <c r="H142" s="7">
        <v>46287</v>
      </c>
      <c r="J142" s="7">
        <v>46328</v>
      </c>
      <c r="L142" s="11">
        <f ca="1">Tabela4[[#This Row],[Prazo
Entrega]]-TODAY()</f>
        <v>83</v>
      </c>
      <c r="M142" t="str">
        <f t="shared" ca="1" si="18"/>
        <v>NO PRAZO</v>
      </c>
      <c r="N142" s="14" t="s">
        <v>63</v>
      </c>
      <c r="O142" s="9" t="s">
        <v>56</v>
      </c>
      <c r="P142" s="1" t="s">
        <v>56</v>
      </c>
      <c r="Q142" t="s">
        <v>48</v>
      </c>
    </row>
    <row r="143" spans="1:17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543</v>
      </c>
      <c r="F143" s="12">
        <v>1</v>
      </c>
      <c r="G143" s="6" t="s">
        <v>544</v>
      </c>
      <c r="H143" s="7">
        <v>46287</v>
      </c>
      <c r="J143" s="7">
        <v>46328</v>
      </c>
      <c r="L143" s="11">
        <f ca="1">Tabela4[[#This Row],[Prazo
Entrega]]-TODAY()</f>
        <v>83</v>
      </c>
      <c r="M143" t="str">
        <f t="shared" ca="1" si="18"/>
        <v>NO PRAZO</v>
      </c>
      <c r="N143" s="14" t="s">
        <v>63</v>
      </c>
      <c r="O143" s="9" t="s">
        <v>56</v>
      </c>
      <c r="P143" s="1" t="s">
        <v>56</v>
      </c>
      <c r="Q143" t="s">
        <v>48</v>
      </c>
    </row>
    <row r="144" spans="1:17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543</v>
      </c>
      <c r="F144" s="12">
        <v>1</v>
      </c>
      <c r="G144" s="6" t="s">
        <v>544</v>
      </c>
      <c r="H144" s="7">
        <v>46287</v>
      </c>
      <c r="J144" s="7">
        <v>46328</v>
      </c>
      <c r="L144" s="11">
        <f ca="1">Tabela4[[#This Row],[Prazo
Entrega]]-TODAY()</f>
        <v>83</v>
      </c>
      <c r="M144" t="str">
        <f t="shared" ca="1" si="18"/>
        <v>NO PRAZO</v>
      </c>
      <c r="N144" s="14" t="s">
        <v>63</v>
      </c>
      <c r="O144" s="9" t="s">
        <v>56</v>
      </c>
      <c r="P144" s="1" t="s">
        <v>56</v>
      </c>
      <c r="Q144" t="s">
        <v>48</v>
      </c>
    </row>
    <row r="145" spans="1:17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543</v>
      </c>
      <c r="F145" s="12">
        <v>1</v>
      </c>
      <c r="G145" s="6" t="s">
        <v>544</v>
      </c>
      <c r="H145" s="7">
        <v>46287</v>
      </c>
      <c r="J145" s="7">
        <v>46328</v>
      </c>
      <c r="L145" s="11">
        <f ca="1">Tabela4[[#This Row],[Prazo
Entrega]]-TODAY()</f>
        <v>83</v>
      </c>
      <c r="M145" t="str">
        <f t="shared" ca="1" si="18"/>
        <v>NO PRAZO</v>
      </c>
      <c r="N145" s="14" t="s">
        <v>63</v>
      </c>
      <c r="O145" s="9" t="s">
        <v>56</v>
      </c>
      <c r="P145" s="1" t="s">
        <v>56</v>
      </c>
      <c r="Q145" t="s">
        <v>48</v>
      </c>
    </row>
    <row r="146" spans="1:17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543</v>
      </c>
      <c r="F146" s="12">
        <v>1</v>
      </c>
      <c r="G146" s="6" t="s">
        <v>544</v>
      </c>
      <c r="H146" s="7">
        <v>46287</v>
      </c>
      <c r="J146" s="7">
        <v>46328</v>
      </c>
      <c r="L146" s="11">
        <f ca="1">Tabela4[[#This Row],[Prazo
Entrega]]-TODAY()</f>
        <v>83</v>
      </c>
      <c r="M146" t="str">
        <f t="shared" ca="1" si="18"/>
        <v>NO PRAZO</v>
      </c>
      <c r="N146" s="14" t="s">
        <v>63</v>
      </c>
      <c r="O146" s="9" t="s">
        <v>56</v>
      </c>
      <c r="P146" s="1" t="s">
        <v>56</v>
      </c>
      <c r="Q146" t="s">
        <v>48</v>
      </c>
    </row>
    <row r="147" spans="1:17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543</v>
      </c>
      <c r="F147" s="12">
        <v>1</v>
      </c>
      <c r="G147" s="6" t="s">
        <v>544</v>
      </c>
      <c r="H147" s="7">
        <v>46287</v>
      </c>
      <c r="J147" s="7">
        <v>46328</v>
      </c>
      <c r="L147" s="11">
        <f ca="1">Tabela4[[#This Row],[Prazo
Entrega]]-TODAY()</f>
        <v>83</v>
      </c>
      <c r="M147" t="str">
        <f t="shared" ca="1" si="18"/>
        <v>NO PRAZO</v>
      </c>
      <c r="N147" s="14" t="s">
        <v>63</v>
      </c>
      <c r="O147" s="9" t="s">
        <v>56</v>
      </c>
      <c r="P147" s="1" t="s">
        <v>56</v>
      </c>
      <c r="Q147" t="s">
        <v>48</v>
      </c>
    </row>
    <row r="148" spans="1:17" hidden="1" x14ac:dyDescent="0.25">
      <c r="A148" s="13">
        <v>2368</v>
      </c>
      <c r="B148" s="13">
        <v>9</v>
      </c>
      <c r="C148" s="12">
        <v>27699</v>
      </c>
      <c r="D148" s="12">
        <v>9</v>
      </c>
      <c r="E148" s="17" t="s">
        <v>678</v>
      </c>
      <c r="F148" s="12">
        <v>1</v>
      </c>
      <c r="G148" s="6" t="s">
        <v>681</v>
      </c>
      <c r="H148" s="7">
        <v>46297</v>
      </c>
      <c r="J148" s="7">
        <v>46342</v>
      </c>
      <c r="L148" s="11">
        <f ca="1">Tabela4[[#This Row],[Prazo
Entrega]]-TODAY()</f>
        <v>97</v>
      </c>
      <c r="M148" t="str">
        <f ca="1">IF(L148&lt;0,"ATRASADO",IF(L148&lt;=15,"ATENÇÃO","NO PRAZO"))</f>
        <v>NO PRAZO</v>
      </c>
      <c r="N148" s="14" t="s">
        <v>63</v>
      </c>
      <c r="O148" s="9">
        <v>46290</v>
      </c>
      <c r="P148" s="1" t="s">
        <v>75</v>
      </c>
      <c r="Q148" t="s">
        <v>48</v>
      </c>
    </row>
    <row r="149" spans="1:17" hidden="1" x14ac:dyDescent="0.25">
      <c r="A149" s="13">
        <v>2368</v>
      </c>
      <c r="B149" s="13">
        <v>16</v>
      </c>
      <c r="C149" s="65" t="s">
        <v>63</v>
      </c>
      <c r="D149" s="65" t="s">
        <v>63</v>
      </c>
      <c r="E149" s="17" t="s">
        <v>678</v>
      </c>
      <c r="F149" s="12">
        <v>1</v>
      </c>
      <c r="G149" s="6" t="s">
        <v>682</v>
      </c>
      <c r="H149" s="14" t="s">
        <v>63</v>
      </c>
      <c r="I149" s="14" t="s">
        <v>63</v>
      </c>
      <c r="J149" s="7">
        <v>46342</v>
      </c>
      <c r="L149" s="11">
        <f ca="1">Tabela4[[#This Row],[Prazo
Entrega]]-TODAY()</f>
        <v>97</v>
      </c>
      <c r="M149" t="str">
        <f t="shared" ref="M149:M150" ca="1" si="19">IF(L149&lt;0,"ATRASADO",IF(L149&lt;=15,"ATENÇÃO","NO PRAZO"))</f>
        <v>NO PRAZO</v>
      </c>
      <c r="N149" s="14" t="s">
        <v>63</v>
      </c>
      <c r="O149" s="9">
        <v>46264</v>
      </c>
      <c r="P149" s="1" t="s">
        <v>75</v>
      </c>
      <c r="Q149" t="s">
        <v>94</v>
      </c>
    </row>
    <row r="150" spans="1:17" hidden="1" x14ac:dyDescent="0.25">
      <c r="A150" s="13">
        <v>2368</v>
      </c>
      <c r="B150" s="13">
        <v>17</v>
      </c>
      <c r="C150" s="65" t="s">
        <v>63</v>
      </c>
      <c r="D150" s="65" t="s">
        <v>63</v>
      </c>
      <c r="E150" s="17" t="s">
        <v>678</v>
      </c>
      <c r="F150" s="12">
        <v>1</v>
      </c>
      <c r="G150" s="6" t="s">
        <v>682</v>
      </c>
      <c r="H150" s="14" t="s">
        <v>63</v>
      </c>
      <c r="I150" s="14" t="s">
        <v>63</v>
      </c>
      <c r="J150" s="7">
        <v>46342</v>
      </c>
      <c r="L150" s="11">
        <f ca="1">Tabela4[[#This Row],[Prazo
Entrega]]-TODAY()</f>
        <v>97</v>
      </c>
      <c r="M150" t="str">
        <f t="shared" ca="1" si="19"/>
        <v>NO PRAZO</v>
      </c>
      <c r="N150" s="14" t="s">
        <v>63</v>
      </c>
      <c r="O150" s="9">
        <v>46264</v>
      </c>
      <c r="P150" s="1" t="s">
        <v>75</v>
      </c>
      <c r="Q150" t="s">
        <v>94</v>
      </c>
    </row>
    <row r="151" spans="1:17" hidden="1" x14ac:dyDescent="0.25">
      <c r="A151" s="13">
        <v>2368</v>
      </c>
      <c r="B151" s="13">
        <v>18</v>
      </c>
      <c r="C151" s="65" t="s">
        <v>63</v>
      </c>
      <c r="D151" s="65" t="s">
        <v>63</v>
      </c>
      <c r="E151" s="17" t="s">
        <v>678</v>
      </c>
      <c r="F151" s="12">
        <v>1</v>
      </c>
      <c r="G151" s="6" t="s">
        <v>683</v>
      </c>
      <c r="H151" s="14" t="s">
        <v>63</v>
      </c>
      <c r="I151" s="14" t="s">
        <v>63</v>
      </c>
      <c r="J151" s="7">
        <v>46342</v>
      </c>
      <c r="L151" s="11">
        <f ca="1">Tabela4[[#This Row],[Prazo
Entrega]]-TODAY()</f>
        <v>97</v>
      </c>
      <c r="M151" t="str">
        <f t="shared" ref="M151:M152" ca="1" si="20">IF(L151&lt;0,"ATRASADO",IF(L151&lt;=15,"ATENÇÃO","NO PRAZO"))</f>
        <v>NO PRAZO</v>
      </c>
      <c r="N151" s="14" t="s">
        <v>63</v>
      </c>
      <c r="O151" s="9">
        <v>46264</v>
      </c>
      <c r="P151" s="1" t="s">
        <v>75</v>
      </c>
      <c r="Q151" t="s">
        <v>94</v>
      </c>
    </row>
    <row r="152" spans="1:17" hidden="1" x14ac:dyDescent="0.25">
      <c r="A152" s="13">
        <v>2368</v>
      </c>
      <c r="B152" s="13">
        <v>19</v>
      </c>
      <c r="C152" s="65" t="s">
        <v>63</v>
      </c>
      <c r="D152" s="65" t="s">
        <v>63</v>
      </c>
      <c r="E152" s="17" t="s">
        <v>678</v>
      </c>
      <c r="F152" s="12">
        <v>1</v>
      </c>
      <c r="G152" s="6" t="s">
        <v>683</v>
      </c>
      <c r="H152" s="14" t="s">
        <v>63</v>
      </c>
      <c r="I152" s="14" t="s">
        <v>63</v>
      </c>
      <c r="J152" s="7">
        <v>46342</v>
      </c>
      <c r="L152" s="11">
        <f ca="1">Tabela4[[#This Row],[Prazo
Entrega]]-TODAY()</f>
        <v>97</v>
      </c>
      <c r="M152" t="str">
        <f t="shared" ca="1" si="20"/>
        <v>NO PRAZO</v>
      </c>
      <c r="N152" s="14" t="s">
        <v>63</v>
      </c>
      <c r="O152" s="9">
        <v>46264</v>
      </c>
      <c r="P152" s="1" t="s">
        <v>75</v>
      </c>
      <c r="Q152" t="s">
        <v>94</v>
      </c>
    </row>
    <row r="153" spans="1:17" hidden="1" x14ac:dyDescent="0.25">
      <c r="A153" s="13">
        <v>2368</v>
      </c>
      <c r="B153" s="13">
        <v>20</v>
      </c>
      <c r="C153" s="65" t="s">
        <v>63</v>
      </c>
      <c r="D153" s="65" t="s">
        <v>63</v>
      </c>
      <c r="E153" s="17" t="s">
        <v>678</v>
      </c>
      <c r="F153" s="12">
        <v>1</v>
      </c>
      <c r="G153" s="6" t="s">
        <v>683</v>
      </c>
      <c r="H153" s="14" t="s">
        <v>63</v>
      </c>
      <c r="I153" s="14" t="s">
        <v>63</v>
      </c>
      <c r="J153" s="7">
        <v>46342</v>
      </c>
      <c r="L153" s="11">
        <f ca="1">Tabela4[[#This Row],[Prazo
Entrega]]-TODAY()</f>
        <v>97</v>
      </c>
      <c r="M153" t="str">
        <f ca="1">IF(L153&lt;0,"ATRASADO",IF(L153&lt;=15,"ATENÇÃO","NO PRAZO"))</f>
        <v>NO PRAZO</v>
      </c>
      <c r="N153" s="14" t="s">
        <v>63</v>
      </c>
      <c r="O153" s="9">
        <v>46264</v>
      </c>
      <c r="P153" s="1" t="s">
        <v>75</v>
      </c>
      <c r="Q153" t="s">
        <v>94</v>
      </c>
    </row>
    <row r="154" spans="1:17" hidden="1" x14ac:dyDescent="0.25">
      <c r="A154" s="13">
        <v>2368</v>
      </c>
      <c r="B154" s="13">
        <v>21</v>
      </c>
      <c r="C154" s="65" t="s">
        <v>63</v>
      </c>
      <c r="D154" s="65" t="s">
        <v>63</v>
      </c>
      <c r="E154" s="17" t="s">
        <v>678</v>
      </c>
      <c r="F154" s="12">
        <v>1</v>
      </c>
      <c r="G154" s="6" t="s">
        <v>683</v>
      </c>
      <c r="H154" s="14" t="s">
        <v>63</v>
      </c>
      <c r="I154" s="14" t="s">
        <v>63</v>
      </c>
      <c r="J154" s="7">
        <v>46342</v>
      </c>
      <c r="L154" s="11">
        <f ca="1">Tabela4[[#This Row],[Prazo
Entrega]]-TODAY()</f>
        <v>97</v>
      </c>
      <c r="M154" t="str">
        <f ca="1">IF(L154&lt;0,"ATRASADO",IF(L154&lt;=15,"ATENÇÃO","NO PRAZO"))</f>
        <v>NO PRAZO</v>
      </c>
      <c r="N154" s="14" t="s">
        <v>63</v>
      </c>
      <c r="O154" s="9">
        <v>46264</v>
      </c>
      <c r="P154" s="1" t="s">
        <v>75</v>
      </c>
      <c r="Q154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B33D-022B-4A9F-A7E5-3CADBFA51704}">
  <dimension ref="A1:AF30"/>
  <sheetViews>
    <sheetView tabSelected="1" topLeftCell="E1" workbookViewId="0">
      <selection activeCell="I4" sqref="I4"/>
    </sheetView>
  </sheetViews>
  <sheetFormatPr defaultRowHeight="13.5" x14ac:dyDescent="0.25"/>
  <cols>
    <col min="1" max="1" width="14.85546875" style="119" customWidth="1"/>
    <col min="2" max="2" width="33.85546875" style="119" bestFit="1" customWidth="1"/>
    <col min="3" max="3" width="4.85546875" style="119" customWidth="1"/>
    <col min="4" max="4" width="5.5703125" style="119" bestFit="1" customWidth="1"/>
    <col min="5" max="5" width="9.140625" style="119"/>
    <col min="6" max="6" width="7.5703125" style="119" bestFit="1" customWidth="1"/>
    <col min="7" max="8" width="9.140625" style="119"/>
    <col min="9" max="9" width="12.42578125" style="119" customWidth="1"/>
    <col min="10" max="10" width="7.28515625" style="141" bestFit="1" customWidth="1"/>
    <col min="11" max="11" width="6.5703125" style="119" customWidth="1"/>
    <col min="12" max="20" width="9.140625" style="119"/>
    <col min="21" max="21" width="12.140625" style="119" bestFit="1" customWidth="1"/>
    <col min="22" max="22" width="14.42578125" style="119" customWidth="1"/>
    <col min="23" max="30" width="9.140625" style="119"/>
    <col min="31" max="31" width="12" style="119" customWidth="1"/>
    <col min="32" max="32" width="12.140625" style="119" customWidth="1"/>
    <col min="33" max="16384" width="9.140625" style="119"/>
  </cols>
  <sheetData>
    <row r="1" spans="1:32" x14ac:dyDescent="0.25">
      <c r="A1" s="142" t="s">
        <v>728</v>
      </c>
      <c r="B1" s="142"/>
      <c r="C1" s="142"/>
      <c r="D1" s="142"/>
      <c r="E1" s="142"/>
      <c r="F1" s="142"/>
      <c r="G1" s="142"/>
      <c r="H1" s="142"/>
      <c r="I1" s="142"/>
      <c r="J1" s="142" t="s">
        <v>729</v>
      </c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 t="s">
        <v>730</v>
      </c>
      <c r="X1" s="142"/>
      <c r="Y1" s="142"/>
      <c r="Z1" s="142"/>
      <c r="AA1" s="142"/>
      <c r="AB1" s="142"/>
      <c r="AC1" s="142"/>
      <c r="AD1" s="142"/>
      <c r="AE1" s="142"/>
      <c r="AF1" s="142"/>
    </row>
    <row r="2" spans="1:32" ht="15" customHeight="1" x14ac:dyDescent="0.25">
      <c r="A2" s="120" t="s">
        <v>3</v>
      </c>
      <c r="B2" s="121" t="s">
        <v>6</v>
      </c>
      <c r="C2" s="121" t="s">
        <v>731</v>
      </c>
      <c r="D2" s="121" t="s">
        <v>732</v>
      </c>
      <c r="E2" s="121" t="s">
        <v>247</v>
      </c>
      <c r="F2" s="121" t="s">
        <v>733</v>
      </c>
      <c r="G2" s="121" t="s">
        <v>245</v>
      </c>
      <c r="H2" s="122" t="s">
        <v>734</v>
      </c>
      <c r="I2" s="122" t="s">
        <v>74</v>
      </c>
      <c r="J2" s="123" t="s">
        <v>735</v>
      </c>
      <c r="K2" s="122" t="s">
        <v>68</v>
      </c>
      <c r="L2" s="122" t="s">
        <v>230</v>
      </c>
      <c r="M2" s="122" t="s">
        <v>231</v>
      </c>
      <c r="N2" s="122" t="s">
        <v>232</v>
      </c>
      <c r="O2" s="122" t="s">
        <v>233</v>
      </c>
      <c r="P2" s="122" t="s">
        <v>234</v>
      </c>
      <c r="Q2" s="122" t="s">
        <v>235</v>
      </c>
      <c r="R2" s="122" t="s">
        <v>236</v>
      </c>
      <c r="S2" s="122" t="s">
        <v>237</v>
      </c>
      <c r="T2" s="122" t="s">
        <v>238</v>
      </c>
      <c r="U2" s="125" t="s">
        <v>736</v>
      </c>
      <c r="V2" s="119" t="s">
        <v>737</v>
      </c>
      <c r="W2" s="122" t="s">
        <v>230</v>
      </c>
      <c r="X2" s="122" t="s">
        <v>231</v>
      </c>
      <c r="Y2" s="122" t="s">
        <v>232</v>
      </c>
      <c r="Z2" s="122" t="s">
        <v>233</v>
      </c>
      <c r="AA2" s="122" t="s">
        <v>234</v>
      </c>
      <c r="AB2" s="122" t="s">
        <v>235</v>
      </c>
      <c r="AC2" s="122" t="s">
        <v>236</v>
      </c>
      <c r="AD2" s="122" t="s">
        <v>237</v>
      </c>
      <c r="AE2" s="124" t="s">
        <v>738</v>
      </c>
      <c r="AF2" s="126" t="s">
        <v>739</v>
      </c>
    </row>
    <row r="3" spans="1:32" ht="15" customHeight="1" x14ac:dyDescent="0.25">
      <c r="A3" s="119" t="s">
        <v>740</v>
      </c>
      <c r="B3" s="127" t="s">
        <v>741</v>
      </c>
      <c r="C3" s="128">
        <v>1</v>
      </c>
      <c r="D3" s="128" t="s">
        <v>364</v>
      </c>
      <c r="E3" s="128" t="s">
        <v>742</v>
      </c>
      <c r="F3" s="128" t="s">
        <v>200</v>
      </c>
      <c r="G3" s="128" t="s">
        <v>743</v>
      </c>
      <c r="H3" s="128" t="s">
        <v>411</v>
      </c>
      <c r="I3" s="130" t="s">
        <v>773</v>
      </c>
      <c r="J3" s="129" t="s">
        <v>63</v>
      </c>
      <c r="K3" s="130" t="s">
        <v>58</v>
      </c>
      <c r="L3" s="130" t="s">
        <v>365</v>
      </c>
      <c r="M3" s="130" t="s">
        <v>221</v>
      </c>
      <c r="N3" s="130" t="s">
        <v>220</v>
      </c>
      <c r="O3" s="130" t="s">
        <v>744</v>
      </c>
      <c r="P3" s="130"/>
      <c r="U3" s="131">
        <v>46389</v>
      </c>
      <c r="V3" s="118" t="s">
        <v>745</v>
      </c>
      <c r="W3" s="118" t="s">
        <v>365</v>
      </c>
      <c r="X3" s="118" t="s">
        <v>746</v>
      </c>
      <c r="Y3" s="118"/>
      <c r="Z3" s="118"/>
      <c r="AA3" s="118"/>
      <c r="AB3" s="118"/>
      <c r="AC3" s="118"/>
      <c r="AD3" s="118"/>
      <c r="AE3" s="131">
        <f>U3-10</f>
        <v>46379</v>
      </c>
      <c r="AF3" s="118" t="s">
        <v>745</v>
      </c>
    </row>
    <row r="4" spans="1:32" ht="15" customHeight="1" x14ac:dyDescent="0.25">
      <c r="A4" s="119" t="s">
        <v>740</v>
      </c>
      <c r="B4" s="127" t="s">
        <v>747</v>
      </c>
      <c r="C4" s="128">
        <v>1</v>
      </c>
      <c r="D4" s="128" t="s">
        <v>364</v>
      </c>
      <c r="E4" s="128" t="s">
        <v>742</v>
      </c>
      <c r="F4" s="128" t="s">
        <v>200</v>
      </c>
      <c r="G4" s="128" t="s">
        <v>748</v>
      </c>
      <c r="H4" s="128" t="s">
        <v>412</v>
      </c>
      <c r="I4" s="130" t="s">
        <v>773</v>
      </c>
      <c r="J4" s="129" t="s">
        <v>63</v>
      </c>
      <c r="K4" s="130" t="s">
        <v>58</v>
      </c>
      <c r="L4" s="130" t="s">
        <v>365</v>
      </c>
      <c r="M4" s="130" t="s">
        <v>221</v>
      </c>
      <c r="N4" s="130" t="s">
        <v>220</v>
      </c>
      <c r="O4" s="130" t="s">
        <v>744</v>
      </c>
      <c r="P4" s="130"/>
      <c r="U4" s="131">
        <v>46390</v>
      </c>
      <c r="V4" s="118" t="s">
        <v>745</v>
      </c>
      <c r="W4" s="118" t="s">
        <v>365</v>
      </c>
      <c r="X4" s="118" t="s">
        <v>746</v>
      </c>
      <c r="Y4" s="118"/>
      <c r="Z4" s="118"/>
      <c r="AA4" s="118"/>
      <c r="AB4" s="118"/>
      <c r="AC4" s="118"/>
      <c r="AD4" s="118"/>
      <c r="AE4" s="131">
        <f t="shared" ref="AE4:AE19" si="0">U4-10</f>
        <v>46380</v>
      </c>
      <c r="AF4" s="118" t="s">
        <v>745</v>
      </c>
    </row>
    <row r="5" spans="1:32" ht="15" customHeight="1" x14ac:dyDescent="0.25">
      <c r="A5" s="119" t="s">
        <v>740</v>
      </c>
      <c r="B5" s="127" t="s">
        <v>741</v>
      </c>
      <c r="C5" s="128">
        <v>1</v>
      </c>
      <c r="D5" s="128" t="s">
        <v>259</v>
      </c>
      <c r="E5" s="128" t="s">
        <v>742</v>
      </c>
      <c r="F5" s="128" t="s">
        <v>201</v>
      </c>
      <c r="G5" s="128" t="s">
        <v>749</v>
      </c>
      <c r="H5" s="128" t="s">
        <v>413</v>
      </c>
      <c r="I5" s="130" t="s">
        <v>773</v>
      </c>
      <c r="J5" s="129" t="s">
        <v>63</v>
      </c>
      <c r="K5" s="130" t="s">
        <v>58</v>
      </c>
      <c r="L5" s="130" t="s">
        <v>365</v>
      </c>
      <c r="M5" s="130" t="s">
        <v>221</v>
      </c>
      <c r="N5" s="130" t="s">
        <v>220</v>
      </c>
      <c r="O5" s="130" t="s">
        <v>744</v>
      </c>
      <c r="P5" s="130"/>
      <c r="U5" s="131">
        <v>46393</v>
      </c>
      <c r="V5" s="118" t="s">
        <v>745</v>
      </c>
      <c r="W5" s="118" t="s">
        <v>365</v>
      </c>
      <c r="X5" s="118" t="s">
        <v>746</v>
      </c>
      <c r="Y5" s="118"/>
      <c r="Z5" s="118"/>
      <c r="AA5" s="118"/>
      <c r="AB5" s="118"/>
      <c r="AC5" s="118"/>
      <c r="AD5" s="118"/>
      <c r="AE5" s="131">
        <f t="shared" si="0"/>
        <v>46383</v>
      </c>
      <c r="AF5" s="118" t="s">
        <v>745</v>
      </c>
    </row>
    <row r="6" spans="1:32" ht="15" customHeight="1" x14ac:dyDescent="0.25">
      <c r="A6" s="119" t="s">
        <v>740</v>
      </c>
      <c r="B6" s="127" t="s">
        <v>747</v>
      </c>
      <c r="C6" s="128">
        <v>1</v>
      </c>
      <c r="D6" s="128" t="s">
        <v>259</v>
      </c>
      <c r="E6" s="128" t="s">
        <v>742</v>
      </c>
      <c r="F6" s="128" t="s">
        <v>201</v>
      </c>
      <c r="G6" s="128" t="s">
        <v>750</v>
      </c>
      <c r="H6" s="128" t="s">
        <v>414</v>
      </c>
      <c r="I6" s="130" t="s">
        <v>773</v>
      </c>
      <c r="J6" s="129" t="s">
        <v>63</v>
      </c>
      <c r="K6" s="130" t="s">
        <v>58</v>
      </c>
      <c r="L6" s="130" t="s">
        <v>365</v>
      </c>
      <c r="M6" s="130" t="s">
        <v>221</v>
      </c>
      <c r="N6" s="130" t="s">
        <v>220</v>
      </c>
      <c r="O6" s="130" t="s">
        <v>744</v>
      </c>
      <c r="P6" s="130"/>
      <c r="U6" s="131">
        <v>46395</v>
      </c>
      <c r="V6" s="118" t="s">
        <v>745</v>
      </c>
      <c r="W6" s="118" t="s">
        <v>365</v>
      </c>
      <c r="X6" s="118" t="s">
        <v>746</v>
      </c>
      <c r="Y6" s="118"/>
      <c r="Z6" s="118"/>
      <c r="AA6" s="118"/>
      <c r="AB6" s="118"/>
      <c r="AC6" s="118"/>
      <c r="AD6" s="118"/>
      <c r="AE6" s="131">
        <f t="shared" si="0"/>
        <v>46385</v>
      </c>
      <c r="AF6" s="118" t="s">
        <v>745</v>
      </c>
    </row>
    <row r="7" spans="1:32" ht="15" customHeight="1" x14ac:dyDescent="0.25">
      <c r="A7" s="119" t="s">
        <v>740</v>
      </c>
      <c r="B7" s="127" t="s">
        <v>751</v>
      </c>
      <c r="C7" s="128">
        <v>1</v>
      </c>
      <c r="D7" s="128" t="s">
        <v>259</v>
      </c>
      <c r="E7" s="128" t="s">
        <v>193</v>
      </c>
      <c r="F7" s="128" t="s">
        <v>201</v>
      </c>
      <c r="G7" s="128" t="s">
        <v>360</v>
      </c>
      <c r="H7" s="128" t="s">
        <v>415</v>
      </c>
      <c r="I7" s="130" t="s">
        <v>773</v>
      </c>
      <c r="J7" s="129" t="s">
        <v>56</v>
      </c>
      <c r="K7" s="132" t="s">
        <v>56</v>
      </c>
      <c r="L7" s="51" t="s">
        <v>220</v>
      </c>
      <c r="M7" s="51" t="s">
        <v>222</v>
      </c>
      <c r="N7" s="51" t="s">
        <v>223</v>
      </c>
      <c r="O7" s="51" t="s">
        <v>225</v>
      </c>
      <c r="P7" s="51" t="s">
        <v>226</v>
      </c>
      <c r="Q7" s="51" t="s">
        <v>227</v>
      </c>
      <c r="R7" s="51" t="s">
        <v>224</v>
      </c>
      <c r="S7" s="51" t="s">
        <v>228</v>
      </c>
      <c r="T7" s="51" t="s">
        <v>229</v>
      </c>
      <c r="U7" s="131">
        <v>46415</v>
      </c>
      <c r="V7" s="125" t="s">
        <v>752</v>
      </c>
      <c r="W7" s="118" t="s">
        <v>365</v>
      </c>
      <c r="X7" s="118" t="s">
        <v>746</v>
      </c>
      <c r="Y7" s="118"/>
      <c r="Z7" s="118"/>
      <c r="AA7" s="118"/>
      <c r="AB7" s="118"/>
      <c r="AC7" s="118"/>
      <c r="AD7" s="118"/>
      <c r="AE7" s="131">
        <f t="shared" si="0"/>
        <v>46405</v>
      </c>
      <c r="AF7" s="118" t="s">
        <v>745</v>
      </c>
    </row>
    <row r="8" spans="1:32" ht="15" customHeight="1" x14ac:dyDescent="0.25">
      <c r="A8" s="119" t="s">
        <v>740</v>
      </c>
      <c r="B8" s="127" t="s">
        <v>753</v>
      </c>
      <c r="C8" s="128">
        <v>1</v>
      </c>
      <c r="D8" s="128" t="s">
        <v>259</v>
      </c>
      <c r="E8" s="128" t="s">
        <v>742</v>
      </c>
      <c r="F8" s="128" t="s">
        <v>202</v>
      </c>
      <c r="G8" s="128" t="s">
        <v>754</v>
      </c>
      <c r="H8" s="128" t="s">
        <v>416</v>
      </c>
      <c r="I8" s="130" t="s">
        <v>773</v>
      </c>
      <c r="J8" s="129" t="s">
        <v>63</v>
      </c>
      <c r="K8" s="130" t="s">
        <v>58</v>
      </c>
      <c r="L8" s="130" t="s">
        <v>365</v>
      </c>
      <c r="M8" s="130" t="s">
        <v>221</v>
      </c>
      <c r="N8" s="130" t="s">
        <v>220</v>
      </c>
      <c r="O8" s="130" t="s">
        <v>744</v>
      </c>
      <c r="P8" s="130"/>
      <c r="U8" s="131">
        <v>46397</v>
      </c>
      <c r="V8" s="118" t="s">
        <v>745</v>
      </c>
      <c r="W8" s="118" t="s">
        <v>365</v>
      </c>
      <c r="X8" s="118" t="s">
        <v>746</v>
      </c>
      <c r="Y8" s="118"/>
      <c r="Z8" s="118"/>
      <c r="AA8" s="118"/>
      <c r="AB8" s="118"/>
      <c r="AC8" s="118"/>
      <c r="AD8" s="118"/>
      <c r="AE8" s="131">
        <f t="shared" si="0"/>
        <v>46387</v>
      </c>
      <c r="AF8" s="118" t="s">
        <v>745</v>
      </c>
    </row>
    <row r="9" spans="1:32" ht="15" customHeight="1" x14ac:dyDescent="0.25">
      <c r="A9" s="119" t="s">
        <v>740</v>
      </c>
      <c r="B9" s="127" t="s">
        <v>747</v>
      </c>
      <c r="C9" s="128">
        <v>1</v>
      </c>
      <c r="D9" s="128" t="s">
        <v>259</v>
      </c>
      <c r="E9" s="128" t="s">
        <v>742</v>
      </c>
      <c r="F9" s="128" t="s">
        <v>202</v>
      </c>
      <c r="G9" s="128" t="s">
        <v>361</v>
      </c>
      <c r="H9" s="128" t="s">
        <v>417</v>
      </c>
      <c r="I9" s="130" t="s">
        <v>773</v>
      </c>
      <c r="J9" s="129" t="s">
        <v>63</v>
      </c>
      <c r="K9" s="130" t="s">
        <v>58</v>
      </c>
      <c r="L9" s="130" t="s">
        <v>365</v>
      </c>
      <c r="M9" s="130" t="s">
        <v>221</v>
      </c>
      <c r="N9" s="130" t="s">
        <v>220</v>
      </c>
      <c r="O9" s="130" t="s">
        <v>744</v>
      </c>
      <c r="P9" s="130"/>
      <c r="U9" s="131">
        <v>46400</v>
      </c>
      <c r="V9" s="118" t="s">
        <v>745</v>
      </c>
      <c r="W9" s="118" t="s">
        <v>365</v>
      </c>
      <c r="X9" s="118" t="s">
        <v>746</v>
      </c>
      <c r="Y9" s="118"/>
      <c r="Z9" s="118"/>
      <c r="AA9" s="118"/>
      <c r="AB9" s="118"/>
      <c r="AC9" s="118"/>
      <c r="AD9" s="118"/>
      <c r="AE9" s="131">
        <f t="shared" si="0"/>
        <v>46390</v>
      </c>
      <c r="AF9" s="118" t="s">
        <v>745</v>
      </c>
    </row>
    <row r="10" spans="1:32" ht="15" customHeight="1" x14ac:dyDescent="0.25">
      <c r="A10" s="119" t="s">
        <v>740</v>
      </c>
      <c r="B10" s="127" t="s">
        <v>755</v>
      </c>
      <c r="C10" s="128">
        <v>1</v>
      </c>
      <c r="D10" s="128" t="s">
        <v>259</v>
      </c>
      <c r="E10" s="128" t="s">
        <v>193</v>
      </c>
      <c r="F10" s="128" t="s">
        <v>202</v>
      </c>
      <c r="G10" s="128" t="s">
        <v>756</v>
      </c>
      <c r="H10" s="128" t="s">
        <v>418</v>
      </c>
      <c r="I10" s="130" t="s">
        <v>773</v>
      </c>
      <c r="J10" s="129" t="s">
        <v>56</v>
      </c>
      <c r="K10" s="132" t="s">
        <v>56</v>
      </c>
      <c r="L10" s="133" t="s">
        <v>220</v>
      </c>
      <c r="M10" s="133" t="s">
        <v>757</v>
      </c>
      <c r="N10" s="133" t="s">
        <v>744</v>
      </c>
      <c r="O10" s="125" t="s">
        <v>687</v>
      </c>
      <c r="P10" s="125" t="s">
        <v>758</v>
      </c>
      <c r="Q10" s="125"/>
      <c r="U10" s="131">
        <v>46414</v>
      </c>
      <c r="V10" s="118" t="s">
        <v>759</v>
      </c>
      <c r="W10" s="118" t="s">
        <v>365</v>
      </c>
      <c r="X10" s="118" t="s">
        <v>746</v>
      </c>
      <c r="Y10" s="118"/>
      <c r="Z10" s="118"/>
      <c r="AA10" s="118"/>
      <c r="AB10" s="118"/>
      <c r="AC10" s="118"/>
      <c r="AD10" s="118"/>
      <c r="AE10" s="131">
        <f t="shared" si="0"/>
        <v>46404</v>
      </c>
      <c r="AF10" s="118" t="s">
        <v>745</v>
      </c>
    </row>
    <row r="11" spans="1:32" ht="15" customHeight="1" x14ac:dyDescent="0.25">
      <c r="A11" s="119" t="s">
        <v>740</v>
      </c>
      <c r="B11" s="127" t="s">
        <v>753</v>
      </c>
      <c r="C11" s="128">
        <v>1</v>
      </c>
      <c r="D11" s="128" t="s">
        <v>259</v>
      </c>
      <c r="E11" s="128" t="s">
        <v>742</v>
      </c>
      <c r="F11" s="128" t="s">
        <v>203</v>
      </c>
      <c r="G11" s="128" t="s">
        <v>760</v>
      </c>
      <c r="H11" s="128" t="s">
        <v>419</v>
      </c>
      <c r="I11" s="130" t="s">
        <v>773</v>
      </c>
      <c r="J11" s="129" t="s">
        <v>63</v>
      </c>
      <c r="K11" s="130" t="s">
        <v>58</v>
      </c>
      <c r="L11" s="130" t="s">
        <v>365</v>
      </c>
      <c r="M11" s="130" t="s">
        <v>221</v>
      </c>
      <c r="N11" s="130" t="s">
        <v>220</v>
      </c>
      <c r="O11" s="130" t="s">
        <v>744</v>
      </c>
      <c r="P11" s="130"/>
      <c r="U11" s="131">
        <v>46401</v>
      </c>
      <c r="V11" s="118" t="s">
        <v>745</v>
      </c>
      <c r="W11" s="118" t="s">
        <v>365</v>
      </c>
      <c r="X11" s="118" t="s">
        <v>746</v>
      </c>
      <c r="Y11" s="118"/>
      <c r="Z11" s="118"/>
      <c r="AA11" s="118"/>
      <c r="AB11" s="118"/>
      <c r="AC11" s="118"/>
      <c r="AD11" s="118"/>
      <c r="AE11" s="131">
        <f t="shared" si="0"/>
        <v>46391</v>
      </c>
      <c r="AF11" s="118" t="s">
        <v>745</v>
      </c>
    </row>
    <row r="12" spans="1:32" ht="15" customHeight="1" x14ac:dyDescent="0.25">
      <c r="A12" s="119" t="s">
        <v>740</v>
      </c>
      <c r="B12" s="127" t="s">
        <v>747</v>
      </c>
      <c r="C12" s="128">
        <v>1</v>
      </c>
      <c r="D12" s="128" t="s">
        <v>259</v>
      </c>
      <c r="E12" s="128" t="s">
        <v>742</v>
      </c>
      <c r="F12" s="128" t="s">
        <v>203</v>
      </c>
      <c r="G12" s="128" t="s">
        <v>761</v>
      </c>
      <c r="H12" s="128" t="s">
        <v>420</v>
      </c>
      <c r="I12" s="130" t="s">
        <v>773</v>
      </c>
      <c r="J12" s="129" t="s">
        <v>63</v>
      </c>
      <c r="K12" s="130" t="s">
        <v>58</v>
      </c>
      <c r="L12" s="130" t="s">
        <v>365</v>
      </c>
      <c r="M12" s="130" t="s">
        <v>221</v>
      </c>
      <c r="N12" s="130" t="s">
        <v>220</v>
      </c>
      <c r="O12" s="130" t="s">
        <v>744</v>
      </c>
      <c r="P12" s="130"/>
      <c r="U12" s="131">
        <v>46403</v>
      </c>
      <c r="V12" s="118" t="s">
        <v>745</v>
      </c>
      <c r="W12" s="118" t="s">
        <v>365</v>
      </c>
      <c r="X12" s="118" t="s">
        <v>746</v>
      </c>
      <c r="Y12" s="118"/>
      <c r="Z12" s="118"/>
      <c r="AA12" s="118"/>
      <c r="AB12" s="118"/>
      <c r="AC12" s="118"/>
      <c r="AD12" s="118"/>
      <c r="AE12" s="131">
        <f t="shared" si="0"/>
        <v>46393</v>
      </c>
      <c r="AF12" s="118" t="s">
        <v>745</v>
      </c>
    </row>
    <row r="13" spans="1:32" ht="15" customHeight="1" x14ac:dyDescent="0.25">
      <c r="A13" s="119" t="s">
        <v>740</v>
      </c>
      <c r="B13" s="127" t="s">
        <v>755</v>
      </c>
      <c r="C13" s="128">
        <v>1</v>
      </c>
      <c r="D13" s="128" t="s">
        <v>259</v>
      </c>
      <c r="E13" s="128" t="s">
        <v>193</v>
      </c>
      <c r="F13" s="128" t="s">
        <v>203</v>
      </c>
      <c r="G13" s="128" t="s">
        <v>762</v>
      </c>
      <c r="H13" s="128" t="s">
        <v>421</v>
      </c>
      <c r="I13" s="130" t="s">
        <v>773</v>
      </c>
      <c r="J13" s="129" t="s">
        <v>56</v>
      </c>
      <c r="K13" s="132" t="s">
        <v>56</v>
      </c>
      <c r="L13" s="133" t="s">
        <v>220</v>
      </c>
      <c r="M13" s="133" t="s">
        <v>757</v>
      </c>
      <c r="N13" s="133" t="s">
        <v>744</v>
      </c>
      <c r="O13" s="125" t="s">
        <v>687</v>
      </c>
      <c r="P13" s="125" t="s">
        <v>758</v>
      </c>
      <c r="Q13" s="125"/>
      <c r="U13" s="131">
        <v>46411</v>
      </c>
      <c r="V13" s="118" t="s">
        <v>759</v>
      </c>
      <c r="W13" s="118" t="s">
        <v>365</v>
      </c>
      <c r="X13" s="118" t="s">
        <v>746</v>
      </c>
      <c r="Y13" s="118"/>
      <c r="Z13" s="118"/>
      <c r="AA13" s="118"/>
      <c r="AB13" s="118"/>
      <c r="AC13" s="118"/>
      <c r="AD13" s="118"/>
      <c r="AE13" s="131">
        <f t="shared" si="0"/>
        <v>46401</v>
      </c>
      <c r="AF13" s="118" t="s">
        <v>745</v>
      </c>
    </row>
    <row r="14" spans="1:32" ht="15" customHeight="1" x14ac:dyDescent="0.25">
      <c r="A14" s="119" t="s">
        <v>740</v>
      </c>
      <c r="B14" s="127" t="s">
        <v>753</v>
      </c>
      <c r="C14" s="128">
        <v>1</v>
      </c>
      <c r="D14" s="128" t="s">
        <v>259</v>
      </c>
      <c r="E14" s="128" t="s">
        <v>742</v>
      </c>
      <c r="F14" s="128" t="s">
        <v>204</v>
      </c>
      <c r="G14" s="128" t="s">
        <v>763</v>
      </c>
      <c r="H14" s="128" t="s">
        <v>422</v>
      </c>
      <c r="I14" s="130" t="s">
        <v>773</v>
      </c>
      <c r="J14" s="129" t="s">
        <v>63</v>
      </c>
      <c r="K14" s="130" t="s">
        <v>58</v>
      </c>
      <c r="L14" s="130" t="s">
        <v>365</v>
      </c>
      <c r="M14" s="130" t="s">
        <v>221</v>
      </c>
      <c r="N14" s="130" t="s">
        <v>220</v>
      </c>
      <c r="O14" s="130" t="s">
        <v>744</v>
      </c>
      <c r="P14" s="130"/>
      <c r="U14" s="131">
        <v>46404</v>
      </c>
      <c r="V14" s="118" t="s">
        <v>745</v>
      </c>
      <c r="W14" s="118" t="s">
        <v>365</v>
      </c>
      <c r="X14" s="118" t="s">
        <v>746</v>
      </c>
      <c r="Y14" s="118"/>
      <c r="Z14" s="118"/>
      <c r="AA14" s="118"/>
      <c r="AB14" s="118"/>
      <c r="AC14" s="118"/>
      <c r="AD14" s="118"/>
      <c r="AE14" s="131">
        <f t="shared" si="0"/>
        <v>46394</v>
      </c>
      <c r="AF14" s="118" t="s">
        <v>745</v>
      </c>
    </row>
    <row r="15" spans="1:32" ht="15" customHeight="1" x14ac:dyDescent="0.25">
      <c r="A15" s="119" t="s">
        <v>740</v>
      </c>
      <c r="B15" s="127" t="s">
        <v>747</v>
      </c>
      <c r="C15" s="128">
        <v>1</v>
      </c>
      <c r="D15" s="128" t="s">
        <v>259</v>
      </c>
      <c r="E15" s="128" t="s">
        <v>742</v>
      </c>
      <c r="F15" s="128" t="s">
        <v>204</v>
      </c>
      <c r="G15" s="128" t="s">
        <v>362</v>
      </c>
      <c r="H15" s="128" t="s">
        <v>423</v>
      </c>
      <c r="I15" s="130" t="s">
        <v>773</v>
      </c>
      <c r="J15" s="129" t="s">
        <v>63</v>
      </c>
      <c r="K15" s="130" t="s">
        <v>58</v>
      </c>
      <c r="L15" s="130" t="s">
        <v>365</v>
      </c>
      <c r="M15" s="130" t="s">
        <v>221</v>
      </c>
      <c r="N15" s="130" t="s">
        <v>220</v>
      </c>
      <c r="O15" s="130" t="s">
        <v>744</v>
      </c>
      <c r="P15" s="130"/>
      <c r="U15" s="131">
        <v>46407</v>
      </c>
      <c r="V15" s="118" t="s">
        <v>745</v>
      </c>
      <c r="W15" s="118" t="s">
        <v>365</v>
      </c>
      <c r="X15" s="118" t="s">
        <v>746</v>
      </c>
      <c r="Y15" s="118"/>
      <c r="Z15" s="118"/>
      <c r="AA15" s="118"/>
      <c r="AB15" s="118"/>
      <c r="AC15" s="118"/>
      <c r="AD15" s="118"/>
      <c r="AE15" s="131">
        <f t="shared" si="0"/>
        <v>46397</v>
      </c>
      <c r="AF15" s="118" t="s">
        <v>745</v>
      </c>
    </row>
    <row r="16" spans="1:32" ht="15" customHeight="1" x14ac:dyDescent="0.25">
      <c r="A16" s="119" t="s">
        <v>740</v>
      </c>
      <c r="B16" s="127" t="s">
        <v>755</v>
      </c>
      <c r="C16" s="128">
        <v>1</v>
      </c>
      <c r="D16" s="128" t="s">
        <v>259</v>
      </c>
      <c r="E16" s="128" t="s">
        <v>193</v>
      </c>
      <c r="F16" s="128" t="s">
        <v>204</v>
      </c>
      <c r="G16" s="128" t="s">
        <v>764</v>
      </c>
      <c r="H16" s="128" t="s">
        <v>424</v>
      </c>
      <c r="I16" s="130" t="s">
        <v>773</v>
      </c>
      <c r="J16" s="129" t="s">
        <v>56</v>
      </c>
      <c r="K16" s="132" t="s">
        <v>56</v>
      </c>
      <c r="L16" s="133" t="s">
        <v>220</v>
      </c>
      <c r="M16" s="133" t="s">
        <v>757</v>
      </c>
      <c r="N16" s="133" t="s">
        <v>744</v>
      </c>
      <c r="O16" s="125" t="s">
        <v>687</v>
      </c>
      <c r="P16" s="125" t="s">
        <v>758</v>
      </c>
      <c r="Q16" s="125"/>
      <c r="U16" s="131">
        <v>46413</v>
      </c>
      <c r="V16" s="118" t="s">
        <v>759</v>
      </c>
      <c r="W16" s="118" t="s">
        <v>365</v>
      </c>
      <c r="X16" s="118" t="s">
        <v>746</v>
      </c>
      <c r="Y16" s="118"/>
      <c r="Z16" s="118"/>
      <c r="AA16" s="118"/>
      <c r="AB16" s="118"/>
      <c r="AC16" s="118"/>
      <c r="AD16" s="118"/>
      <c r="AE16" s="131">
        <f t="shared" si="0"/>
        <v>46403</v>
      </c>
      <c r="AF16" s="118" t="s">
        <v>745</v>
      </c>
    </row>
    <row r="17" spans="1:32" ht="15" customHeight="1" x14ac:dyDescent="0.25">
      <c r="A17" s="119" t="s">
        <v>740</v>
      </c>
      <c r="B17" s="127" t="s">
        <v>741</v>
      </c>
      <c r="C17" s="128">
        <v>1</v>
      </c>
      <c r="D17" s="128" t="s">
        <v>364</v>
      </c>
      <c r="E17" s="128" t="s">
        <v>742</v>
      </c>
      <c r="F17" s="128" t="s">
        <v>244</v>
      </c>
      <c r="G17" s="128" t="s">
        <v>765</v>
      </c>
      <c r="H17" s="128" t="s">
        <v>425</v>
      </c>
      <c r="I17" s="130" t="s">
        <v>773</v>
      </c>
      <c r="J17" s="129" t="s">
        <v>63</v>
      </c>
      <c r="K17" s="130" t="s">
        <v>58</v>
      </c>
      <c r="L17" s="130" t="s">
        <v>365</v>
      </c>
      <c r="M17" s="130" t="s">
        <v>221</v>
      </c>
      <c r="N17" s="130" t="s">
        <v>220</v>
      </c>
      <c r="O17" s="130" t="s">
        <v>744</v>
      </c>
      <c r="P17" s="130"/>
      <c r="U17" s="131">
        <v>46410</v>
      </c>
      <c r="V17" s="118" t="s">
        <v>745</v>
      </c>
      <c r="W17" s="118" t="s">
        <v>365</v>
      </c>
      <c r="X17" s="118" t="s">
        <v>746</v>
      </c>
      <c r="Y17" s="118"/>
      <c r="Z17" s="118"/>
      <c r="AA17" s="118"/>
      <c r="AB17" s="118"/>
      <c r="AC17" s="118"/>
      <c r="AD17" s="118"/>
      <c r="AE17" s="131">
        <f t="shared" si="0"/>
        <v>46400</v>
      </c>
      <c r="AF17" s="118" t="s">
        <v>745</v>
      </c>
    </row>
    <row r="18" spans="1:32" ht="15" customHeight="1" x14ac:dyDescent="0.25">
      <c r="A18" s="119" t="s">
        <v>740</v>
      </c>
      <c r="B18" s="127" t="s">
        <v>747</v>
      </c>
      <c r="C18" s="128">
        <v>1</v>
      </c>
      <c r="D18" s="128" t="s">
        <v>364</v>
      </c>
      <c r="E18" s="128" t="s">
        <v>742</v>
      </c>
      <c r="F18" s="128" t="s">
        <v>244</v>
      </c>
      <c r="G18" s="128" t="s">
        <v>766</v>
      </c>
      <c r="H18" s="128" t="s">
        <v>426</v>
      </c>
      <c r="I18" s="130" t="s">
        <v>773</v>
      </c>
      <c r="J18" s="129" t="s">
        <v>63</v>
      </c>
      <c r="K18" s="130" t="s">
        <v>58</v>
      </c>
      <c r="L18" s="130" t="s">
        <v>365</v>
      </c>
      <c r="M18" s="130" t="s">
        <v>221</v>
      </c>
      <c r="N18" s="130" t="s">
        <v>220</v>
      </c>
      <c r="O18" s="130" t="s">
        <v>744</v>
      </c>
      <c r="P18" s="130"/>
      <c r="U18" s="131">
        <v>46408</v>
      </c>
      <c r="V18" s="118" t="s">
        <v>745</v>
      </c>
      <c r="W18" s="118" t="s">
        <v>365</v>
      </c>
      <c r="X18" s="118" t="s">
        <v>746</v>
      </c>
      <c r="Y18" s="118"/>
      <c r="Z18" s="118"/>
      <c r="AA18" s="118"/>
      <c r="AB18" s="118"/>
      <c r="AC18" s="118"/>
      <c r="AD18" s="118"/>
      <c r="AE18" s="131">
        <f t="shared" si="0"/>
        <v>46398</v>
      </c>
      <c r="AF18" s="118" t="s">
        <v>745</v>
      </c>
    </row>
    <row r="19" spans="1:32" ht="15" customHeight="1" x14ac:dyDescent="0.25">
      <c r="A19" s="119" t="s">
        <v>740</v>
      </c>
      <c r="B19" s="127" t="s">
        <v>751</v>
      </c>
      <c r="C19" s="128">
        <v>1</v>
      </c>
      <c r="D19" s="128" t="s">
        <v>259</v>
      </c>
      <c r="E19" s="128" t="s">
        <v>742</v>
      </c>
      <c r="F19" s="128" t="s">
        <v>244</v>
      </c>
      <c r="G19" s="128" t="s">
        <v>363</v>
      </c>
      <c r="H19" s="128" t="s">
        <v>415</v>
      </c>
      <c r="I19" s="130" t="s">
        <v>773</v>
      </c>
      <c r="J19" s="129" t="s">
        <v>63</v>
      </c>
      <c r="K19" s="130" t="s">
        <v>58</v>
      </c>
      <c r="L19" s="130" t="s">
        <v>365</v>
      </c>
      <c r="M19" s="130" t="s">
        <v>221</v>
      </c>
      <c r="N19" s="130" t="s">
        <v>220</v>
      </c>
      <c r="O19" s="130" t="s">
        <v>744</v>
      </c>
      <c r="P19" s="130"/>
      <c r="U19" s="131">
        <v>46415</v>
      </c>
      <c r="V19" s="118" t="s">
        <v>745</v>
      </c>
      <c r="W19" s="118" t="s">
        <v>365</v>
      </c>
      <c r="X19" s="118" t="s">
        <v>746</v>
      </c>
      <c r="Y19" s="118"/>
      <c r="Z19" s="118"/>
      <c r="AA19" s="118"/>
      <c r="AB19" s="118"/>
      <c r="AC19" s="118"/>
      <c r="AD19" s="118"/>
      <c r="AE19" s="131">
        <f t="shared" si="0"/>
        <v>46405</v>
      </c>
      <c r="AF19" s="118" t="s">
        <v>745</v>
      </c>
    </row>
    <row r="20" spans="1:32" ht="15" customHeight="1" x14ac:dyDescent="0.25">
      <c r="A20" s="134" t="s">
        <v>767</v>
      </c>
      <c r="B20" s="134" t="s">
        <v>753</v>
      </c>
      <c r="C20" s="135">
        <v>1</v>
      </c>
      <c r="D20" s="136" t="s">
        <v>197</v>
      </c>
      <c r="E20" s="128" t="s">
        <v>742</v>
      </c>
      <c r="F20" s="135" t="s">
        <v>202</v>
      </c>
      <c r="G20" s="135" t="s">
        <v>768</v>
      </c>
      <c r="H20" s="137">
        <v>46433</v>
      </c>
      <c r="I20" s="130" t="s">
        <v>773</v>
      </c>
      <c r="J20" s="138" t="s">
        <v>63</v>
      </c>
      <c r="K20" s="130" t="s">
        <v>58</v>
      </c>
      <c r="L20" s="130" t="s">
        <v>365</v>
      </c>
      <c r="M20" s="130" t="s">
        <v>221</v>
      </c>
      <c r="N20" s="130" t="s">
        <v>220</v>
      </c>
      <c r="O20" s="130" t="s">
        <v>744</v>
      </c>
      <c r="P20" s="130"/>
      <c r="U20" s="139">
        <v>46411</v>
      </c>
      <c r="V20" s="140" t="s">
        <v>745</v>
      </c>
      <c r="W20" s="118" t="s">
        <v>365</v>
      </c>
      <c r="X20" s="118" t="s">
        <v>746</v>
      </c>
      <c r="AE20" s="137">
        <v>46431</v>
      </c>
      <c r="AF20" s="118" t="s">
        <v>745</v>
      </c>
    </row>
    <row r="21" spans="1:32" ht="15" customHeight="1" x14ac:dyDescent="0.25">
      <c r="A21" s="134" t="s">
        <v>767</v>
      </c>
      <c r="B21" s="134" t="s">
        <v>747</v>
      </c>
      <c r="C21" s="135">
        <v>1</v>
      </c>
      <c r="D21" s="136" t="s">
        <v>197</v>
      </c>
      <c r="E21" s="128" t="s">
        <v>193</v>
      </c>
      <c r="F21" s="135" t="s">
        <v>202</v>
      </c>
      <c r="G21" s="135">
        <v>16</v>
      </c>
      <c r="H21" s="137">
        <v>46414</v>
      </c>
      <c r="I21" s="130" t="s">
        <v>773</v>
      </c>
      <c r="J21" s="138">
        <v>46291</v>
      </c>
      <c r="K21" s="132" t="s">
        <v>58</v>
      </c>
      <c r="L21" s="125" t="s">
        <v>220</v>
      </c>
      <c r="M21" s="125" t="s">
        <v>757</v>
      </c>
      <c r="N21" s="125" t="s">
        <v>744</v>
      </c>
      <c r="O21" s="125" t="s">
        <v>687</v>
      </c>
      <c r="P21" s="125" t="s">
        <v>758</v>
      </c>
      <c r="Q21" s="125"/>
      <c r="U21" s="139">
        <v>46337</v>
      </c>
      <c r="V21" s="140" t="s">
        <v>769</v>
      </c>
      <c r="W21" s="118" t="s">
        <v>365</v>
      </c>
      <c r="X21" s="118" t="s">
        <v>746</v>
      </c>
      <c r="AE21" s="137">
        <v>46412</v>
      </c>
      <c r="AF21" s="118" t="s">
        <v>745</v>
      </c>
    </row>
    <row r="22" spans="1:32" ht="15" customHeight="1" x14ac:dyDescent="0.25">
      <c r="A22" s="134" t="s">
        <v>767</v>
      </c>
      <c r="B22" s="134" t="s">
        <v>755</v>
      </c>
      <c r="C22" s="135">
        <v>1</v>
      </c>
      <c r="D22" s="136" t="s">
        <v>197</v>
      </c>
      <c r="E22" s="128" t="s">
        <v>742</v>
      </c>
      <c r="F22" s="135" t="s">
        <v>202</v>
      </c>
      <c r="G22" s="135">
        <v>12</v>
      </c>
      <c r="H22" s="137">
        <v>46447</v>
      </c>
      <c r="I22" s="130" t="s">
        <v>773</v>
      </c>
      <c r="J22" s="138" t="s">
        <v>63</v>
      </c>
      <c r="K22" s="130" t="s">
        <v>58</v>
      </c>
      <c r="L22" s="130" t="s">
        <v>365</v>
      </c>
      <c r="M22" s="130" t="s">
        <v>221</v>
      </c>
      <c r="N22" s="130" t="s">
        <v>220</v>
      </c>
      <c r="O22" s="130" t="s">
        <v>744</v>
      </c>
      <c r="P22" s="130"/>
      <c r="U22" s="139">
        <v>46425</v>
      </c>
      <c r="V22" s="140" t="s">
        <v>745</v>
      </c>
      <c r="W22" s="118" t="s">
        <v>365</v>
      </c>
      <c r="X22" s="118" t="s">
        <v>746</v>
      </c>
      <c r="AE22" s="137">
        <v>46445</v>
      </c>
      <c r="AF22" s="118" t="s">
        <v>745</v>
      </c>
    </row>
    <row r="23" spans="1:32" ht="15" customHeight="1" x14ac:dyDescent="0.25">
      <c r="A23" s="134" t="s">
        <v>767</v>
      </c>
      <c r="B23" s="134" t="s">
        <v>753</v>
      </c>
      <c r="C23" s="135">
        <v>1</v>
      </c>
      <c r="D23" s="136" t="s">
        <v>197</v>
      </c>
      <c r="E23" s="128" t="s">
        <v>742</v>
      </c>
      <c r="F23" s="135" t="s">
        <v>203</v>
      </c>
      <c r="G23" s="135" t="s">
        <v>770</v>
      </c>
      <c r="H23" s="137">
        <v>46435</v>
      </c>
      <c r="I23" s="130" t="s">
        <v>773</v>
      </c>
      <c r="J23" s="138" t="s">
        <v>63</v>
      </c>
      <c r="K23" s="130" t="s">
        <v>58</v>
      </c>
      <c r="L23" s="130" t="s">
        <v>365</v>
      </c>
      <c r="M23" s="130" t="s">
        <v>221</v>
      </c>
      <c r="N23" s="130" t="s">
        <v>220</v>
      </c>
      <c r="O23" s="130" t="s">
        <v>744</v>
      </c>
      <c r="P23" s="130"/>
      <c r="U23" s="139">
        <v>46413</v>
      </c>
      <c r="V23" s="140" t="s">
        <v>745</v>
      </c>
      <c r="W23" s="118" t="s">
        <v>365</v>
      </c>
      <c r="X23" s="118" t="s">
        <v>746</v>
      </c>
      <c r="AE23" s="139">
        <v>46433</v>
      </c>
      <c r="AF23" s="118" t="s">
        <v>745</v>
      </c>
    </row>
    <row r="24" spans="1:32" ht="15" customHeight="1" x14ac:dyDescent="0.25">
      <c r="A24" s="134" t="s">
        <v>767</v>
      </c>
      <c r="B24" s="134" t="s">
        <v>747</v>
      </c>
      <c r="C24" s="135">
        <v>1</v>
      </c>
      <c r="D24" s="136" t="s">
        <v>197</v>
      </c>
      <c r="E24" s="128" t="s">
        <v>742</v>
      </c>
      <c r="F24" s="135" t="s">
        <v>203</v>
      </c>
      <c r="G24" s="135" t="s">
        <v>771</v>
      </c>
      <c r="H24" s="137">
        <v>46437</v>
      </c>
      <c r="I24" s="130" t="s">
        <v>773</v>
      </c>
      <c r="J24" s="138" t="s">
        <v>63</v>
      </c>
      <c r="K24" s="130" t="s">
        <v>58</v>
      </c>
      <c r="L24" s="130" t="s">
        <v>365</v>
      </c>
      <c r="M24" s="130" t="s">
        <v>221</v>
      </c>
      <c r="N24" s="130" t="s">
        <v>220</v>
      </c>
      <c r="O24" s="130" t="s">
        <v>744</v>
      </c>
      <c r="P24" s="130"/>
      <c r="U24" s="139">
        <v>46415</v>
      </c>
      <c r="V24" s="140" t="s">
        <v>745</v>
      </c>
      <c r="W24" s="118" t="s">
        <v>365</v>
      </c>
      <c r="X24" s="118" t="s">
        <v>746</v>
      </c>
      <c r="AE24" s="139">
        <v>46435</v>
      </c>
      <c r="AF24" s="118" t="s">
        <v>745</v>
      </c>
    </row>
    <row r="25" spans="1:32" ht="15" customHeight="1" x14ac:dyDescent="0.25">
      <c r="A25" s="134" t="s">
        <v>767</v>
      </c>
      <c r="B25" s="134" t="s">
        <v>755</v>
      </c>
      <c r="C25" s="135">
        <v>1</v>
      </c>
      <c r="D25" s="136" t="s">
        <v>197</v>
      </c>
      <c r="E25" s="128" t="s">
        <v>742</v>
      </c>
      <c r="F25" s="135" t="s">
        <v>203</v>
      </c>
      <c r="G25" s="135">
        <v>17</v>
      </c>
      <c r="H25" s="137">
        <v>46449</v>
      </c>
      <c r="I25" s="130" t="s">
        <v>773</v>
      </c>
      <c r="J25" s="138" t="s">
        <v>63</v>
      </c>
      <c r="K25" s="130" t="s">
        <v>58</v>
      </c>
      <c r="L25" s="130" t="s">
        <v>365</v>
      </c>
      <c r="M25" s="130" t="s">
        <v>221</v>
      </c>
      <c r="N25" s="130" t="s">
        <v>220</v>
      </c>
      <c r="O25" s="130" t="s">
        <v>744</v>
      </c>
      <c r="P25" s="130"/>
      <c r="U25" s="139">
        <v>46427</v>
      </c>
      <c r="V25" s="140" t="s">
        <v>745</v>
      </c>
      <c r="W25" s="118" t="s">
        <v>365</v>
      </c>
      <c r="X25" s="118" t="s">
        <v>746</v>
      </c>
      <c r="AE25" s="139">
        <v>46447</v>
      </c>
      <c r="AF25" s="118" t="s">
        <v>745</v>
      </c>
    </row>
    <row r="26" spans="1:32" ht="15" customHeight="1" x14ac:dyDescent="0.25">
      <c r="A26" s="134" t="s">
        <v>767</v>
      </c>
      <c r="B26" s="134" t="s">
        <v>753</v>
      </c>
      <c r="C26" s="135">
        <v>1</v>
      </c>
      <c r="D26" s="136" t="s">
        <v>197</v>
      </c>
      <c r="E26" s="128" t="s">
        <v>742</v>
      </c>
      <c r="F26" s="135" t="s">
        <v>204</v>
      </c>
      <c r="G26" s="135">
        <v>1</v>
      </c>
      <c r="H26" s="137">
        <v>46440</v>
      </c>
      <c r="I26" s="130" t="s">
        <v>773</v>
      </c>
      <c r="J26" s="138" t="s">
        <v>63</v>
      </c>
      <c r="K26" s="130" t="s">
        <v>58</v>
      </c>
      <c r="L26" s="130" t="s">
        <v>365</v>
      </c>
      <c r="M26" s="130" t="s">
        <v>221</v>
      </c>
      <c r="N26" s="130" t="s">
        <v>220</v>
      </c>
      <c r="O26" s="130" t="s">
        <v>744</v>
      </c>
      <c r="P26" s="130"/>
      <c r="U26" s="139">
        <v>46418</v>
      </c>
      <c r="V26" s="140" t="s">
        <v>745</v>
      </c>
      <c r="W26" s="118" t="s">
        <v>365</v>
      </c>
      <c r="X26" s="118" t="s">
        <v>746</v>
      </c>
      <c r="AE26" s="139">
        <v>46438</v>
      </c>
      <c r="AF26" s="118" t="s">
        <v>745</v>
      </c>
    </row>
    <row r="27" spans="1:32" ht="15" customHeight="1" x14ac:dyDescent="0.25">
      <c r="A27" s="134" t="s">
        <v>767</v>
      </c>
      <c r="B27" s="134" t="s">
        <v>747</v>
      </c>
      <c r="C27" s="135">
        <v>1</v>
      </c>
      <c r="D27" s="136" t="s">
        <v>197</v>
      </c>
      <c r="E27" s="128" t="s">
        <v>193</v>
      </c>
      <c r="F27" s="135" t="s">
        <v>204</v>
      </c>
      <c r="G27" s="135" t="s">
        <v>772</v>
      </c>
      <c r="H27" s="137">
        <v>46416</v>
      </c>
      <c r="I27" s="130" t="s">
        <v>773</v>
      </c>
      <c r="J27" s="138">
        <v>46291</v>
      </c>
      <c r="K27" s="132" t="s">
        <v>58</v>
      </c>
      <c r="L27" s="125" t="s">
        <v>220</v>
      </c>
      <c r="M27" s="125" t="s">
        <v>757</v>
      </c>
      <c r="N27" s="125" t="s">
        <v>744</v>
      </c>
      <c r="O27" s="125" t="s">
        <v>687</v>
      </c>
      <c r="P27" s="125" t="s">
        <v>758</v>
      </c>
      <c r="U27" s="139">
        <v>46337</v>
      </c>
      <c r="V27" s="140" t="s">
        <v>769</v>
      </c>
      <c r="W27" s="118" t="s">
        <v>365</v>
      </c>
      <c r="X27" s="118" t="s">
        <v>746</v>
      </c>
      <c r="AE27" s="139">
        <v>46414</v>
      </c>
      <c r="AF27" s="118" t="s">
        <v>745</v>
      </c>
    </row>
    <row r="28" spans="1:32" ht="15" customHeight="1" x14ac:dyDescent="0.25">
      <c r="A28" s="134" t="s">
        <v>767</v>
      </c>
      <c r="B28" s="134" t="s">
        <v>753</v>
      </c>
      <c r="C28" s="135">
        <v>1</v>
      </c>
      <c r="D28" s="135" t="s">
        <v>259</v>
      </c>
      <c r="E28" s="128" t="s">
        <v>193</v>
      </c>
      <c r="F28" s="135" t="s">
        <v>244</v>
      </c>
      <c r="G28" s="135">
        <v>1</v>
      </c>
      <c r="H28" s="137">
        <v>46421</v>
      </c>
      <c r="I28" s="130" t="s">
        <v>773</v>
      </c>
      <c r="J28" s="138">
        <v>46291</v>
      </c>
      <c r="K28" s="132" t="s">
        <v>58</v>
      </c>
      <c r="L28" s="125" t="s">
        <v>220</v>
      </c>
      <c r="M28" s="125" t="s">
        <v>757</v>
      </c>
      <c r="N28" s="125" t="s">
        <v>744</v>
      </c>
      <c r="O28" s="125" t="s">
        <v>687</v>
      </c>
      <c r="P28" s="125" t="s">
        <v>758</v>
      </c>
      <c r="U28" s="139">
        <v>46337</v>
      </c>
      <c r="V28" s="140" t="s">
        <v>769</v>
      </c>
      <c r="W28" s="118" t="s">
        <v>365</v>
      </c>
      <c r="X28" s="118" t="s">
        <v>746</v>
      </c>
      <c r="AE28" s="139">
        <v>46419</v>
      </c>
      <c r="AF28" s="118" t="s">
        <v>745</v>
      </c>
    </row>
    <row r="29" spans="1:32" ht="15" customHeight="1" x14ac:dyDescent="0.25">
      <c r="A29" s="134" t="s">
        <v>767</v>
      </c>
      <c r="B29" s="134" t="s">
        <v>747</v>
      </c>
      <c r="C29" s="135">
        <v>1</v>
      </c>
      <c r="D29" s="135" t="s">
        <v>259</v>
      </c>
      <c r="E29" s="128" t="s">
        <v>742</v>
      </c>
      <c r="F29" s="135" t="s">
        <v>244</v>
      </c>
      <c r="G29" s="135">
        <v>3</v>
      </c>
      <c r="H29" s="137">
        <v>46442</v>
      </c>
      <c r="I29" s="130" t="s">
        <v>773</v>
      </c>
      <c r="J29" s="138" t="s">
        <v>63</v>
      </c>
      <c r="K29" s="130" t="s">
        <v>58</v>
      </c>
      <c r="L29" s="130" t="s">
        <v>365</v>
      </c>
      <c r="M29" s="130" t="s">
        <v>221</v>
      </c>
      <c r="N29" s="130" t="s">
        <v>220</v>
      </c>
      <c r="O29" s="130" t="s">
        <v>744</v>
      </c>
      <c r="P29" s="130"/>
      <c r="U29" s="139">
        <v>46420</v>
      </c>
      <c r="V29" s="140" t="s">
        <v>745</v>
      </c>
      <c r="W29" s="118" t="s">
        <v>365</v>
      </c>
      <c r="X29" s="118" t="s">
        <v>746</v>
      </c>
      <c r="AE29" s="139">
        <v>46440</v>
      </c>
      <c r="AF29" s="118" t="s">
        <v>745</v>
      </c>
    </row>
    <row r="30" spans="1:32" ht="15" customHeight="1" x14ac:dyDescent="0.25">
      <c r="A30" s="134" t="s">
        <v>767</v>
      </c>
      <c r="B30" s="134" t="s">
        <v>755</v>
      </c>
      <c r="C30" s="135">
        <v>1</v>
      </c>
      <c r="D30" s="135" t="s">
        <v>259</v>
      </c>
      <c r="E30" s="128" t="s">
        <v>742</v>
      </c>
      <c r="F30" s="135" t="s">
        <v>244</v>
      </c>
      <c r="G30" s="135">
        <v>2</v>
      </c>
      <c r="H30" s="137">
        <v>46451</v>
      </c>
      <c r="I30" s="130" t="s">
        <v>773</v>
      </c>
      <c r="J30" s="138" t="s">
        <v>63</v>
      </c>
      <c r="K30" s="130" t="s">
        <v>58</v>
      </c>
      <c r="L30" s="130" t="s">
        <v>365</v>
      </c>
      <c r="M30" s="130" t="s">
        <v>221</v>
      </c>
      <c r="N30" s="130" t="s">
        <v>220</v>
      </c>
      <c r="O30" s="130" t="s">
        <v>744</v>
      </c>
      <c r="P30" s="130"/>
      <c r="U30" s="139">
        <v>46429</v>
      </c>
      <c r="V30" s="140" t="s">
        <v>745</v>
      </c>
      <c r="W30" s="118" t="s">
        <v>365</v>
      </c>
      <c r="X30" s="118" t="s">
        <v>746</v>
      </c>
      <c r="AE30" s="139">
        <v>46449</v>
      </c>
      <c r="AF30" s="118" t="s">
        <v>745</v>
      </c>
    </row>
  </sheetData>
  <autoFilter ref="A2:AF30" xr:uid="{B0FC73A4-DE88-489D-A9EE-FA716002DC8D}"/>
  <mergeCells count="3">
    <mergeCell ref="J1:V1"/>
    <mergeCell ref="W1:AF1"/>
    <mergeCell ref="A1:I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zoomScale="90" zoomScaleNormal="90" workbookViewId="0">
      <selection activeCell="A281" sqref="A281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534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535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534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hidden="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hidden="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322</v>
      </c>
      <c r="AB20" s="51" t="s">
        <v>444</v>
      </c>
    </row>
    <row r="21" spans="1:28" ht="20.100000000000001" hidden="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hidden="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322</v>
      </c>
      <c r="AB22" s="51"/>
    </row>
    <row r="23" spans="1:28" ht="20.100000000000001" hidden="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hidden="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322</v>
      </c>
      <c r="AB24" s="51"/>
    </row>
    <row r="25" spans="1:28" ht="20.100000000000001" hidden="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hidden="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hidden="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hidden="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322</v>
      </c>
      <c r="AB28" s="51"/>
    </row>
    <row r="29" spans="1:28" ht="20.100000000000001" hidden="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322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459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460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463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464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465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466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117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83" t="s">
        <v>675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53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252</v>
      </c>
      <c r="AB88" s="51" t="s">
        <v>366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53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252</v>
      </c>
      <c r="AB91" s="51" t="s">
        <v>366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472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533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472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533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472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473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533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472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473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533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472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2">
        <v>46234</v>
      </c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124</v>
      </c>
      <c r="AB99" s="83" t="s">
        <v>533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472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2">
        <v>46234</v>
      </c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124</v>
      </c>
      <c r="AB100" s="83" t="s">
        <v>533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472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2">
        <v>46234</v>
      </c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124</v>
      </c>
      <c r="AB101" s="83" t="s">
        <v>533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hidden="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 t="s">
        <v>629</v>
      </c>
    </row>
    <row r="107" spans="1:28" ht="20.100000000000001" hidden="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537</v>
      </c>
    </row>
    <row r="108" spans="1:28" ht="20.100000000000001" hidden="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538</v>
      </c>
    </row>
    <row r="109" spans="1:28" ht="20.100000000000001" hidden="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536</v>
      </c>
    </row>
    <row r="110" spans="1:28" ht="20.100000000000001" hidden="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539</v>
      </c>
    </row>
    <row r="111" spans="1:28" ht="20.100000000000001" hidden="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536</v>
      </c>
    </row>
    <row r="112" spans="1:28" ht="20.10000000000000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705</v>
      </c>
    </row>
    <row r="113" spans="1:28" ht="20.10000000000000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564</v>
      </c>
    </row>
    <row r="114" spans="1:28" ht="20.10000000000000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541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564</v>
      </c>
    </row>
    <row r="115" spans="1:28" ht="20.10000000000000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564</v>
      </c>
    </row>
    <row r="116" spans="1:28" ht="20.10000000000000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564</v>
      </c>
    </row>
    <row r="117" spans="1:28" ht="20.10000000000000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705</v>
      </c>
    </row>
    <row r="118" spans="1:28" ht="20.10000000000000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705</v>
      </c>
    </row>
    <row r="119" spans="1:28" ht="20.10000000000000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542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481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552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553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554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554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593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569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 t="s">
        <v>56</v>
      </c>
      <c r="Q125" s="51" t="s">
        <v>56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569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555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569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556</v>
      </c>
      <c r="M127" s="52">
        <v>46251</v>
      </c>
      <c r="N127" s="52">
        <v>46568</v>
      </c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124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569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 t="s">
        <v>56</v>
      </c>
      <c r="Q128" s="51" t="s">
        <v>56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481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569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557</v>
      </c>
      <c r="M129" s="52">
        <v>46251</v>
      </c>
      <c r="N129" s="52">
        <v>46234</v>
      </c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124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569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 t="s">
        <v>56</v>
      </c>
      <c r="Q130" s="51" t="s">
        <v>56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569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569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558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481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570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571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570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572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481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570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573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570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570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570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570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570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570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570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570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570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570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570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570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570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574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570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575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570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576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hidden="1" customHeight="1" x14ac:dyDescent="0.25">
      <c r="A151" s="51">
        <v>2353</v>
      </c>
      <c r="B151" s="51">
        <v>2</v>
      </c>
      <c r="C151" s="51" t="s">
        <v>589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585</v>
      </c>
      <c r="L151" s="51" t="s">
        <v>63</v>
      </c>
      <c r="M151" s="107">
        <v>46244</v>
      </c>
      <c r="N151" s="51"/>
      <c r="O151" s="107">
        <v>46244</v>
      </c>
      <c r="P151" s="51" t="s">
        <v>56</v>
      </c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hidden="1" customHeight="1" x14ac:dyDescent="0.25">
      <c r="A152" s="51">
        <v>2353</v>
      </c>
      <c r="B152" s="51">
        <v>3</v>
      </c>
      <c r="C152" s="51" t="s">
        <v>589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585</v>
      </c>
      <c r="L152" s="51" t="s">
        <v>63</v>
      </c>
      <c r="M152" s="107">
        <v>46244</v>
      </c>
      <c r="N152" s="51"/>
      <c r="O152" s="112">
        <v>46244</v>
      </c>
      <c r="P152" s="51" t="s">
        <v>56</v>
      </c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hidden="1" customHeight="1" x14ac:dyDescent="0.25">
      <c r="A153" s="51">
        <v>2353</v>
      </c>
      <c r="B153" s="51">
        <v>4</v>
      </c>
      <c r="C153" s="51" t="s">
        <v>589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585</v>
      </c>
      <c r="L153" s="51" t="s">
        <v>63</v>
      </c>
      <c r="M153" s="107">
        <v>46244</v>
      </c>
      <c r="N153" s="51"/>
      <c r="O153" s="107">
        <v>46244</v>
      </c>
      <c r="P153" s="51" t="s">
        <v>56</v>
      </c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hidden="1" customHeight="1" x14ac:dyDescent="0.25">
      <c r="A154" s="51">
        <v>2353</v>
      </c>
      <c r="B154" s="51">
        <v>5</v>
      </c>
      <c r="C154" s="51" t="s">
        <v>589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585</v>
      </c>
      <c r="L154" s="51" t="s">
        <v>63</v>
      </c>
      <c r="M154" s="107">
        <v>46244</v>
      </c>
      <c r="N154" s="51"/>
      <c r="O154" s="107">
        <v>46244</v>
      </c>
      <c r="P154" s="51" t="s">
        <v>56</v>
      </c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hidden="1" customHeight="1" x14ac:dyDescent="0.25">
      <c r="A155" s="51">
        <v>2353</v>
      </c>
      <c r="B155" s="51">
        <v>6</v>
      </c>
      <c r="C155" s="51" t="s">
        <v>589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585</v>
      </c>
      <c r="L155" s="51" t="s">
        <v>63</v>
      </c>
      <c r="M155" s="107">
        <v>46248</v>
      </c>
      <c r="N155" s="51"/>
      <c r="O155" s="107">
        <v>46248</v>
      </c>
      <c r="P155" s="51" t="s">
        <v>56</v>
      </c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hidden="1" customHeight="1" x14ac:dyDescent="0.25">
      <c r="A156" s="51">
        <v>2353</v>
      </c>
      <c r="B156" s="51">
        <v>7</v>
      </c>
      <c r="C156" s="51" t="s">
        <v>589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585</v>
      </c>
      <c r="L156" s="51" t="s">
        <v>63</v>
      </c>
      <c r="M156" s="107">
        <v>46262</v>
      </c>
      <c r="N156" s="51"/>
      <c r="O156" s="107">
        <v>46262</v>
      </c>
      <c r="P156" s="51" t="s">
        <v>56</v>
      </c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hidden="1" customHeight="1" x14ac:dyDescent="0.25">
      <c r="A157" s="51">
        <v>2353</v>
      </c>
      <c r="B157" s="51">
        <v>8</v>
      </c>
      <c r="C157" s="51" t="s">
        <v>589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585</v>
      </c>
      <c r="L157" s="51" t="s">
        <v>63</v>
      </c>
      <c r="M157" s="107">
        <v>46269</v>
      </c>
      <c r="N157" s="51"/>
      <c r="O157" s="107">
        <v>46269</v>
      </c>
      <c r="P157" s="51" t="s">
        <v>56</v>
      </c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hidden="1" customHeight="1" x14ac:dyDescent="0.25">
      <c r="A158" s="51">
        <v>2353</v>
      </c>
      <c r="B158" s="51">
        <v>9</v>
      </c>
      <c r="C158" s="51" t="s">
        <v>589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585</v>
      </c>
      <c r="L158" s="51" t="s">
        <v>63</v>
      </c>
      <c r="M158" s="107">
        <v>46244</v>
      </c>
      <c r="N158" s="51"/>
      <c r="O158" s="107">
        <v>46244</v>
      </c>
      <c r="P158" s="51" t="s">
        <v>56</v>
      </c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hidden="1" customHeight="1" x14ac:dyDescent="0.25">
      <c r="A159" s="51">
        <v>2353</v>
      </c>
      <c r="B159" s="51">
        <v>10</v>
      </c>
      <c r="C159" s="51" t="s">
        <v>589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585</v>
      </c>
      <c r="L159" s="51" t="s">
        <v>63</v>
      </c>
      <c r="M159" s="107">
        <v>46244</v>
      </c>
      <c r="N159" s="51"/>
      <c r="O159" s="107">
        <v>46244</v>
      </c>
      <c r="P159" s="51" t="s">
        <v>56</v>
      </c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hidden="1" customHeight="1" x14ac:dyDescent="0.25">
      <c r="A160" s="51">
        <v>2353</v>
      </c>
      <c r="B160" s="51">
        <v>11</v>
      </c>
      <c r="C160" s="51" t="s">
        <v>589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585</v>
      </c>
      <c r="L160" s="51" t="s">
        <v>63</v>
      </c>
      <c r="M160" s="107">
        <v>46269</v>
      </c>
      <c r="N160" s="51"/>
      <c r="O160" s="107">
        <v>46269</v>
      </c>
      <c r="P160" s="51" t="s">
        <v>56</v>
      </c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hidden="1" customHeight="1" x14ac:dyDescent="0.25">
      <c r="A161" s="51">
        <v>2353</v>
      </c>
      <c r="B161" s="51">
        <v>12</v>
      </c>
      <c r="C161" s="51" t="s">
        <v>589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585</v>
      </c>
      <c r="L161" s="51" t="s">
        <v>63</v>
      </c>
      <c r="M161" s="107">
        <v>46269</v>
      </c>
      <c r="N161" s="51"/>
      <c r="O161" s="107">
        <v>46269</v>
      </c>
      <c r="P161" s="51" t="s">
        <v>56</v>
      </c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hidden="1" customHeight="1" x14ac:dyDescent="0.25">
      <c r="A162" s="51">
        <v>2353</v>
      </c>
      <c r="B162" s="51">
        <v>13</v>
      </c>
      <c r="C162" s="51" t="s">
        <v>589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585</v>
      </c>
      <c r="L162" s="51" t="s">
        <v>63</v>
      </c>
      <c r="M162" s="107">
        <v>46269</v>
      </c>
      <c r="N162" s="51"/>
      <c r="O162" s="107">
        <v>46269</v>
      </c>
      <c r="P162" s="51" t="s">
        <v>56</v>
      </c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hidden="1" customHeight="1" x14ac:dyDescent="0.25">
      <c r="A163" s="51">
        <v>2353</v>
      </c>
      <c r="B163" s="51">
        <v>14</v>
      </c>
      <c r="C163" s="51" t="s">
        <v>589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585</v>
      </c>
      <c r="L163" s="51" t="s">
        <v>63</v>
      </c>
      <c r="M163" s="107">
        <v>46269</v>
      </c>
      <c r="N163" s="51"/>
      <c r="O163" s="107">
        <v>46269</v>
      </c>
      <c r="P163" s="51" t="s">
        <v>56</v>
      </c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hidden="1" customHeight="1" x14ac:dyDescent="0.25">
      <c r="A164" s="51">
        <v>2353</v>
      </c>
      <c r="B164" s="51">
        <v>15</v>
      </c>
      <c r="C164" s="51" t="s">
        <v>589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585</v>
      </c>
      <c r="L164" s="51" t="s">
        <v>63</v>
      </c>
      <c r="M164" s="107">
        <v>46269</v>
      </c>
      <c r="N164" s="51"/>
      <c r="O164" s="107">
        <v>46269</v>
      </c>
      <c r="P164" s="51" t="s">
        <v>56</v>
      </c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hidden="1" customHeight="1" x14ac:dyDescent="0.25">
      <c r="A165" s="51">
        <v>2353</v>
      </c>
      <c r="B165" s="51">
        <v>16</v>
      </c>
      <c r="C165" s="51" t="s">
        <v>589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585</v>
      </c>
      <c r="L165" s="51" t="s">
        <v>63</v>
      </c>
      <c r="M165" s="107">
        <v>46269</v>
      </c>
      <c r="N165" s="51"/>
      <c r="O165" s="107">
        <v>46269</v>
      </c>
      <c r="P165" s="51" t="s">
        <v>56</v>
      </c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hidden="1" customHeight="1" x14ac:dyDescent="0.25">
      <c r="A166" s="51">
        <v>2353</v>
      </c>
      <c r="B166" s="51">
        <v>17</v>
      </c>
      <c r="C166" s="51" t="s">
        <v>589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585</v>
      </c>
      <c r="L166" s="51" t="s">
        <v>63</v>
      </c>
      <c r="M166" s="107">
        <v>46619</v>
      </c>
      <c r="N166" s="51"/>
      <c r="O166" s="107">
        <v>46619</v>
      </c>
      <c r="P166" s="51" t="s">
        <v>56</v>
      </c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 t="s">
        <v>701</v>
      </c>
    </row>
    <row r="167" spans="1:28" ht="20.100000000000001" hidden="1" customHeight="1" x14ac:dyDescent="0.25">
      <c r="A167" s="51">
        <v>2353</v>
      </c>
      <c r="B167" s="51">
        <v>18</v>
      </c>
      <c r="C167" s="51" t="s">
        <v>589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585</v>
      </c>
      <c r="L167" s="51" t="s">
        <v>63</v>
      </c>
      <c r="M167" s="107">
        <v>46619</v>
      </c>
      <c r="N167" s="51"/>
      <c r="O167" s="107">
        <v>46619</v>
      </c>
      <c r="P167" s="51" t="s">
        <v>56</v>
      </c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 t="s">
        <v>701</v>
      </c>
    </row>
    <row r="168" spans="1:28" ht="20.100000000000001" hidden="1" customHeight="1" x14ac:dyDescent="0.25">
      <c r="A168" s="51">
        <v>2353</v>
      </c>
      <c r="B168" s="51">
        <v>19</v>
      </c>
      <c r="C168" s="51" t="s">
        <v>589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585</v>
      </c>
      <c r="L168" s="51" t="s">
        <v>63</v>
      </c>
      <c r="M168" s="107">
        <v>46619</v>
      </c>
      <c r="N168" s="51"/>
      <c r="O168" s="107">
        <v>46619</v>
      </c>
      <c r="P168" s="51" t="s">
        <v>56</v>
      </c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 t="s">
        <v>701</v>
      </c>
    </row>
    <row r="169" spans="1:28" ht="20.100000000000001" hidden="1" customHeight="1" x14ac:dyDescent="0.25">
      <c r="A169" s="51">
        <v>2353</v>
      </c>
      <c r="B169" s="51">
        <v>20</v>
      </c>
      <c r="C169" s="51" t="s">
        <v>589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585</v>
      </c>
      <c r="L169" s="51" t="s">
        <v>63</v>
      </c>
      <c r="M169" s="107">
        <v>46619</v>
      </c>
      <c r="N169" s="51"/>
      <c r="O169" s="107">
        <v>46619</v>
      </c>
      <c r="P169" s="51" t="s">
        <v>56</v>
      </c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 t="s">
        <v>701</v>
      </c>
    </row>
    <row r="170" spans="1:28" ht="20.100000000000001" hidden="1" customHeight="1" x14ac:dyDescent="0.25">
      <c r="A170" s="51">
        <v>2353</v>
      </c>
      <c r="B170" s="51">
        <v>21</v>
      </c>
      <c r="C170" s="51" t="s">
        <v>589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585</v>
      </c>
      <c r="L170" s="51" t="s">
        <v>63</v>
      </c>
      <c r="M170" s="107">
        <v>46619</v>
      </c>
      <c r="N170" s="51"/>
      <c r="O170" s="107">
        <v>46619</v>
      </c>
      <c r="P170" s="51" t="s">
        <v>56</v>
      </c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 t="s">
        <v>701</v>
      </c>
    </row>
    <row r="171" spans="1:28" ht="20.100000000000001" hidden="1" customHeight="1" x14ac:dyDescent="0.25">
      <c r="A171" s="51">
        <v>2353</v>
      </c>
      <c r="B171" s="51">
        <v>22</v>
      </c>
      <c r="C171" s="51" t="s">
        <v>589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585</v>
      </c>
      <c r="L171" s="51" t="s">
        <v>63</v>
      </c>
      <c r="M171" s="107">
        <v>46619</v>
      </c>
      <c r="N171" s="51"/>
      <c r="O171" s="107">
        <v>46619</v>
      </c>
      <c r="P171" s="51" t="s">
        <v>56</v>
      </c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 t="s">
        <v>701</v>
      </c>
    </row>
    <row r="172" spans="1:28" ht="20.100000000000001" hidden="1" customHeight="1" x14ac:dyDescent="0.25">
      <c r="A172" s="51">
        <v>2353</v>
      </c>
      <c r="B172" s="51">
        <v>23</v>
      </c>
      <c r="C172" s="51" t="s">
        <v>589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585</v>
      </c>
      <c r="L172" s="51" t="s">
        <v>63</v>
      </c>
      <c r="M172" s="107">
        <v>46248</v>
      </c>
      <c r="N172" s="51"/>
      <c r="O172" s="107">
        <v>46248</v>
      </c>
      <c r="P172" s="51" t="s">
        <v>56</v>
      </c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hidden="1" customHeight="1" x14ac:dyDescent="0.25">
      <c r="A173" s="51">
        <v>2353</v>
      </c>
      <c r="B173" s="51">
        <v>24</v>
      </c>
      <c r="C173" s="51" t="s">
        <v>589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585</v>
      </c>
      <c r="L173" s="51" t="s">
        <v>63</v>
      </c>
      <c r="M173" s="107">
        <v>46248</v>
      </c>
      <c r="N173" s="51"/>
      <c r="O173" s="107">
        <v>46248</v>
      </c>
      <c r="P173" s="51" t="s">
        <v>56</v>
      </c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hidden="1" customHeight="1" x14ac:dyDescent="0.25">
      <c r="A174" s="51">
        <v>2353</v>
      </c>
      <c r="B174" s="51">
        <v>25</v>
      </c>
      <c r="C174" s="51" t="s">
        <v>589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585</v>
      </c>
      <c r="L174" s="51" t="s">
        <v>63</v>
      </c>
      <c r="M174" s="107">
        <v>46248</v>
      </c>
      <c r="N174" s="51"/>
      <c r="O174" s="107">
        <v>46248</v>
      </c>
      <c r="P174" s="51" t="s">
        <v>56</v>
      </c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hidden="1" customHeight="1" x14ac:dyDescent="0.25">
      <c r="A175" s="51">
        <v>2353</v>
      </c>
      <c r="B175" s="51">
        <v>26</v>
      </c>
      <c r="C175" s="51" t="s">
        <v>589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585</v>
      </c>
      <c r="L175" s="51" t="s">
        <v>63</v>
      </c>
      <c r="M175" s="107">
        <v>46248</v>
      </c>
      <c r="N175" s="51"/>
      <c r="O175" s="107">
        <v>46248</v>
      </c>
      <c r="P175" s="51" t="s">
        <v>56</v>
      </c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hidden="1" customHeight="1" x14ac:dyDescent="0.25">
      <c r="A176" s="51">
        <v>2353</v>
      </c>
      <c r="B176" s="51">
        <v>27</v>
      </c>
      <c r="C176" s="51" t="s">
        <v>589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585</v>
      </c>
      <c r="L176" s="51" t="s">
        <v>63</v>
      </c>
      <c r="M176" s="107">
        <v>46248</v>
      </c>
      <c r="N176" s="51"/>
      <c r="O176" s="107">
        <v>46248</v>
      </c>
      <c r="P176" s="51" t="s">
        <v>56</v>
      </c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hidden="1" customHeight="1" x14ac:dyDescent="0.25">
      <c r="A177" s="51">
        <v>2353</v>
      </c>
      <c r="B177" s="51">
        <v>28</v>
      </c>
      <c r="C177" s="51" t="s">
        <v>589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585</v>
      </c>
      <c r="L177" s="51" t="s">
        <v>63</v>
      </c>
      <c r="M177" s="107">
        <v>46255</v>
      </c>
      <c r="N177" s="51"/>
      <c r="O177" s="107">
        <v>46255</v>
      </c>
      <c r="P177" s="51" t="s">
        <v>56</v>
      </c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hidden="1" customHeight="1" x14ac:dyDescent="0.25">
      <c r="A178" s="51">
        <v>2353</v>
      </c>
      <c r="B178" s="51">
        <v>29</v>
      </c>
      <c r="C178" s="51" t="s">
        <v>589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585</v>
      </c>
      <c r="L178" s="51" t="s">
        <v>63</v>
      </c>
      <c r="M178" s="107">
        <v>46255</v>
      </c>
      <c r="N178" s="51"/>
      <c r="O178" s="107">
        <v>46255</v>
      </c>
      <c r="P178" s="51" t="s">
        <v>56</v>
      </c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hidden="1" customHeight="1" x14ac:dyDescent="0.25">
      <c r="A179" s="51">
        <v>2353</v>
      </c>
      <c r="B179" s="51">
        <v>30</v>
      </c>
      <c r="C179" s="51" t="s">
        <v>589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585</v>
      </c>
      <c r="L179" s="51" t="s">
        <v>63</v>
      </c>
      <c r="M179" s="107">
        <v>46255</v>
      </c>
      <c r="N179" s="51"/>
      <c r="O179" s="107">
        <v>46255</v>
      </c>
      <c r="P179" s="51" t="s">
        <v>56</v>
      </c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hidden="1" customHeight="1" x14ac:dyDescent="0.25">
      <c r="A180" s="51">
        <v>2353</v>
      </c>
      <c r="B180" s="51">
        <v>31</v>
      </c>
      <c r="C180" s="51" t="s">
        <v>589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585</v>
      </c>
      <c r="L180" s="51" t="s">
        <v>63</v>
      </c>
      <c r="M180" s="107">
        <v>46255</v>
      </c>
      <c r="N180" s="51"/>
      <c r="O180" s="107">
        <v>46255</v>
      </c>
      <c r="P180" s="51" t="s">
        <v>56</v>
      </c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hidden="1" customHeight="1" x14ac:dyDescent="0.25">
      <c r="A181" s="51">
        <v>2353</v>
      </c>
      <c r="B181" s="51">
        <v>32</v>
      </c>
      <c r="C181" s="51" t="s">
        <v>589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585</v>
      </c>
      <c r="L181" s="51" t="s">
        <v>63</v>
      </c>
      <c r="M181" s="107">
        <v>46255</v>
      </c>
      <c r="N181" s="51"/>
      <c r="O181" s="107">
        <v>46255</v>
      </c>
      <c r="P181" s="51" t="s">
        <v>56</v>
      </c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hidden="1" customHeight="1" x14ac:dyDescent="0.25">
      <c r="A182" s="51">
        <v>2353</v>
      </c>
      <c r="B182" s="51">
        <v>33</v>
      </c>
      <c r="C182" s="51" t="s">
        <v>589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585</v>
      </c>
      <c r="L182" s="51" t="s">
        <v>63</v>
      </c>
      <c r="M182" s="107">
        <v>46262</v>
      </c>
      <c r="N182" s="51"/>
      <c r="O182" s="107">
        <v>46262</v>
      </c>
      <c r="P182" s="51" t="s">
        <v>56</v>
      </c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hidden="1" customHeight="1" x14ac:dyDescent="0.25">
      <c r="A183" s="51">
        <v>2353</v>
      </c>
      <c r="B183" s="51">
        <v>34</v>
      </c>
      <c r="C183" s="51" t="s">
        <v>589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585</v>
      </c>
      <c r="L183" s="51" t="s">
        <v>63</v>
      </c>
      <c r="M183" s="107">
        <v>46262</v>
      </c>
      <c r="N183" s="51"/>
      <c r="O183" s="107">
        <v>46262</v>
      </c>
      <c r="P183" s="51" t="s">
        <v>56</v>
      </c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hidden="1" customHeight="1" x14ac:dyDescent="0.25">
      <c r="A184" s="51">
        <v>2353</v>
      </c>
      <c r="B184" s="51">
        <v>35</v>
      </c>
      <c r="C184" s="51" t="s">
        <v>589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585</v>
      </c>
      <c r="L184" s="51" t="s">
        <v>63</v>
      </c>
      <c r="M184" s="107">
        <v>46262</v>
      </c>
      <c r="N184" s="51"/>
      <c r="O184" s="107">
        <v>46262</v>
      </c>
      <c r="P184" s="51" t="s">
        <v>56</v>
      </c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hidden="1" customHeight="1" x14ac:dyDescent="0.25">
      <c r="A185" s="51">
        <v>2353</v>
      </c>
      <c r="B185" s="51">
        <v>36</v>
      </c>
      <c r="C185" s="51" t="s">
        <v>589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585</v>
      </c>
      <c r="L185" s="51" t="s">
        <v>63</v>
      </c>
      <c r="M185" s="107">
        <v>46262</v>
      </c>
      <c r="N185" s="51"/>
      <c r="O185" s="107">
        <v>46262</v>
      </c>
      <c r="P185" s="51" t="s">
        <v>56</v>
      </c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hidden="1" customHeight="1" x14ac:dyDescent="0.25">
      <c r="A186" s="51">
        <v>2353</v>
      </c>
      <c r="B186" s="51">
        <v>37</v>
      </c>
      <c r="C186" s="51" t="s">
        <v>589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585</v>
      </c>
      <c r="L186" s="51" t="s">
        <v>63</v>
      </c>
      <c r="M186" s="107">
        <v>46262</v>
      </c>
      <c r="N186" s="51"/>
      <c r="O186" s="107">
        <v>46262</v>
      </c>
      <c r="P186" s="51" t="s">
        <v>56</v>
      </c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hidden="1" customHeight="1" x14ac:dyDescent="0.25">
      <c r="A187" s="51">
        <v>2353</v>
      </c>
      <c r="B187" s="51">
        <v>38</v>
      </c>
      <c r="C187" s="51" t="s">
        <v>589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585</v>
      </c>
      <c r="L187" s="51" t="s">
        <v>63</v>
      </c>
      <c r="M187" s="107">
        <v>46262</v>
      </c>
      <c r="N187" s="51"/>
      <c r="O187" s="107">
        <v>46262</v>
      </c>
      <c r="P187" s="51" t="s">
        <v>56</v>
      </c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hidden="1" customHeight="1" x14ac:dyDescent="0.25">
      <c r="A188" s="51">
        <v>2353</v>
      </c>
      <c r="B188" s="51">
        <v>39</v>
      </c>
      <c r="C188" s="51" t="s">
        <v>589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585</v>
      </c>
      <c r="L188" s="51" t="s">
        <v>63</v>
      </c>
      <c r="M188" s="107">
        <v>46262</v>
      </c>
      <c r="N188" s="51"/>
      <c r="O188" s="107">
        <v>46262</v>
      </c>
      <c r="P188" s="51" t="s">
        <v>56</v>
      </c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hidden="1" customHeight="1" x14ac:dyDescent="0.25">
      <c r="A189" s="51">
        <v>2353</v>
      </c>
      <c r="B189" s="51">
        <v>40</v>
      </c>
      <c r="C189" s="51" t="s">
        <v>589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585</v>
      </c>
      <c r="L189" s="51" t="s">
        <v>63</v>
      </c>
      <c r="M189" s="107">
        <v>46262</v>
      </c>
      <c r="N189" s="51"/>
      <c r="O189" s="107">
        <v>46262</v>
      </c>
      <c r="P189" s="51" t="s">
        <v>56</v>
      </c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hidden="1" customHeight="1" x14ac:dyDescent="0.25">
      <c r="A190" s="51">
        <v>2353</v>
      </c>
      <c r="B190" s="51">
        <v>41</v>
      </c>
      <c r="C190" s="51" t="s">
        <v>589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585</v>
      </c>
      <c r="L190" s="51" t="s">
        <v>63</v>
      </c>
      <c r="M190" s="107">
        <v>46269</v>
      </c>
      <c r="N190" s="51"/>
      <c r="O190" s="107">
        <v>46269</v>
      </c>
      <c r="P190" s="51" t="s">
        <v>56</v>
      </c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hidden="1" customHeight="1" x14ac:dyDescent="0.25">
      <c r="A191" s="51">
        <v>2353</v>
      </c>
      <c r="B191" s="51">
        <v>42</v>
      </c>
      <c r="C191" s="51" t="s">
        <v>589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585</v>
      </c>
      <c r="L191" s="51" t="s">
        <v>63</v>
      </c>
      <c r="M191" s="107">
        <v>46269</v>
      </c>
      <c r="N191" s="51"/>
      <c r="O191" s="107">
        <v>46269</v>
      </c>
      <c r="P191" s="51" t="s">
        <v>56</v>
      </c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hidden="1" customHeight="1" x14ac:dyDescent="0.25">
      <c r="A192" s="51">
        <v>2353</v>
      </c>
      <c r="B192" s="51">
        <v>43</v>
      </c>
      <c r="C192" s="51" t="s">
        <v>589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585</v>
      </c>
      <c r="L192" s="51" t="s">
        <v>63</v>
      </c>
      <c r="M192" s="107">
        <v>46269</v>
      </c>
      <c r="N192" s="51"/>
      <c r="O192" s="107">
        <v>46269</v>
      </c>
      <c r="P192" s="51" t="s">
        <v>56</v>
      </c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hidden="1" customHeight="1" x14ac:dyDescent="0.25">
      <c r="A193" s="51">
        <v>2353</v>
      </c>
      <c r="B193" s="51">
        <v>44</v>
      </c>
      <c r="C193" s="51" t="s">
        <v>589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585</v>
      </c>
      <c r="L193" s="51" t="s">
        <v>63</v>
      </c>
      <c r="M193" s="107">
        <v>46269</v>
      </c>
      <c r="N193" s="51"/>
      <c r="O193" s="107">
        <v>46269</v>
      </c>
      <c r="P193" s="51" t="s">
        <v>56</v>
      </c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hidden="1" customHeight="1" x14ac:dyDescent="0.25">
      <c r="A194" s="51">
        <v>2353</v>
      </c>
      <c r="B194" s="51">
        <v>45</v>
      </c>
      <c r="C194" s="51" t="s">
        <v>589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585</v>
      </c>
      <c r="L194" s="51" t="s">
        <v>63</v>
      </c>
      <c r="M194" s="107">
        <v>46269</v>
      </c>
      <c r="N194" s="51"/>
      <c r="O194" s="107">
        <v>46269</v>
      </c>
      <c r="P194" s="51" t="s">
        <v>56</v>
      </c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hidden="1" customHeight="1" x14ac:dyDescent="0.25">
      <c r="A195" s="51">
        <v>2353</v>
      </c>
      <c r="B195" s="51">
        <v>46</v>
      </c>
      <c r="C195" s="51" t="s">
        <v>589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585</v>
      </c>
      <c r="L195" s="51" t="s">
        <v>63</v>
      </c>
      <c r="M195" s="107">
        <v>46269</v>
      </c>
      <c r="N195" s="51"/>
      <c r="O195" s="107">
        <v>46269</v>
      </c>
      <c r="P195" s="51" t="s">
        <v>56</v>
      </c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hidden="1" customHeight="1" x14ac:dyDescent="0.25">
      <c r="A196" s="51">
        <v>2253</v>
      </c>
      <c r="B196" s="51">
        <v>1</v>
      </c>
      <c r="C196" s="51" t="s">
        <v>589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585</v>
      </c>
      <c r="L196" s="51" t="s">
        <v>63</v>
      </c>
      <c r="M196" s="107">
        <v>46206</v>
      </c>
      <c r="N196" s="107">
        <v>46206</v>
      </c>
      <c r="O196" s="112">
        <v>46206</v>
      </c>
      <c r="P196" s="51" t="s">
        <v>56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hidden="1" customHeight="1" x14ac:dyDescent="0.25">
      <c r="A197" s="51">
        <v>2253</v>
      </c>
      <c r="B197" s="51">
        <v>2</v>
      </c>
      <c r="C197" s="51" t="s">
        <v>589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585</v>
      </c>
      <c r="L197" s="51" t="s">
        <v>63</v>
      </c>
      <c r="M197" s="107">
        <v>46206</v>
      </c>
      <c r="N197" s="107">
        <v>46206</v>
      </c>
      <c r="O197" s="112">
        <v>46206</v>
      </c>
      <c r="P197" s="51" t="s">
        <v>56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hidden="1" customHeight="1" x14ac:dyDescent="0.25">
      <c r="A198" s="51">
        <v>2253</v>
      </c>
      <c r="B198" s="51">
        <v>3</v>
      </c>
      <c r="C198" s="51" t="s">
        <v>589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585</v>
      </c>
      <c r="L198" s="51" t="s">
        <v>63</v>
      </c>
      <c r="M198" s="107">
        <v>46206</v>
      </c>
      <c r="N198" s="107">
        <v>46206</v>
      </c>
      <c r="O198" s="112">
        <v>46206</v>
      </c>
      <c r="P198" s="51" t="s">
        <v>56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hidden="1" customHeight="1" x14ac:dyDescent="0.25">
      <c r="A199" s="51">
        <v>2253</v>
      </c>
      <c r="B199" s="51">
        <v>4</v>
      </c>
      <c r="C199" s="51" t="s">
        <v>589</v>
      </c>
      <c r="D199" s="111">
        <v>6792</v>
      </c>
      <c r="E199" s="51" t="s">
        <v>255</v>
      </c>
      <c r="F199" s="51">
        <v>1</v>
      </c>
      <c r="G199" s="83" t="s">
        <v>586</v>
      </c>
      <c r="H199" s="51" t="s">
        <v>63</v>
      </c>
      <c r="I199" s="51" t="s">
        <v>63</v>
      </c>
      <c r="J199" s="51" t="s">
        <v>63</v>
      </c>
      <c r="K199" s="51" t="s">
        <v>585</v>
      </c>
      <c r="L199" s="51" t="s">
        <v>63</v>
      </c>
      <c r="M199" s="107">
        <v>46186</v>
      </c>
      <c r="N199" s="107">
        <v>46186</v>
      </c>
      <c r="O199" s="112">
        <v>46186</v>
      </c>
      <c r="P199" s="51" t="s">
        <v>56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hidden="1" customHeight="1" x14ac:dyDescent="0.25">
      <c r="A200" s="51">
        <v>2253</v>
      </c>
      <c r="B200" s="51">
        <v>5</v>
      </c>
      <c r="C200" s="51" t="s">
        <v>589</v>
      </c>
      <c r="D200" s="111">
        <v>6793</v>
      </c>
      <c r="E200" s="51" t="s">
        <v>255</v>
      </c>
      <c r="F200" s="51">
        <v>1</v>
      </c>
      <c r="G200" s="83" t="s">
        <v>586</v>
      </c>
      <c r="H200" s="51" t="s">
        <v>63</v>
      </c>
      <c r="I200" s="51" t="s">
        <v>63</v>
      </c>
      <c r="J200" s="51" t="s">
        <v>63</v>
      </c>
      <c r="K200" s="51" t="s">
        <v>585</v>
      </c>
      <c r="L200" s="51" t="s">
        <v>63</v>
      </c>
      <c r="M200" s="107">
        <v>46186</v>
      </c>
      <c r="N200" s="107">
        <v>46186</v>
      </c>
      <c r="O200" s="112">
        <v>46186</v>
      </c>
      <c r="P200" s="51" t="s">
        <v>56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hidden="1" customHeight="1" x14ac:dyDescent="0.25">
      <c r="A201" s="51">
        <v>2253</v>
      </c>
      <c r="B201" s="51">
        <v>6</v>
      </c>
      <c r="C201" s="51" t="s">
        <v>589</v>
      </c>
      <c r="D201" s="111">
        <v>6794</v>
      </c>
      <c r="E201" s="51" t="s">
        <v>255</v>
      </c>
      <c r="F201" s="51">
        <v>1</v>
      </c>
      <c r="G201" s="83" t="s">
        <v>586</v>
      </c>
      <c r="H201" s="51" t="s">
        <v>63</v>
      </c>
      <c r="I201" s="51" t="s">
        <v>63</v>
      </c>
      <c r="J201" s="51" t="s">
        <v>63</v>
      </c>
      <c r="K201" s="51" t="s">
        <v>585</v>
      </c>
      <c r="L201" s="51" t="s">
        <v>63</v>
      </c>
      <c r="M201" s="107">
        <v>46186</v>
      </c>
      <c r="N201" s="107">
        <v>46186</v>
      </c>
      <c r="O201" s="112">
        <v>46186</v>
      </c>
      <c r="P201" s="51" t="s">
        <v>56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hidden="1" customHeight="1" x14ac:dyDescent="0.25">
      <c r="A202" s="51">
        <v>2253</v>
      </c>
      <c r="B202" s="51">
        <v>7</v>
      </c>
      <c r="C202" s="51" t="s">
        <v>589</v>
      </c>
      <c r="D202" s="111">
        <v>6795</v>
      </c>
      <c r="E202" s="51" t="s">
        <v>255</v>
      </c>
      <c r="F202" s="51">
        <v>1</v>
      </c>
      <c r="G202" s="83" t="s">
        <v>586</v>
      </c>
      <c r="H202" s="51" t="s">
        <v>63</v>
      </c>
      <c r="I202" s="51" t="s">
        <v>63</v>
      </c>
      <c r="J202" s="51" t="s">
        <v>63</v>
      </c>
      <c r="K202" s="51" t="s">
        <v>585</v>
      </c>
      <c r="L202" s="51" t="s">
        <v>63</v>
      </c>
      <c r="M202" s="107">
        <v>46186</v>
      </c>
      <c r="N202" s="107">
        <v>46186</v>
      </c>
      <c r="O202" s="112">
        <v>46186</v>
      </c>
      <c r="P202" s="51" t="s">
        <v>56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hidden="1" customHeight="1" x14ac:dyDescent="0.25">
      <c r="A203" s="51">
        <v>2253</v>
      </c>
      <c r="B203" s="51">
        <v>8</v>
      </c>
      <c r="C203" s="51" t="s">
        <v>589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585</v>
      </c>
      <c r="L203" s="51" t="s">
        <v>63</v>
      </c>
      <c r="M203" s="107">
        <v>46196</v>
      </c>
      <c r="N203" s="107">
        <v>46196</v>
      </c>
      <c r="O203" s="112">
        <v>46196</v>
      </c>
      <c r="P203" s="51" t="s">
        <v>56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hidden="1" customHeight="1" x14ac:dyDescent="0.25">
      <c r="A204" s="51">
        <v>2253</v>
      </c>
      <c r="B204" s="51">
        <v>9</v>
      </c>
      <c r="C204" s="51" t="s">
        <v>589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585</v>
      </c>
      <c r="L204" s="51" t="s">
        <v>63</v>
      </c>
      <c r="M204" s="107">
        <v>46196</v>
      </c>
      <c r="N204" s="107">
        <v>46196</v>
      </c>
      <c r="O204" s="112">
        <v>46196</v>
      </c>
      <c r="P204" s="51" t="s">
        <v>56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hidden="1" customHeight="1" x14ac:dyDescent="0.25">
      <c r="A205" s="51">
        <v>2253</v>
      </c>
      <c r="B205" s="51">
        <v>10</v>
      </c>
      <c r="C205" s="51" t="s">
        <v>589</v>
      </c>
      <c r="D205" s="111">
        <v>6798</v>
      </c>
      <c r="E205" s="51" t="s">
        <v>255</v>
      </c>
      <c r="F205" s="51">
        <v>1</v>
      </c>
      <c r="G205" s="83" t="s">
        <v>586</v>
      </c>
      <c r="H205" s="51" t="s">
        <v>63</v>
      </c>
      <c r="I205" s="51" t="s">
        <v>63</v>
      </c>
      <c r="J205" s="51" t="s">
        <v>63</v>
      </c>
      <c r="K205" s="51" t="s">
        <v>585</v>
      </c>
      <c r="L205" s="51" t="s">
        <v>63</v>
      </c>
      <c r="M205" s="107">
        <v>46196</v>
      </c>
      <c r="N205" s="107">
        <v>46196</v>
      </c>
      <c r="O205" s="112">
        <v>46196</v>
      </c>
      <c r="P205" s="51" t="s">
        <v>56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hidden="1" customHeight="1" x14ac:dyDescent="0.25">
      <c r="A206" s="51">
        <v>2253</v>
      </c>
      <c r="B206" s="51">
        <v>11</v>
      </c>
      <c r="C206" s="51" t="s">
        <v>589</v>
      </c>
      <c r="D206" s="111">
        <v>6799</v>
      </c>
      <c r="E206" s="51" t="s">
        <v>255</v>
      </c>
      <c r="F206" s="51">
        <v>1</v>
      </c>
      <c r="G206" s="83" t="s">
        <v>586</v>
      </c>
      <c r="H206" s="51" t="s">
        <v>63</v>
      </c>
      <c r="I206" s="51" t="s">
        <v>63</v>
      </c>
      <c r="J206" s="51" t="s">
        <v>63</v>
      </c>
      <c r="K206" s="51" t="s">
        <v>585</v>
      </c>
      <c r="L206" s="51" t="s">
        <v>63</v>
      </c>
      <c r="M206" s="107">
        <v>46196</v>
      </c>
      <c r="N206" s="107">
        <v>46196</v>
      </c>
      <c r="O206" s="112">
        <v>46196</v>
      </c>
      <c r="P206" s="51" t="s">
        <v>56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hidden="1" customHeight="1" x14ac:dyDescent="0.25">
      <c r="A207" s="51">
        <v>2253</v>
      </c>
      <c r="B207" s="51">
        <v>12</v>
      </c>
      <c r="C207" s="51" t="s">
        <v>589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585</v>
      </c>
      <c r="L207" s="51" t="s">
        <v>63</v>
      </c>
      <c r="M207" s="107">
        <v>46196</v>
      </c>
      <c r="N207" s="107">
        <v>46196</v>
      </c>
      <c r="O207" s="112">
        <v>46196</v>
      </c>
      <c r="P207" s="51" t="s">
        <v>56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hidden="1" customHeight="1" x14ac:dyDescent="0.25">
      <c r="A208" s="51">
        <v>2253</v>
      </c>
      <c r="B208" s="51">
        <v>13</v>
      </c>
      <c r="C208" s="51" t="s">
        <v>589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585</v>
      </c>
      <c r="L208" s="51" t="s">
        <v>63</v>
      </c>
      <c r="M208" s="107">
        <v>46196</v>
      </c>
      <c r="N208" s="107">
        <v>46196</v>
      </c>
      <c r="O208" s="112">
        <v>46196</v>
      </c>
      <c r="P208" s="51" t="s">
        <v>56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hidden="1" customHeight="1" x14ac:dyDescent="0.25">
      <c r="A209" s="51">
        <v>2253</v>
      </c>
      <c r="B209" s="51">
        <v>14</v>
      </c>
      <c r="C209" s="51" t="s">
        <v>589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585</v>
      </c>
      <c r="L209" s="51" t="s">
        <v>63</v>
      </c>
      <c r="M209" s="107">
        <v>46196</v>
      </c>
      <c r="N209" s="107">
        <v>46196</v>
      </c>
      <c r="O209" s="112">
        <v>46196</v>
      </c>
      <c r="P209" s="51" t="s">
        <v>56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hidden="1" customHeight="1" x14ac:dyDescent="0.25">
      <c r="A210" s="51">
        <v>2253</v>
      </c>
      <c r="B210" s="51">
        <v>15</v>
      </c>
      <c r="C210" s="51" t="s">
        <v>589</v>
      </c>
      <c r="D210" s="111">
        <v>6803</v>
      </c>
      <c r="E210" s="51" t="s">
        <v>255</v>
      </c>
      <c r="F210" s="51">
        <v>1</v>
      </c>
      <c r="G210" s="83" t="s">
        <v>587</v>
      </c>
      <c r="H210" s="51" t="s">
        <v>63</v>
      </c>
      <c r="I210" s="51" t="s">
        <v>63</v>
      </c>
      <c r="J210" s="51" t="s">
        <v>63</v>
      </c>
      <c r="K210" s="51" t="s">
        <v>585</v>
      </c>
      <c r="L210" s="51" t="s">
        <v>63</v>
      </c>
      <c r="M210" s="107">
        <v>46186</v>
      </c>
      <c r="N210" s="107">
        <v>46186</v>
      </c>
      <c r="O210" s="112">
        <v>46186</v>
      </c>
      <c r="P210" s="51" t="s">
        <v>56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hidden="1" customHeight="1" x14ac:dyDescent="0.25">
      <c r="A211" s="51">
        <v>2253</v>
      </c>
      <c r="B211" s="51">
        <v>16</v>
      </c>
      <c r="C211" s="51" t="s">
        <v>589</v>
      </c>
      <c r="D211" s="111">
        <v>6804</v>
      </c>
      <c r="E211" s="51" t="s">
        <v>255</v>
      </c>
      <c r="F211" s="51">
        <v>1</v>
      </c>
      <c r="G211" s="83" t="s">
        <v>587</v>
      </c>
      <c r="H211" s="51" t="s">
        <v>63</v>
      </c>
      <c r="I211" s="51" t="s">
        <v>63</v>
      </c>
      <c r="J211" s="51" t="s">
        <v>63</v>
      </c>
      <c r="K211" s="51" t="s">
        <v>585</v>
      </c>
      <c r="L211" s="51" t="s">
        <v>63</v>
      </c>
      <c r="M211" s="107">
        <v>46186</v>
      </c>
      <c r="N211" s="107">
        <v>46186</v>
      </c>
      <c r="O211" s="112">
        <v>46186</v>
      </c>
      <c r="P211" s="51" t="s">
        <v>56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hidden="1" customHeight="1" x14ac:dyDescent="0.25">
      <c r="A212" s="51">
        <v>2253</v>
      </c>
      <c r="B212" s="51">
        <v>17</v>
      </c>
      <c r="C212" s="51" t="s">
        <v>589</v>
      </c>
      <c r="D212" s="111">
        <v>6805</v>
      </c>
      <c r="E212" s="51" t="s">
        <v>255</v>
      </c>
      <c r="F212" s="51">
        <v>1</v>
      </c>
      <c r="G212" s="83" t="s">
        <v>587</v>
      </c>
      <c r="H212" s="51" t="s">
        <v>63</v>
      </c>
      <c r="I212" s="51" t="s">
        <v>63</v>
      </c>
      <c r="J212" s="51" t="s">
        <v>63</v>
      </c>
      <c r="K212" s="51" t="s">
        <v>585</v>
      </c>
      <c r="L212" s="51" t="s">
        <v>63</v>
      </c>
      <c r="M212" s="107">
        <v>46186</v>
      </c>
      <c r="N212" s="107">
        <v>46186</v>
      </c>
      <c r="O212" s="112">
        <v>46186</v>
      </c>
      <c r="P212" s="51" t="s">
        <v>56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hidden="1" customHeight="1" x14ac:dyDescent="0.25">
      <c r="A213" s="51">
        <v>2253</v>
      </c>
      <c r="B213" s="51">
        <v>18</v>
      </c>
      <c r="C213" s="51" t="s">
        <v>589</v>
      </c>
      <c r="D213" s="111">
        <v>6806</v>
      </c>
      <c r="E213" s="51" t="s">
        <v>255</v>
      </c>
      <c r="F213" s="51">
        <v>1</v>
      </c>
      <c r="G213" s="83" t="s">
        <v>587</v>
      </c>
      <c r="H213" s="51" t="s">
        <v>63</v>
      </c>
      <c r="I213" s="51" t="s">
        <v>63</v>
      </c>
      <c r="J213" s="51" t="s">
        <v>63</v>
      </c>
      <c r="K213" s="51" t="s">
        <v>585</v>
      </c>
      <c r="L213" s="51" t="s">
        <v>63</v>
      </c>
      <c r="M213" s="107">
        <v>46186</v>
      </c>
      <c r="N213" s="107">
        <v>46186</v>
      </c>
      <c r="O213" s="112">
        <v>46186</v>
      </c>
      <c r="P213" s="51" t="s">
        <v>56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hidden="1" customHeight="1" x14ac:dyDescent="0.25">
      <c r="A214" s="51">
        <v>2253</v>
      </c>
      <c r="B214" s="51">
        <v>20</v>
      </c>
      <c r="C214" s="51" t="s">
        <v>589</v>
      </c>
      <c r="D214" s="111">
        <v>6808</v>
      </c>
      <c r="E214" s="51" t="s">
        <v>255</v>
      </c>
      <c r="F214" s="51">
        <v>1</v>
      </c>
      <c r="G214" s="83" t="s">
        <v>588</v>
      </c>
      <c r="H214" s="51" t="s">
        <v>63</v>
      </c>
      <c r="I214" s="51" t="s">
        <v>63</v>
      </c>
      <c r="J214" s="51" t="s">
        <v>63</v>
      </c>
      <c r="K214" s="51" t="s">
        <v>585</v>
      </c>
      <c r="L214" s="51" t="s">
        <v>63</v>
      </c>
      <c r="M214" s="107">
        <v>46206</v>
      </c>
      <c r="N214" s="107">
        <v>46206</v>
      </c>
      <c r="O214" s="112">
        <v>46206</v>
      </c>
      <c r="P214" s="51" t="s">
        <v>56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hidden="1" customHeight="1" x14ac:dyDescent="0.25">
      <c r="A215" s="51">
        <v>2253</v>
      </c>
      <c r="B215" s="51">
        <v>21</v>
      </c>
      <c r="C215" s="51" t="s">
        <v>589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585</v>
      </c>
      <c r="L215" s="51" t="s">
        <v>63</v>
      </c>
      <c r="M215" s="107">
        <v>46206</v>
      </c>
      <c r="N215" s="107">
        <v>46206</v>
      </c>
      <c r="O215" s="112">
        <v>46206</v>
      </c>
      <c r="P215" s="51" t="s">
        <v>56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hidden="1" customHeight="1" x14ac:dyDescent="0.25">
      <c r="A216" s="51">
        <v>2253</v>
      </c>
      <c r="B216" s="51">
        <v>22</v>
      </c>
      <c r="C216" s="51" t="s">
        <v>589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585</v>
      </c>
      <c r="L216" s="51" t="s">
        <v>63</v>
      </c>
      <c r="M216" s="107">
        <v>46206</v>
      </c>
      <c r="N216" s="107">
        <v>46206</v>
      </c>
      <c r="O216" s="112">
        <v>46206</v>
      </c>
      <c r="P216" s="51" t="s">
        <v>56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hidden="1" customHeight="1" x14ac:dyDescent="0.25">
      <c r="A217" s="51">
        <v>2253</v>
      </c>
      <c r="B217" s="51">
        <v>23</v>
      </c>
      <c r="C217" s="51" t="s">
        <v>589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585</v>
      </c>
      <c r="L217" s="51" t="s">
        <v>63</v>
      </c>
      <c r="M217" s="107">
        <v>46206</v>
      </c>
      <c r="N217" s="107">
        <v>46206</v>
      </c>
      <c r="O217" s="112">
        <v>46206</v>
      </c>
      <c r="P217" s="51" t="s">
        <v>56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hidden="1" customHeight="1" x14ac:dyDescent="0.25">
      <c r="A218" s="51">
        <v>2253</v>
      </c>
      <c r="B218" s="51">
        <v>24</v>
      </c>
      <c r="C218" s="51" t="s">
        <v>589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585</v>
      </c>
      <c r="L218" s="51" t="s">
        <v>63</v>
      </c>
      <c r="M218" s="107">
        <v>46206</v>
      </c>
      <c r="N218" s="107">
        <v>46206</v>
      </c>
      <c r="O218" s="112">
        <v>46206</v>
      </c>
      <c r="P218" s="51" t="s">
        <v>56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hidden="1" customHeight="1" x14ac:dyDescent="0.25">
      <c r="A219" s="51">
        <v>2253</v>
      </c>
      <c r="B219" s="51">
        <v>25</v>
      </c>
      <c r="C219" s="51" t="s">
        <v>589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585</v>
      </c>
      <c r="L219" s="51" t="s">
        <v>63</v>
      </c>
      <c r="M219" s="107">
        <v>46571</v>
      </c>
      <c r="N219" s="107"/>
      <c r="O219" s="112">
        <v>46571</v>
      </c>
      <c r="P219" s="51" t="s">
        <v>56</v>
      </c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677</v>
      </c>
    </row>
    <row r="220" spans="1:28" ht="20.100000000000001" hidden="1" customHeight="1" x14ac:dyDescent="0.25">
      <c r="A220" s="51">
        <v>2253</v>
      </c>
      <c r="B220" s="51">
        <v>26</v>
      </c>
      <c r="C220" s="51" t="s">
        <v>589</v>
      </c>
      <c r="D220" s="111">
        <v>6817</v>
      </c>
      <c r="E220" s="51" t="s">
        <v>255</v>
      </c>
      <c r="F220" s="51">
        <v>1</v>
      </c>
      <c r="G220" s="83" t="s">
        <v>586</v>
      </c>
      <c r="H220" s="51" t="s">
        <v>63</v>
      </c>
      <c r="I220" s="51" t="s">
        <v>63</v>
      </c>
      <c r="J220" s="51" t="s">
        <v>63</v>
      </c>
      <c r="K220" s="51" t="s">
        <v>585</v>
      </c>
      <c r="L220" s="51" t="s">
        <v>63</v>
      </c>
      <c r="M220" s="107">
        <v>46206</v>
      </c>
      <c r="N220" s="107">
        <v>46206</v>
      </c>
      <c r="O220" s="112">
        <v>46206</v>
      </c>
      <c r="P220" s="51" t="s">
        <v>56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hidden="1" customHeight="1" x14ac:dyDescent="0.25">
      <c r="A221" s="51">
        <v>2253</v>
      </c>
      <c r="B221" s="51">
        <v>5</v>
      </c>
      <c r="C221" s="51" t="s">
        <v>589</v>
      </c>
      <c r="D221" s="111">
        <v>6818</v>
      </c>
      <c r="E221" s="51" t="s">
        <v>255</v>
      </c>
      <c r="F221" s="51">
        <v>1</v>
      </c>
      <c r="G221" s="83" t="s">
        <v>586</v>
      </c>
      <c r="H221" s="51" t="s">
        <v>63</v>
      </c>
      <c r="I221" s="51" t="s">
        <v>63</v>
      </c>
      <c r="J221" s="51" t="s">
        <v>63</v>
      </c>
      <c r="K221" s="51" t="s">
        <v>585</v>
      </c>
      <c r="L221" s="51" t="s">
        <v>63</v>
      </c>
      <c r="M221" s="107">
        <v>46186</v>
      </c>
      <c r="N221" s="107">
        <v>46186</v>
      </c>
      <c r="O221" s="112">
        <v>46186</v>
      </c>
      <c r="P221" s="51" t="s">
        <v>56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hidden="1" customHeight="1" x14ac:dyDescent="0.25">
      <c r="A222" s="51">
        <v>2253</v>
      </c>
      <c r="B222" s="51">
        <v>26</v>
      </c>
      <c r="C222" s="51" t="s">
        <v>589</v>
      </c>
      <c r="D222" s="111">
        <v>6819</v>
      </c>
      <c r="E222" s="51" t="s">
        <v>255</v>
      </c>
      <c r="F222" s="51">
        <v>1</v>
      </c>
      <c r="G222" s="83" t="s">
        <v>586</v>
      </c>
      <c r="H222" s="51" t="s">
        <v>63</v>
      </c>
      <c r="I222" s="51" t="s">
        <v>63</v>
      </c>
      <c r="J222" s="51" t="s">
        <v>63</v>
      </c>
      <c r="K222" s="51" t="s">
        <v>585</v>
      </c>
      <c r="L222" s="51" t="s">
        <v>63</v>
      </c>
      <c r="M222" s="107">
        <v>46206</v>
      </c>
      <c r="N222" s="107">
        <v>46206</v>
      </c>
      <c r="O222" s="112">
        <v>46206</v>
      </c>
      <c r="P222" s="51" t="s">
        <v>56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hidden="1" customHeight="1" x14ac:dyDescent="0.25">
      <c r="A223" s="51">
        <v>2353</v>
      </c>
      <c r="B223" s="51">
        <v>47</v>
      </c>
      <c r="C223" s="51" t="s">
        <v>589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585</v>
      </c>
      <c r="L223" s="51" t="s">
        <v>63</v>
      </c>
      <c r="M223" s="52">
        <v>46220</v>
      </c>
      <c r="N223" s="52">
        <v>46220</v>
      </c>
      <c r="O223" s="52">
        <v>46220</v>
      </c>
      <c r="P223" s="51" t="s">
        <v>56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602</v>
      </c>
    </row>
    <row r="224" spans="1:28" ht="20.100000000000001" hidden="1" customHeight="1" x14ac:dyDescent="0.25">
      <c r="A224" s="51">
        <v>2353</v>
      </c>
      <c r="B224" s="51">
        <v>48</v>
      </c>
      <c r="C224" s="51" t="s">
        <v>589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585</v>
      </c>
      <c r="L224" s="51" t="s">
        <v>63</v>
      </c>
      <c r="M224" s="52">
        <v>46220</v>
      </c>
      <c r="N224" s="52">
        <v>46220</v>
      </c>
      <c r="O224" s="52">
        <v>46220</v>
      </c>
      <c r="P224" s="51" t="s">
        <v>56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602</v>
      </c>
    </row>
    <row r="225" spans="1:28" ht="20.100000000000001" hidden="1" customHeight="1" x14ac:dyDescent="0.25">
      <c r="A225" s="51">
        <v>2353</v>
      </c>
      <c r="B225" s="51">
        <v>49</v>
      </c>
      <c r="C225" s="51" t="s">
        <v>589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585</v>
      </c>
      <c r="L225" s="51" t="s">
        <v>63</v>
      </c>
      <c r="M225" s="52">
        <v>46255</v>
      </c>
      <c r="N225" s="51"/>
      <c r="O225" s="52">
        <v>46255</v>
      </c>
      <c r="P225" s="51" t="s">
        <v>56</v>
      </c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hidden="1" customHeight="1" x14ac:dyDescent="0.25">
      <c r="A226" s="51">
        <v>1043</v>
      </c>
      <c r="B226" s="51" t="s">
        <v>63</v>
      </c>
      <c r="C226" s="51" t="s">
        <v>567</v>
      </c>
      <c r="D226" s="51" t="s">
        <v>63</v>
      </c>
      <c r="E226" s="51" t="s">
        <v>255</v>
      </c>
      <c r="F226" s="51">
        <v>1</v>
      </c>
      <c r="G226" s="51" t="s">
        <v>197</v>
      </c>
      <c r="H226" s="51" t="s">
        <v>248</v>
      </c>
      <c r="I226" s="51" t="s">
        <v>367</v>
      </c>
      <c r="J226" s="51" t="s">
        <v>200</v>
      </c>
      <c r="K226" s="51" t="s">
        <v>205</v>
      </c>
      <c r="L226" s="51" t="s">
        <v>635</v>
      </c>
      <c r="M226" s="51" t="s">
        <v>63</v>
      </c>
      <c r="N226" s="52">
        <v>46233</v>
      </c>
      <c r="O226" s="52">
        <v>46409</v>
      </c>
      <c r="P226" s="52">
        <v>46388</v>
      </c>
      <c r="Q226" s="51" t="s">
        <v>58</v>
      </c>
      <c r="R226" s="51" t="s">
        <v>365</v>
      </c>
      <c r="S226" s="51" t="s">
        <v>221</v>
      </c>
      <c r="T226" s="51" t="s">
        <v>220</v>
      </c>
      <c r="U226" s="51" t="s">
        <v>224</v>
      </c>
      <c r="V226" s="51"/>
      <c r="W226" s="51"/>
      <c r="X226" s="51"/>
      <c r="Y226" s="51"/>
      <c r="Z226" s="51"/>
      <c r="AA226" s="51" t="s">
        <v>196</v>
      </c>
      <c r="AB226" s="51"/>
    </row>
    <row r="227" spans="1:28" ht="20.100000000000001" hidden="1" customHeight="1" x14ac:dyDescent="0.25">
      <c r="A227" s="51">
        <v>1043</v>
      </c>
      <c r="B227" s="51" t="s">
        <v>63</v>
      </c>
      <c r="C227" s="51" t="s">
        <v>567</v>
      </c>
      <c r="D227" s="51">
        <v>6921</v>
      </c>
      <c r="E227" s="51" t="s">
        <v>255</v>
      </c>
      <c r="F227" s="51">
        <v>1</v>
      </c>
      <c r="G227" s="51" t="s">
        <v>197</v>
      </c>
      <c r="H227" s="51" t="s">
        <v>248</v>
      </c>
      <c r="I227" s="51" t="s">
        <v>446</v>
      </c>
      <c r="J227" s="51" t="s">
        <v>200</v>
      </c>
      <c r="K227" s="51" t="s">
        <v>193</v>
      </c>
      <c r="L227" s="51" t="s">
        <v>636</v>
      </c>
      <c r="M227" s="52">
        <v>46239</v>
      </c>
      <c r="N227" s="52">
        <v>46233</v>
      </c>
      <c r="O227" s="52">
        <v>46285</v>
      </c>
      <c r="P227" s="51" t="s">
        <v>56</v>
      </c>
      <c r="Q227" s="51" t="s">
        <v>56</v>
      </c>
      <c r="R227" s="51" t="s">
        <v>220</v>
      </c>
      <c r="S227" s="51" t="s">
        <v>228</v>
      </c>
      <c r="T227" s="51" t="s">
        <v>224</v>
      </c>
      <c r="U227" s="51" t="s">
        <v>229</v>
      </c>
      <c r="V227" s="51"/>
      <c r="W227" s="51"/>
      <c r="X227" s="51"/>
      <c r="Y227" s="51"/>
      <c r="Z227" s="51"/>
      <c r="AA227" s="51" t="s">
        <v>196</v>
      </c>
      <c r="AB227" s="51"/>
    </row>
    <row r="228" spans="1:28" ht="20.100000000000001" hidden="1" customHeight="1" x14ac:dyDescent="0.25">
      <c r="A228" s="51">
        <v>1043</v>
      </c>
      <c r="B228" s="51" t="s">
        <v>63</v>
      </c>
      <c r="C228" s="51" t="s">
        <v>567</v>
      </c>
      <c r="D228" s="51">
        <v>6918</v>
      </c>
      <c r="E228" s="51" t="s">
        <v>255</v>
      </c>
      <c r="F228" s="51">
        <v>1</v>
      </c>
      <c r="G228" s="51" t="s">
        <v>197</v>
      </c>
      <c r="H228" s="51" t="s">
        <v>249</v>
      </c>
      <c r="I228" s="51" t="s">
        <v>369</v>
      </c>
      <c r="J228" s="51" t="s">
        <v>200</v>
      </c>
      <c r="K228" s="51" t="s">
        <v>193</v>
      </c>
      <c r="L228" s="51" t="s">
        <v>637</v>
      </c>
      <c r="M228" s="52">
        <v>46239</v>
      </c>
      <c r="N228" s="52">
        <v>46233</v>
      </c>
      <c r="O228" s="52">
        <v>46280</v>
      </c>
      <c r="P228" s="51" t="s">
        <v>56</v>
      </c>
      <c r="Q228" s="51" t="s">
        <v>56</v>
      </c>
      <c r="R228" s="51" t="s">
        <v>220</v>
      </c>
      <c r="S228" s="51" t="s">
        <v>222</v>
      </c>
      <c r="T228" s="51" t="s">
        <v>223</v>
      </c>
      <c r="U228" s="51" t="s">
        <v>225</v>
      </c>
      <c r="V228" s="51" t="s">
        <v>226</v>
      </c>
      <c r="W228" s="51" t="s">
        <v>227</v>
      </c>
      <c r="X228" s="51" t="s">
        <v>224</v>
      </c>
      <c r="Y228" s="51" t="s">
        <v>228</v>
      </c>
      <c r="Z228" s="51" t="s">
        <v>229</v>
      </c>
      <c r="AA228" s="51" t="s">
        <v>124</v>
      </c>
      <c r="AB228" s="51"/>
    </row>
    <row r="229" spans="1:28" ht="20.100000000000001" hidden="1" customHeight="1" x14ac:dyDescent="0.25">
      <c r="A229" s="51">
        <v>1043</v>
      </c>
      <c r="B229" s="51" t="s">
        <v>63</v>
      </c>
      <c r="C229" s="51" t="s">
        <v>567</v>
      </c>
      <c r="D229" s="51" t="s">
        <v>63</v>
      </c>
      <c r="E229" s="51" t="s">
        <v>255</v>
      </c>
      <c r="F229" s="51">
        <v>1</v>
      </c>
      <c r="G229" s="51" t="s">
        <v>197</v>
      </c>
      <c r="H229" s="51" t="s">
        <v>248</v>
      </c>
      <c r="I229" s="51" t="s">
        <v>367</v>
      </c>
      <c r="J229" s="51" t="s">
        <v>201</v>
      </c>
      <c r="K229" s="51" t="s">
        <v>205</v>
      </c>
      <c r="L229" s="51" t="s">
        <v>638</v>
      </c>
      <c r="M229" s="51" t="s">
        <v>63</v>
      </c>
      <c r="N229" s="52">
        <v>46233</v>
      </c>
      <c r="O229" s="52">
        <v>46410</v>
      </c>
      <c r="P229" s="52">
        <v>46388</v>
      </c>
      <c r="Q229" s="51" t="s">
        <v>58</v>
      </c>
      <c r="R229" s="51" t="s">
        <v>365</v>
      </c>
      <c r="S229" s="51" t="s">
        <v>221</v>
      </c>
      <c r="T229" s="51" t="s">
        <v>220</v>
      </c>
      <c r="U229" s="51" t="s">
        <v>224</v>
      </c>
      <c r="V229" s="51"/>
      <c r="W229" s="51"/>
      <c r="X229" s="51"/>
      <c r="Y229" s="51"/>
      <c r="Z229" s="51"/>
      <c r="AA229" s="51" t="s">
        <v>196</v>
      </c>
      <c r="AB229" s="51"/>
    </row>
    <row r="230" spans="1:28" ht="20.100000000000001" hidden="1" customHeight="1" x14ac:dyDescent="0.25">
      <c r="A230" s="51">
        <v>1043</v>
      </c>
      <c r="B230" s="51" t="s">
        <v>63</v>
      </c>
      <c r="C230" s="51" t="s">
        <v>567</v>
      </c>
      <c r="D230" s="51" t="s">
        <v>63</v>
      </c>
      <c r="E230" s="51" t="s">
        <v>255</v>
      </c>
      <c r="F230" s="51">
        <v>1</v>
      </c>
      <c r="G230" s="51" t="s">
        <v>197</v>
      </c>
      <c r="H230" s="51" t="s">
        <v>248</v>
      </c>
      <c r="I230" s="51" t="s">
        <v>446</v>
      </c>
      <c r="J230" s="51" t="s">
        <v>201</v>
      </c>
      <c r="K230" s="51" t="s">
        <v>205</v>
      </c>
      <c r="L230" s="51" t="s">
        <v>639</v>
      </c>
      <c r="M230" s="51" t="s">
        <v>63</v>
      </c>
      <c r="N230" s="52">
        <v>46233</v>
      </c>
      <c r="O230" s="52">
        <v>46412</v>
      </c>
      <c r="P230" s="52">
        <v>46388</v>
      </c>
      <c r="Q230" s="51" t="s">
        <v>58</v>
      </c>
      <c r="R230" s="51" t="s">
        <v>365</v>
      </c>
      <c r="S230" s="51" t="s">
        <v>221</v>
      </c>
      <c r="T230" s="51" t="s">
        <v>220</v>
      </c>
      <c r="U230" s="51" t="s">
        <v>224</v>
      </c>
      <c r="V230" s="51"/>
      <c r="W230" s="51"/>
      <c r="X230" s="51"/>
      <c r="Y230" s="51"/>
      <c r="Z230" s="51"/>
      <c r="AA230" s="51" t="s">
        <v>196</v>
      </c>
      <c r="AB230" s="51"/>
    </row>
    <row r="231" spans="1:28" ht="20.100000000000001" hidden="1" customHeight="1" x14ac:dyDescent="0.25">
      <c r="A231" s="51">
        <v>1043</v>
      </c>
      <c r="B231" s="51" t="s">
        <v>63</v>
      </c>
      <c r="C231" s="51" t="s">
        <v>567</v>
      </c>
      <c r="D231" s="51">
        <v>6919</v>
      </c>
      <c r="E231" s="51" t="s">
        <v>255</v>
      </c>
      <c r="F231" s="51">
        <v>1</v>
      </c>
      <c r="G231" s="51" t="s">
        <v>197</v>
      </c>
      <c r="H231" s="51" t="s">
        <v>248</v>
      </c>
      <c r="I231" s="51" t="s">
        <v>369</v>
      </c>
      <c r="J231" s="51" t="s">
        <v>201</v>
      </c>
      <c r="K231" s="51" t="s">
        <v>193</v>
      </c>
      <c r="L231" s="51" t="s">
        <v>640</v>
      </c>
      <c r="M231" s="52">
        <v>46239</v>
      </c>
      <c r="N231" s="52">
        <v>46233</v>
      </c>
      <c r="O231" s="52">
        <v>46280</v>
      </c>
      <c r="P231" s="51" t="s">
        <v>56</v>
      </c>
      <c r="Q231" s="51" t="s">
        <v>56</v>
      </c>
      <c r="R231" s="51" t="s">
        <v>220</v>
      </c>
      <c r="S231" s="51" t="s">
        <v>228</v>
      </c>
      <c r="T231" s="51" t="s">
        <v>224</v>
      </c>
      <c r="U231" s="51" t="s">
        <v>229</v>
      </c>
      <c r="V231" s="51"/>
      <c r="W231" s="51"/>
      <c r="X231" s="51"/>
      <c r="Y231" s="51"/>
      <c r="Z231" s="51"/>
      <c r="AA231" s="51" t="s">
        <v>124</v>
      </c>
      <c r="AB231" s="51"/>
    </row>
    <row r="232" spans="1:28" ht="20.100000000000001" hidden="1" customHeight="1" x14ac:dyDescent="0.25">
      <c r="A232" s="51">
        <v>1043</v>
      </c>
      <c r="B232" s="51" t="s">
        <v>63</v>
      </c>
      <c r="C232" s="51" t="s">
        <v>567</v>
      </c>
      <c r="D232" s="51" t="s">
        <v>63</v>
      </c>
      <c r="E232" s="51" t="s">
        <v>255</v>
      </c>
      <c r="F232" s="51">
        <v>1</v>
      </c>
      <c r="G232" s="51" t="s">
        <v>197</v>
      </c>
      <c r="H232" s="51" t="s">
        <v>248</v>
      </c>
      <c r="I232" s="51" t="s">
        <v>367</v>
      </c>
      <c r="J232" s="51" t="s">
        <v>202</v>
      </c>
      <c r="K232" s="51" t="s">
        <v>205</v>
      </c>
      <c r="L232" s="51" t="s">
        <v>641</v>
      </c>
      <c r="M232" s="51" t="s">
        <v>63</v>
      </c>
      <c r="N232" s="52">
        <v>46233</v>
      </c>
      <c r="O232" s="52">
        <v>46413</v>
      </c>
      <c r="P232" s="52">
        <v>46388</v>
      </c>
      <c r="Q232" s="51" t="s">
        <v>58</v>
      </c>
      <c r="R232" s="51" t="s">
        <v>365</v>
      </c>
      <c r="S232" s="51" t="s">
        <v>221</v>
      </c>
      <c r="T232" s="51" t="s">
        <v>220</v>
      </c>
      <c r="U232" s="51" t="s">
        <v>224</v>
      </c>
      <c r="V232" s="51"/>
      <c r="W232" s="51"/>
      <c r="X232" s="51"/>
      <c r="Y232" s="51"/>
      <c r="Z232" s="51"/>
      <c r="AA232" s="51" t="s">
        <v>196</v>
      </c>
      <c r="AB232" s="51"/>
    </row>
    <row r="233" spans="1:28" ht="20.100000000000001" hidden="1" customHeight="1" x14ac:dyDescent="0.25">
      <c r="A233" s="51">
        <v>1043</v>
      </c>
      <c r="B233" s="51" t="s">
        <v>63</v>
      </c>
      <c r="C233" s="51" t="s">
        <v>567</v>
      </c>
      <c r="D233" s="51" t="s">
        <v>63</v>
      </c>
      <c r="E233" s="51" t="s">
        <v>255</v>
      </c>
      <c r="F233" s="51">
        <v>1</v>
      </c>
      <c r="G233" s="51" t="s">
        <v>197</v>
      </c>
      <c r="H233" s="51" t="s">
        <v>248</v>
      </c>
      <c r="I233" s="51" t="s">
        <v>446</v>
      </c>
      <c r="J233" s="51" t="s">
        <v>202</v>
      </c>
      <c r="K233" s="51" t="s">
        <v>205</v>
      </c>
      <c r="L233" s="51" t="s">
        <v>642</v>
      </c>
      <c r="M233" s="51" t="s">
        <v>63</v>
      </c>
      <c r="N233" s="52">
        <v>46233</v>
      </c>
      <c r="O233" s="52">
        <v>46416</v>
      </c>
      <c r="P233" s="52">
        <v>46388</v>
      </c>
      <c r="Q233" s="51" t="s">
        <v>58</v>
      </c>
      <c r="R233" s="51" t="s">
        <v>365</v>
      </c>
      <c r="S233" s="51" t="s">
        <v>221</v>
      </c>
      <c r="T233" s="51" t="s">
        <v>220</v>
      </c>
      <c r="U233" s="51" t="s">
        <v>224</v>
      </c>
      <c r="V233" s="51"/>
      <c r="W233" s="51"/>
      <c r="X233" s="51"/>
      <c r="Y233" s="51"/>
      <c r="Z233" s="51"/>
      <c r="AA233" s="51" t="s">
        <v>196</v>
      </c>
      <c r="AB233" s="51"/>
    </row>
    <row r="234" spans="1:28" ht="20.100000000000001" hidden="1" customHeight="1" x14ac:dyDescent="0.25">
      <c r="A234" s="51">
        <v>1043</v>
      </c>
      <c r="B234" s="51" t="s">
        <v>63</v>
      </c>
      <c r="C234" s="51" t="s">
        <v>567</v>
      </c>
      <c r="D234" s="51" t="s">
        <v>63</v>
      </c>
      <c r="E234" s="51" t="s">
        <v>255</v>
      </c>
      <c r="F234" s="51">
        <v>1</v>
      </c>
      <c r="G234" s="51" t="s">
        <v>197</v>
      </c>
      <c r="H234" s="51" t="s">
        <v>249</v>
      </c>
      <c r="I234" s="51" t="s">
        <v>369</v>
      </c>
      <c r="J234" s="51" t="s">
        <v>202</v>
      </c>
      <c r="K234" s="51" t="s">
        <v>205</v>
      </c>
      <c r="L234" s="51" t="s">
        <v>643</v>
      </c>
      <c r="M234" s="51" t="s">
        <v>63</v>
      </c>
      <c r="N234" s="52">
        <v>46233</v>
      </c>
      <c r="O234" s="52">
        <v>46430</v>
      </c>
      <c r="P234" s="52">
        <v>46388</v>
      </c>
      <c r="Q234" s="51" t="s">
        <v>58</v>
      </c>
      <c r="R234" s="51" t="s">
        <v>365</v>
      </c>
      <c r="S234" s="51" t="s">
        <v>221</v>
      </c>
      <c r="T234" s="51" t="s">
        <v>220</v>
      </c>
      <c r="U234" s="51" t="s">
        <v>224</v>
      </c>
      <c r="V234" s="51"/>
      <c r="W234" s="51"/>
      <c r="X234" s="51"/>
      <c r="Y234" s="51"/>
      <c r="Z234" s="51"/>
      <c r="AA234" s="51" t="s">
        <v>196</v>
      </c>
      <c r="AB234" s="51"/>
    </row>
    <row r="235" spans="1:28" ht="20.100000000000001" hidden="1" customHeight="1" x14ac:dyDescent="0.25">
      <c r="A235" s="51">
        <v>1043</v>
      </c>
      <c r="B235" s="51" t="s">
        <v>63</v>
      </c>
      <c r="C235" s="51" t="s">
        <v>567</v>
      </c>
      <c r="D235" s="51" t="s">
        <v>63</v>
      </c>
      <c r="E235" s="51" t="s">
        <v>255</v>
      </c>
      <c r="F235" s="51">
        <v>1</v>
      </c>
      <c r="G235" s="51" t="s">
        <v>197</v>
      </c>
      <c r="H235" s="51" t="s">
        <v>248</v>
      </c>
      <c r="I235" s="51" t="s">
        <v>367</v>
      </c>
      <c r="J235" s="51" t="s">
        <v>203</v>
      </c>
      <c r="K235" s="51" t="s">
        <v>205</v>
      </c>
      <c r="L235" s="51" t="s">
        <v>644</v>
      </c>
      <c r="M235" s="51" t="s">
        <v>63</v>
      </c>
      <c r="N235" s="52">
        <v>46233</v>
      </c>
      <c r="O235" s="52">
        <v>46275</v>
      </c>
      <c r="P235" s="52">
        <v>46388</v>
      </c>
      <c r="Q235" s="51" t="s">
        <v>58</v>
      </c>
      <c r="R235" s="53" t="s">
        <v>365</v>
      </c>
      <c r="S235" s="51" t="s">
        <v>221</v>
      </c>
      <c r="T235" s="51" t="s">
        <v>220</v>
      </c>
      <c r="U235" s="51" t="s">
        <v>224</v>
      </c>
      <c r="V235" s="51"/>
      <c r="W235" s="51"/>
      <c r="X235" s="51"/>
      <c r="Y235" s="51"/>
      <c r="Z235" s="51"/>
      <c r="AA235" s="51" t="s">
        <v>124</v>
      </c>
      <c r="AB235" s="51"/>
    </row>
    <row r="236" spans="1:28" ht="20.100000000000001" hidden="1" customHeight="1" x14ac:dyDescent="0.25">
      <c r="A236" s="51">
        <v>1043</v>
      </c>
      <c r="B236" s="51" t="s">
        <v>63</v>
      </c>
      <c r="C236" s="51" t="s">
        <v>567</v>
      </c>
      <c r="D236" s="51" t="s">
        <v>63</v>
      </c>
      <c r="E236" s="51" t="s">
        <v>255</v>
      </c>
      <c r="F236" s="51">
        <v>1</v>
      </c>
      <c r="G236" s="51" t="s">
        <v>197</v>
      </c>
      <c r="H236" s="51" t="s">
        <v>248</v>
      </c>
      <c r="I236" s="51" t="s">
        <v>446</v>
      </c>
      <c r="J236" s="51" t="s">
        <v>203</v>
      </c>
      <c r="K236" s="51" t="s">
        <v>205</v>
      </c>
      <c r="L236" s="51" t="s">
        <v>645</v>
      </c>
      <c r="M236" s="51" t="s">
        <v>63</v>
      </c>
      <c r="N236" s="52">
        <v>46233</v>
      </c>
      <c r="O236" s="52">
        <v>46418</v>
      </c>
      <c r="P236" s="52">
        <v>46388</v>
      </c>
      <c r="Q236" s="51" t="s">
        <v>58</v>
      </c>
      <c r="R236" s="51" t="s">
        <v>365</v>
      </c>
      <c r="S236" s="51" t="s">
        <v>221</v>
      </c>
      <c r="T236" s="51" t="s">
        <v>220</v>
      </c>
      <c r="U236" s="51" t="s">
        <v>224</v>
      </c>
      <c r="V236" s="51"/>
      <c r="W236" s="51"/>
      <c r="X236" s="51"/>
      <c r="Y236" s="51"/>
      <c r="Z236" s="51"/>
      <c r="AA236" s="51" t="s">
        <v>196</v>
      </c>
      <c r="AB236" s="51"/>
    </row>
    <row r="237" spans="1:28" ht="20.100000000000001" hidden="1" customHeight="1" x14ac:dyDescent="0.25">
      <c r="A237" s="51">
        <v>1043</v>
      </c>
      <c r="B237" s="51" t="s">
        <v>63</v>
      </c>
      <c r="C237" s="51" t="s">
        <v>567</v>
      </c>
      <c r="D237" s="51" t="s">
        <v>63</v>
      </c>
      <c r="E237" s="51" t="s">
        <v>255</v>
      </c>
      <c r="F237" s="51">
        <v>1</v>
      </c>
      <c r="G237" s="51" t="s">
        <v>197</v>
      </c>
      <c r="H237" s="51" t="s">
        <v>249</v>
      </c>
      <c r="I237" s="51" t="s">
        <v>369</v>
      </c>
      <c r="J237" s="51" t="s">
        <v>203</v>
      </c>
      <c r="K237" s="51" t="s">
        <v>205</v>
      </c>
      <c r="L237" s="51" t="s">
        <v>646</v>
      </c>
      <c r="M237" s="51" t="s">
        <v>63</v>
      </c>
      <c r="N237" s="52">
        <v>46233</v>
      </c>
      <c r="O237" s="52">
        <v>46430</v>
      </c>
      <c r="P237" s="52">
        <v>46388</v>
      </c>
      <c r="Q237" s="51" t="s">
        <v>58</v>
      </c>
      <c r="R237" s="51" t="s">
        <v>365</v>
      </c>
      <c r="S237" s="51" t="s">
        <v>221</v>
      </c>
      <c r="T237" s="51" t="s">
        <v>220</v>
      </c>
      <c r="U237" s="51" t="s">
        <v>224</v>
      </c>
      <c r="V237" s="51"/>
      <c r="W237" s="51"/>
      <c r="X237" s="51"/>
      <c r="Y237" s="51"/>
      <c r="Z237" s="51"/>
      <c r="AA237" s="51" t="s">
        <v>196</v>
      </c>
      <c r="AB237" s="51"/>
    </row>
    <row r="238" spans="1:28" ht="20.100000000000001" hidden="1" customHeight="1" x14ac:dyDescent="0.25">
      <c r="A238" s="51">
        <v>1043</v>
      </c>
      <c r="B238" s="51" t="s">
        <v>63</v>
      </c>
      <c r="C238" s="51" t="s">
        <v>567</v>
      </c>
      <c r="D238" s="51" t="s">
        <v>63</v>
      </c>
      <c r="E238" s="51" t="s">
        <v>255</v>
      </c>
      <c r="F238" s="51">
        <v>1</v>
      </c>
      <c r="G238" s="51" t="s">
        <v>197</v>
      </c>
      <c r="H238" s="51" t="s">
        <v>248</v>
      </c>
      <c r="I238" s="51" t="s">
        <v>367</v>
      </c>
      <c r="J238" s="51" t="s">
        <v>204</v>
      </c>
      <c r="K238" s="51" t="s">
        <v>205</v>
      </c>
      <c r="L238" s="51" t="s">
        <v>647</v>
      </c>
      <c r="M238" s="51" t="s">
        <v>63</v>
      </c>
      <c r="N238" s="52">
        <v>46233</v>
      </c>
      <c r="O238" s="52">
        <v>46420</v>
      </c>
      <c r="P238" s="52">
        <v>46388</v>
      </c>
      <c r="Q238" s="51" t="s">
        <v>58</v>
      </c>
      <c r="R238" s="51" t="s">
        <v>365</v>
      </c>
      <c r="S238" s="51" t="s">
        <v>221</v>
      </c>
      <c r="T238" s="51" t="s">
        <v>220</v>
      </c>
      <c r="U238" s="51" t="s">
        <v>224</v>
      </c>
      <c r="V238" s="51"/>
      <c r="W238" s="51"/>
      <c r="X238" s="51"/>
      <c r="Y238" s="51"/>
      <c r="Z238" s="51"/>
      <c r="AA238" s="51" t="s">
        <v>196</v>
      </c>
      <c r="AB238" s="51"/>
    </row>
    <row r="239" spans="1:28" ht="20.100000000000001" hidden="1" customHeight="1" x14ac:dyDescent="0.25">
      <c r="A239" s="51">
        <v>1043</v>
      </c>
      <c r="B239" s="51" t="s">
        <v>63</v>
      </c>
      <c r="C239" s="51" t="s">
        <v>567</v>
      </c>
      <c r="D239" s="51" t="s">
        <v>63</v>
      </c>
      <c r="E239" s="51" t="s">
        <v>255</v>
      </c>
      <c r="F239" s="51">
        <v>1</v>
      </c>
      <c r="G239" s="51" t="s">
        <v>197</v>
      </c>
      <c r="H239" s="51" t="s">
        <v>248</v>
      </c>
      <c r="I239" s="51" t="s">
        <v>446</v>
      </c>
      <c r="J239" s="51" t="s">
        <v>204</v>
      </c>
      <c r="K239" s="51" t="s">
        <v>205</v>
      </c>
      <c r="L239" s="51" t="s">
        <v>648</v>
      </c>
      <c r="M239" s="51" t="s">
        <v>63</v>
      </c>
      <c r="N239" s="52">
        <v>46233</v>
      </c>
      <c r="O239" s="52">
        <v>46421</v>
      </c>
      <c r="P239" s="52">
        <v>46388</v>
      </c>
      <c r="Q239" s="51" t="s">
        <v>58</v>
      </c>
      <c r="R239" s="51" t="s">
        <v>365</v>
      </c>
      <c r="S239" s="51" t="s">
        <v>221</v>
      </c>
      <c r="T239" s="51" t="s">
        <v>220</v>
      </c>
      <c r="U239" s="51" t="s">
        <v>224</v>
      </c>
      <c r="V239" s="51"/>
      <c r="W239" s="51"/>
      <c r="X239" s="51"/>
      <c r="Y239" s="51"/>
      <c r="Z239" s="51"/>
      <c r="AA239" s="51" t="s">
        <v>196</v>
      </c>
      <c r="AB239" s="51"/>
    </row>
    <row r="240" spans="1:28" ht="20.100000000000001" hidden="1" customHeight="1" x14ac:dyDescent="0.25">
      <c r="A240" s="51">
        <v>1043</v>
      </c>
      <c r="B240" s="51" t="s">
        <v>63</v>
      </c>
      <c r="C240" s="51" t="s">
        <v>567</v>
      </c>
      <c r="D240" s="51" t="s">
        <v>63</v>
      </c>
      <c r="E240" s="51" t="s">
        <v>255</v>
      </c>
      <c r="F240" s="51">
        <v>1</v>
      </c>
      <c r="G240" s="51" t="s">
        <v>197</v>
      </c>
      <c r="H240" s="51" t="s">
        <v>249</v>
      </c>
      <c r="I240" s="51" t="s">
        <v>369</v>
      </c>
      <c r="J240" s="51" t="s">
        <v>204</v>
      </c>
      <c r="K240" s="51" t="s">
        <v>205</v>
      </c>
      <c r="L240" s="51" t="s">
        <v>649</v>
      </c>
      <c r="M240" s="51" t="s">
        <v>63</v>
      </c>
      <c r="N240" s="52">
        <v>46233</v>
      </c>
      <c r="O240" s="52">
        <v>46431</v>
      </c>
      <c r="P240" s="52">
        <v>46388</v>
      </c>
      <c r="Q240" s="51" t="s">
        <v>58</v>
      </c>
      <c r="R240" s="51" t="s">
        <v>365</v>
      </c>
      <c r="S240" s="51" t="s">
        <v>221</v>
      </c>
      <c r="T240" s="51" t="s">
        <v>220</v>
      </c>
      <c r="U240" s="51" t="s">
        <v>224</v>
      </c>
      <c r="V240" s="51"/>
      <c r="W240" s="51"/>
      <c r="X240" s="51"/>
      <c r="Y240" s="51"/>
      <c r="Z240" s="51"/>
      <c r="AA240" s="51" t="s">
        <v>196</v>
      </c>
      <c r="AB240" s="51"/>
    </row>
    <row r="241" spans="1:28" ht="20.100000000000001" hidden="1" customHeight="1" x14ac:dyDescent="0.25">
      <c r="A241" s="51">
        <v>1043</v>
      </c>
      <c r="B241" s="51" t="s">
        <v>63</v>
      </c>
      <c r="C241" s="51" t="s">
        <v>567</v>
      </c>
      <c r="D241" s="51">
        <v>6922</v>
      </c>
      <c r="E241" s="51" t="s">
        <v>255</v>
      </c>
      <c r="F241" s="51">
        <v>1</v>
      </c>
      <c r="G241" s="51" t="s">
        <v>197</v>
      </c>
      <c r="H241" s="51" t="s">
        <v>248</v>
      </c>
      <c r="I241" s="51" t="s">
        <v>367</v>
      </c>
      <c r="J241" s="51" t="s">
        <v>244</v>
      </c>
      <c r="K241" s="51" t="s">
        <v>193</v>
      </c>
      <c r="L241" s="51" t="s">
        <v>650</v>
      </c>
      <c r="M241" s="52">
        <v>46239</v>
      </c>
      <c r="N241" s="52">
        <v>46233</v>
      </c>
      <c r="O241" s="52">
        <v>46270</v>
      </c>
      <c r="P241" s="51" t="s">
        <v>56</v>
      </c>
      <c r="Q241" s="51" t="s">
        <v>56</v>
      </c>
      <c r="R241" s="51" t="s">
        <v>220</v>
      </c>
      <c r="S241" s="51" t="s">
        <v>228</v>
      </c>
      <c r="T241" s="51" t="s">
        <v>224</v>
      </c>
      <c r="U241" s="51" t="s">
        <v>229</v>
      </c>
      <c r="V241" s="51"/>
      <c r="W241" s="51"/>
      <c r="X241" s="51"/>
      <c r="Y241" s="51"/>
      <c r="Z241" s="51"/>
      <c r="AA241" s="51" t="s">
        <v>196</v>
      </c>
      <c r="AB241" s="51"/>
    </row>
    <row r="242" spans="1:28" ht="20.100000000000001" hidden="1" customHeight="1" x14ac:dyDescent="0.25">
      <c r="A242" s="51">
        <v>1043</v>
      </c>
      <c r="B242" s="51" t="s">
        <v>63</v>
      </c>
      <c r="C242" s="51" t="s">
        <v>567</v>
      </c>
      <c r="D242" s="51" t="s">
        <v>63</v>
      </c>
      <c r="E242" s="51" t="s">
        <v>255</v>
      </c>
      <c r="F242" s="51">
        <v>1</v>
      </c>
      <c r="G242" s="51" t="s">
        <v>197</v>
      </c>
      <c r="H242" s="51" t="s">
        <v>248</v>
      </c>
      <c r="I242" s="51" t="s">
        <v>446</v>
      </c>
      <c r="J242" s="51" t="s">
        <v>244</v>
      </c>
      <c r="K242" s="51" t="s">
        <v>205</v>
      </c>
      <c r="L242" s="51" t="s">
        <v>651</v>
      </c>
      <c r="M242" s="52">
        <v>46239</v>
      </c>
      <c r="N242" s="52">
        <v>46233</v>
      </c>
      <c r="O242" s="52">
        <v>46270</v>
      </c>
      <c r="P242" s="51" t="s">
        <v>56</v>
      </c>
      <c r="Q242" s="51" t="s">
        <v>56</v>
      </c>
      <c r="R242" s="51" t="s">
        <v>365</v>
      </c>
      <c r="S242" s="51" t="s">
        <v>221</v>
      </c>
      <c r="T242" s="51" t="s">
        <v>220</v>
      </c>
      <c r="U242" s="51" t="s">
        <v>224</v>
      </c>
      <c r="V242" s="51"/>
      <c r="W242" s="51"/>
      <c r="X242" s="51"/>
      <c r="Y242" s="51"/>
      <c r="Z242" s="51"/>
      <c r="AA242" s="51" t="s">
        <v>196</v>
      </c>
      <c r="AB242" s="51"/>
    </row>
    <row r="243" spans="1:28" ht="20.100000000000001" hidden="1" customHeight="1" x14ac:dyDescent="0.25">
      <c r="A243" s="51">
        <v>1043</v>
      </c>
      <c r="B243" s="51" t="s">
        <v>63</v>
      </c>
      <c r="C243" s="51" t="s">
        <v>567</v>
      </c>
      <c r="D243" s="51">
        <v>6920</v>
      </c>
      <c r="E243" s="51" t="s">
        <v>255</v>
      </c>
      <c r="F243" s="51">
        <v>1</v>
      </c>
      <c r="G243" s="51" t="s">
        <v>197</v>
      </c>
      <c r="H243" s="51" t="s">
        <v>249</v>
      </c>
      <c r="I243" s="51" t="s">
        <v>369</v>
      </c>
      <c r="J243" s="51" t="s">
        <v>244</v>
      </c>
      <c r="K243" s="51" t="s">
        <v>193</v>
      </c>
      <c r="L243" s="51" t="s">
        <v>652</v>
      </c>
      <c r="M243" s="51" t="s">
        <v>63</v>
      </c>
      <c r="N243" s="52">
        <v>46233</v>
      </c>
      <c r="O243" s="52">
        <v>46275</v>
      </c>
      <c r="P243" s="52">
        <v>46388</v>
      </c>
      <c r="Q243" s="51" t="s">
        <v>58</v>
      </c>
      <c r="R243" s="51" t="s">
        <v>220</v>
      </c>
      <c r="S243" s="51" t="s">
        <v>222</v>
      </c>
      <c r="T243" s="51" t="s">
        <v>223</v>
      </c>
      <c r="U243" s="51" t="s">
        <v>225</v>
      </c>
      <c r="V243" s="51" t="s">
        <v>226</v>
      </c>
      <c r="W243" s="51" t="s">
        <v>227</v>
      </c>
      <c r="X243" s="51" t="s">
        <v>224</v>
      </c>
      <c r="Y243" s="51" t="s">
        <v>228</v>
      </c>
      <c r="Z243" s="51" t="s">
        <v>229</v>
      </c>
      <c r="AA243" s="51" t="s">
        <v>196</v>
      </c>
      <c r="AB243" s="51"/>
    </row>
    <row r="244" spans="1:28" ht="20.100000000000001" hidden="1" customHeight="1" x14ac:dyDescent="0.25">
      <c r="A244" s="51">
        <v>1055</v>
      </c>
      <c r="B244" s="51" t="s">
        <v>63</v>
      </c>
      <c r="C244" s="51" t="s">
        <v>678</v>
      </c>
      <c r="D244" s="51" t="s">
        <v>63</v>
      </c>
      <c r="E244" s="51" t="s">
        <v>255</v>
      </c>
      <c r="F244" s="51">
        <v>1</v>
      </c>
      <c r="G244" s="51">
        <v>2000</v>
      </c>
      <c r="H244" s="51" t="s">
        <v>248</v>
      </c>
      <c r="I244" s="51" t="s">
        <v>367</v>
      </c>
      <c r="J244" s="51" t="s">
        <v>200</v>
      </c>
      <c r="K244" s="51" t="s">
        <v>205</v>
      </c>
      <c r="L244" s="51">
        <v>60</v>
      </c>
      <c r="M244" s="51" t="s">
        <v>63</v>
      </c>
      <c r="N244" s="51" t="s">
        <v>63</v>
      </c>
      <c r="O244" s="52">
        <v>46290</v>
      </c>
      <c r="P244" s="52">
        <v>46264</v>
      </c>
      <c r="Q244" s="51" t="s">
        <v>58</v>
      </c>
      <c r="R244" s="51" t="s">
        <v>365</v>
      </c>
      <c r="S244" s="51" t="s">
        <v>221</v>
      </c>
      <c r="T244" s="51" t="s">
        <v>220</v>
      </c>
      <c r="U244" s="51" t="s">
        <v>224</v>
      </c>
      <c r="V244" s="51"/>
      <c r="W244" s="51"/>
      <c r="X244" s="51"/>
      <c r="Y244" s="51"/>
      <c r="Z244" s="51"/>
      <c r="AA244" s="51" t="s">
        <v>196</v>
      </c>
      <c r="AB244" s="51"/>
    </row>
    <row r="245" spans="1:28" ht="20.100000000000001" hidden="1" customHeight="1" x14ac:dyDescent="0.25">
      <c r="A245" s="51">
        <v>1055</v>
      </c>
      <c r="B245" s="51" t="s">
        <v>63</v>
      </c>
      <c r="C245" s="51" t="s">
        <v>678</v>
      </c>
      <c r="D245" s="51"/>
      <c r="E245" s="51" t="s">
        <v>255</v>
      </c>
      <c r="F245" s="51">
        <v>1</v>
      </c>
      <c r="G245" s="51">
        <v>2000</v>
      </c>
      <c r="H245" s="51" t="s">
        <v>249</v>
      </c>
      <c r="I245" s="51" t="s">
        <v>684</v>
      </c>
      <c r="J245" s="51" t="s">
        <v>200</v>
      </c>
      <c r="K245" s="51" t="s">
        <v>193</v>
      </c>
      <c r="L245" s="51">
        <v>61</v>
      </c>
      <c r="M245" s="52">
        <v>46282</v>
      </c>
      <c r="N245" s="51" t="s">
        <v>63</v>
      </c>
      <c r="O245" s="52">
        <v>46304</v>
      </c>
      <c r="P245" s="52">
        <v>46264</v>
      </c>
      <c r="Q245" s="51" t="s">
        <v>58</v>
      </c>
      <c r="R245" s="51" t="s">
        <v>220</v>
      </c>
      <c r="S245" s="51" t="s">
        <v>222</v>
      </c>
      <c r="T245" s="51" t="s">
        <v>223</v>
      </c>
      <c r="U245" s="51" t="s">
        <v>225</v>
      </c>
      <c r="V245" s="51" t="s">
        <v>226</v>
      </c>
      <c r="W245" s="51" t="s">
        <v>227</v>
      </c>
      <c r="X245" s="51" t="s">
        <v>224</v>
      </c>
      <c r="Y245" s="51" t="s">
        <v>228</v>
      </c>
      <c r="Z245" s="51" t="s">
        <v>229</v>
      </c>
      <c r="AA245" s="51" t="s">
        <v>48</v>
      </c>
      <c r="AB245" s="51"/>
    </row>
    <row r="246" spans="1:28" ht="20.100000000000001" hidden="1" customHeight="1" x14ac:dyDescent="0.25">
      <c r="A246" s="51">
        <v>1055</v>
      </c>
      <c r="B246" s="51" t="s">
        <v>63</v>
      </c>
      <c r="C246" s="51" t="s">
        <v>678</v>
      </c>
      <c r="D246" s="51"/>
      <c r="E246" s="51" t="s">
        <v>255</v>
      </c>
      <c r="F246" s="51">
        <v>1</v>
      </c>
      <c r="G246" s="51">
        <v>2000</v>
      </c>
      <c r="H246" s="51" t="s">
        <v>248</v>
      </c>
      <c r="I246" s="51" t="s">
        <v>250</v>
      </c>
      <c r="J246" s="51" t="s">
        <v>200</v>
      </c>
      <c r="K246" s="51" t="s">
        <v>193</v>
      </c>
      <c r="L246" s="51" t="s">
        <v>685</v>
      </c>
      <c r="M246" s="52">
        <v>46282</v>
      </c>
      <c r="N246" s="51" t="s">
        <v>63</v>
      </c>
      <c r="O246" s="52">
        <v>46411</v>
      </c>
      <c r="P246" s="52">
        <v>46264</v>
      </c>
      <c r="Q246" s="51" t="s">
        <v>58</v>
      </c>
      <c r="R246" s="51" t="s">
        <v>687</v>
      </c>
      <c r="S246" s="51" t="s">
        <v>220</v>
      </c>
      <c r="T246" s="51" t="s">
        <v>224</v>
      </c>
      <c r="U246" s="51"/>
      <c r="V246" s="51"/>
      <c r="W246" s="51"/>
      <c r="X246" s="51"/>
      <c r="Y246" s="51"/>
      <c r="Z246" s="51"/>
      <c r="AA246" s="51" t="s">
        <v>48</v>
      </c>
      <c r="AB246" s="51"/>
    </row>
    <row r="247" spans="1:28" ht="20.100000000000001" hidden="1" customHeight="1" x14ac:dyDescent="0.25">
      <c r="A247" s="51">
        <v>1055</v>
      </c>
      <c r="B247" s="51" t="s">
        <v>63</v>
      </c>
      <c r="C247" s="51" t="s">
        <v>678</v>
      </c>
      <c r="D247" s="51" t="s">
        <v>63</v>
      </c>
      <c r="E247" s="51" t="s">
        <v>255</v>
      </c>
      <c r="F247" s="51">
        <v>1</v>
      </c>
      <c r="G247" s="51">
        <v>2000</v>
      </c>
      <c r="H247" s="51" t="s">
        <v>248</v>
      </c>
      <c r="I247" s="51" t="s">
        <v>369</v>
      </c>
      <c r="J247" s="51" t="s">
        <v>200</v>
      </c>
      <c r="K247" s="51" t="s">
        <v>205</v>
      </c>
      <c r="L247" s="51">
        <v>58</v>
      </c>
      <c r="M247" s="51" t="s">
        <v>63</v>
      </c>
      <c r="N247" s="51" t="s">
        <v>63</v>
      </c>
      <c r="O247" s="52">
        <v>46417</v>
      </c>
      <c r="P247" s="52">
        <v>46264</v>
      </c>
      <c r="Q247" s="51" t="s">
        <v>58</v>
      </c>
      <c r="R247" s="51" t="s">
        <v>365</v>
      </c>
      <c r="S247" s="51" t="s">
        <v>221</v>
      </c>
      <c r="T247" s="51" t="s">
        <v>220</v>
      </c>
      <c r="U247" s="51" t="s">
        <v>224</v>
      </c>
      <c r="V247" s="51"/>
      <c r="W247" s="51"/>
      <c r="X247" s="51"/>
      <c r="Y247" s="51"/>
      <c r="Z247" s="51"/>
      <c r="AA247" s="51" t="s">
        <v>196</v>
      </c>
      <c r="AB247" s="51"/>
    </row>
    <row r="248" spans="1:28" ht="20.100000000000001" hidden="1" customHeight="1" x14ac:dyDescent="0.25">
      <c r="A248" s="51">
        <v>1055</v>
      </c>
      <c r="B248" s="51" t="s">
        <v>63</v>
      </c>
      <c r="C248" s="51" t="s">
        <v>678</v>
      </c>
      <c r="D248" s="51" t="s">
        <v>63</v>
      </c>
      <c r="E248" s="51" t="s">
        <v>255</v>
      </c>
      <c r="F248" s="51">
        <v>1</v>
      </c>
      <c r="G248" s="51">
        <v>1700</v>
      </c>
      <c r="H248" s="51" t="s">
        <v>248</v>
      </c>
      <c r="I248" s="51" t="s">
        <v>367</v>
      </c>
      <c r="J248" s="51" t="s">
        <v>201</v>
      </c>
      <c r="K248" s="51" t="s">
        <v>205</v>
      </c>
      <c r="L248" s="51">
        <v>2</v>
      </c>
      <c r="M248" s="51" t="s">
        <v>63</v>
      </c>
      <c r="N248" s="51" t="s">
        <v>63</v>
      </c>
      <c r="O248" s="52">
        <v>46290</v>
      </c>
      <c r="P248" s="52">
        <v>46264</v>
      </c>
      <c r="Q248" s="51" t="s">
        <v>58</v>
      </c>
      <c r="R248" s="51" t="s">
        <v>365</v>
      </c>
      <c r="S248" s="51" t="s">
        <v>221</v>
      </c>
      <c r="T248" s="51" t="s">
        <v>220</v>
      </c>
      <c r="U248" s="51" t="s">
        <v>224</v>
      </c>
      <c r="V248" s="51"/>
      <c r="W248" s="51"/>
      <c r="X248" s="51"/>
      <c r="Y248" s="51"/>
      <c r="Z248" s="51"/>
      <c r="AA248" s="51" t="s">
        <v>196</v>
      </c>
      <c r="AB248" s="51"/>
    </row>
    <row r="249" spans="1:28" ht="20.100000000000001" hidden="1" customHeight="1" x14ac:dyDescent="0.25">
      <c r="A249" s="51">
        <v>1055</v>
      </c>
      <c r="B249" s="51" t="s">
        <v>63</v>
      </c>
      <c r="C249" s="51" t="s">
        <v>678</v>
      </c>
      <c r="D249" s="51"/>
      <c r="E249" s="51" t="s">
        <v>255</v>
      </c>
      <c r="F249" s="51">
        <v>1</v>
      </c>
      <c r="G249" s="51">
        <v>1700</v>
      </c>
      <c r="H249" s="51" t="s">
        <v>249</v>
      </c>
      <c r="I249" s="51" t="s">
        <v>684</v>
      </c>
      <c r="J249" s="51" t="s">
        <v>201</v>
      </c>
      <c r="K249" s="51" t="s">
        <v>193</v>
      </c>
      <c r="L249" s="51">
        <v>20</v>
      </c>
      <c r="M249" s="52">
        <v>46282</v>
      </c>
      <c r="N249" s="51" t="s">
        <v>63</v>
      </c>
      <c r="O249" s="52">
        <v>46311</v>
      </c>
      <c r="P249" s="52">
        <v>46264</v>
      </c>
      <c r="Q249" s="51" t="s">
        <v>58</v>
      </c>
      <c r="R249" s="51" t="s">
        <v>220</v>
      </c>
      <c r="S249" s="51" t="s">
        <v>222</v>
      </c>
      <c r="T249" s="51" t="s">
        <v>223</v>
      </c>
      <c r="U249" s="51" t="s">
        <v>225</v>
      </c>
      <c r="V249" s="51" t="s">
        <v>226</v>
      </c>
      <c r="W249" s="51" t="s">
        <v>227</v>
      </c>
      <c r="X249" s="51" t="s">
        <v>224</v>
      </c>
      <c r="Y249" s="51" t="s">
        <v>228</v>
      </c>
      <c r="Z249" s="51" t="s">
        <v>229</v>
      </c>
      <c r="AA249" s="51" t="s">
        <v>48</v>
      </c>
      <c r="AB249" s="51"/>
    </row>
    <row r="250" spans="1:28" ht="20.100000000000001" hidden="1" customHeight="1" x14ac:dyDescent="0.25">
      <c r="A250" s="51">
        <v>1055</v>
      </c>
      <c r="B250" s="51" t="s">
        <v>63</v>
      </c>
      <c r="C250" s="51" t="s">
        <v>678</v>
      </c>
      <c r="D250" s="51"/>
      <c r="E250" s="51" t="s">
        <v>255</v>
      </c>
      <c r="F250" s="51">
        <v>1</v>
      </c>
      <c r="G250" s="51">
        <v>1700</v>
      </c>
      <c r="H250" s="51" t="s">
        <v>248</v>
      </c>
      <c r="I250" s="51" t="s">
        <v>250</v>
      </c>
      <c r="J250" s="51" t="s">
        <v>201</v>
      </c>
      <c r="K250" s="51" t="s">
        <v>193</v>
      </c>
      <c r="L250" s="51" t="s">
        <v>686</v>
      </c>
      <c r="M250" s="52">
        <v>46282</v>
      </c>
      <c r="N250" s="51" t="s">
        <v>63</v>
      </c>
      <c r="O250" s="52">
        <v>46415</v>
      </c>
      <c r="P250" s="52">
        <v>46264</v>
      </c>
      <c r="Q250" s="51" t="s">
        <v>58</v>
      </c>
      <c r="R250" s="51" t="s">
        <v>687</v>
      </c>
      <c r="S250" s="51" t="s">
        <v>220</v>
      </c>
      <c r="T250" s="51" t="s">
        <v>224</v>
      </c>
      <c r="U250" s="51"/>
      <c r="V250" s="51"/>
      <c r="W250" s="51"/>
      <c r="X250" s="51"/>
      <c r="Y250" s="51"/>
      <c r="Z250" s="51"/>
      <c r="AA250" s="51" t="s">
        <v>48</v>
      </c>
      <c r="AB250" s="51"/>
    </row>
    <row r="251" spans="1:28" ht="20.100000000000001" hidden="1" customHeight="1" x14ac:dyDescent="0.25">
      <c r="A251" s="51">
        <v>1055</v>
      </c>
      <c r="B251" s="51" t="s">
        <v>63</v>
      </c>
      <c r="C251" s="51" t="s">
        <v>678</v>
      </c>
      <c r="D251" s="51" t="s">
        <v>63</v>
      </c>
      <c r="E251" s="51" t="s">
        <v>255</v>
      </c>
      <c r="F251" s="51">
        <v>1</v>
      </c>
      <c r="G251" s="51">
        <v>1700</v>
      </c>
      <c r="H251" s="51" t="s">
        <v>248</v>
      </c>
      <c r="I251" s="51" t="s">
        <v>369</v>
      </c>
      <c r="J251" s="51" t="s">
        <v>201</v>
      </c>
      <c r="K251" s="51" t="s">
        <v>205</v>
      </c>
      <c r="L251" s="51">
        <v>19</v>
      </c>
      <c r="M251" s="51" t="s">
        <v>63</v>
      </c>
      <c r="N251" s="51" t="s">
        <v>63</v>
      </c>
      <c r="O251" s="52">
        <v>46419</v>
      </c>
      <c r="P251" s="52">
        <v>46264</v>
      </c>
      <c r="Q251" s="51" t="s">
        <v>58</v>
      </c>
      <c r="R251" s="51" t="s">
        <v>365</v>
      </c>
      <c r="S251" s="51" t="s">
        <v>221</v>
      </c>
      <c r="T251" s="51" t="s">
        <v>220</v>
      </c>
      <c r="U251" s="51" t="s">
        <v>224</v>
      </c>
      <c r="V251" s="51"/>
      <c r="W251" s="51"/>
      <c r="X251" s="51"/>
      <c r="Y251" s="51"/>
      <c r="Z251" s="51"/>
      <c r="AA251" s="51" t="s">
        <v>196</v>
      </c>
      <c r="AB251" s="51"/>
    </row>
    <row r="252" spans="1:28" ht="20.100000000000001" hidden="1" customHeight="1" x14ac:dyDescent="0.25">
      <c r="A252" s="51">
        <v>1055</v>
      </c>
      <c r="B252" s="51" t="s">
        <v>63</v>
      </c>
      <c r="C252" s="51" t="s">
        <v>678</v>
      </c>
      <c r="D252" s="51" t="s">
        <v>63</v>
      </c>
      <c r="E252" s="51" t="s">
        <v>255</v>
      </c>
      <c r="F252" s="51">
        <v>1</v>
      </c>
      <c r="G252" s="51">
        <v>1700</v>
      </c>
      <c r="H252" s="51" t="s">
        <v>248</v>
      </c>
      <c r="I252" s="51" t="s">
        <v>367</v>
      </c>
      <c r="J252" s="51" t="s">
        <v>202</v>
      </c>
      <c r="K252" s="51" t="s">
        <v>205</v>
      </c>
      <c r="L252" s="51">
        <v>16</v>
      </c>
      <c r="M252" s="51" t="s">
        <v>63</v>
      </c>
      <c r="N252" s="51" t="s">
        <v>63</v>
      </c>
      <c r="O252" s="52">
        <v>46297</v>
      </c>
      <c r="P252" s="52">
        <v>46264</v>
      </c>
      <c r="Q252" s="51" t="s">
        <v>58</v>
      </c>
      <c r="R252" s="51" t="s">
        <v>365</v>
      </c>
      <c r="S252" s="51" t="s">
        <v>221</v>
      </c>
      <c r="T252" s="51" t="s">
        <v>220</v>
      </c>
      <c r="U252" s="51" t="s">
        <v>224</v>
      </c>
      <c r="V252" s="51"/>
      <c r="W252" s="51"/>
      <c r="X252" s="51"/>
      <c r="Y252" s="51"/>
      <c r="Z252" s="51"/>
      <c r="AA252" s="51" t="s">
        <v>196</v>
      </c>
      <c r="AB252" s="51"/>
    </row>
    <row r="253" spans="1:28" ht="20.100000000000001" hidden="1" customHeight="1" x14ac:dyDescent="0.25">
      <c r="A253" s="51">
        <v>1055</v>
      </c>
      <c r="B253" s="51" t="s">
        <v>63</v>
      </c>
      <c r="C253" s="51" t="s">
        <v>678</v>
      </c>
      <c r="D253" s="51"/>
      <c r="E253" s="51" t="s">
        <v>255</v>
      </c>
      <c r="F253" s="51">
        <v>1</v>
      </c>
      <c r="G253" s="51">
        <v>1700</v>
      </c>
      <c r="H253" s="51" t="s">
        <v>248</v>
      </c>
      <c r="I253" s="51" t="s">
        <v>684</v>
      </c>
      <c r="J253" s="51" t="s">
        <v>202</v>
      </c>
      <c r="K253" s="51" t="s">
        <v>193</v>
      </c>
      <c r="L253" s="51">
        <v>5</v>
      </c>
      <c r="M253" s="52">
        <v>46282</v>
      </c>
      <c r="N253" s="51" t="s">
        <v>63</v>
      </c>
      <c r="O253" s="52">
        <v>46311</v>
      </c>
      <c r="P253" s="52">
        <v>46264</v>
      </c>
      <c r="Q253" s="51" t="s">
        <v>58</v>
      </c>
      <c r="R253" s="51" t="s">
        <v>220</v>
      </c>
      <c r="S253" s="51" t="s">
        <v>223</v>
      </c>
      <c r="T253" s="51" t="s">
        <v>224</v>
      </c>
      <c r="U253" s="51"/>
      <c r="V253" s="51"/>
      <c r="W253" s="51"/>
      <c r="X253" s="51"/>
      <c r="Y253" s="51"/>
      <c r="Z253" s="51"/>
      <c r="AA253" s="51" t="s">
        <v>48</v>
      </c>
      <c r="AB253" s="51"/>
    </row>
    <row r="254" spans="1:28" ht="20.100000000000001" hidden="1" customHeight="1" x14ac:dyDescent="0.25">
      <c r="A254" s="51">
        <v>1055</v>
      </c>
      <c r="B254" s="51" t="s">
        <v>63</v>
      </c>
      <c r="C254" s="51" t="s">
        <v>678</v>
      </c>
      <c r="D254" s="51" t="s">
        <v>63</v>
      </c>
      <c r="E254" s="51" t="s">
        <v>255</v>
      </c>
      <c r="F254" s="51">
        <v>1</v>
      </c>
      <c r="G254" s="51">
        <v>1700</v>
      </c>
      <c r="H254" s="51" t="s">
        <v>248</v>
      </c>
      <c r="I254" s="51" t="s">
        <v>369</v>
      </c>
      <c r="J254" s="51" t="s">
        <v>202</v>
      </c>
      <c r="K254" s="51" t="s">
        <v>205</v>
      </c>
      <c r="L254" s="51">
        <v>18</v>
      </c>
      <c r="M254" s="51" t="s">
        <v>63</v>
      </c>
      <c r="N254" s="51" t="s">
        <v>63</v>
      </c>
      <c r="O254" s="52">
        <v>46422</v>
      </c>
      <c r="P254" s="52">
        <v>46264</v>
      </c>
      <c r="Q254" s="51" t="s">
        <v>58</v>
      </c>
      <c r="R254" s="51" t="s">
        <v>365</v>
      </c>
      <c r="S254" s="51" t="s">
        <v>221</v>
      </c>
      <c r="T254" s="51" t="s">
        <v>220</v>
      </c>
      <c r="U254" s="51" t="s">
        <v>224</v>
      </c>
      <c r="V254" s="51"/>
      <c r="W254" s="51"/>
      <c r="X254" s="51"/>
      <c r="Y254" s="51"/>
      <c r="Z254" s="51"/>
      <c r="AA254" s="51" t="s">
        <v>196</v>
      </c>
      <c r="AB254" s="51"/>
    </row>
    <row r="255" spans="1:28" ht="20.100000000000001" hidden="1" customHeight="1" x14ac:dyDescent="0.25">
      <c r="A255" s="51">
        <v>1055</v>
      </c>
      <c r="B255" s="51" t="s">
        <v>63</v>
      </c>
      <c r="C255" s="51" t="s">
        <v>678</v>
      </c>
      <c r="D255" s="51" t="s">
        <v>63</v>
      </c>
      <c r="E255" s="51" t="s">
        <v>255</v>
      </c>
      <c r="F255" s="51">
        <v>1</v>
      </c>
      <c r="G255" s="51">
        <v>1700</v>
      </c>
      <c r="H255" s="51" t="s">
        <v>248</v>
      </c>
      <c r="I255" s="51" t="s">
        <v>367</v>
      </c>
      <c r="J255" s="51" t="s">
        <v>203</v>
      </c>
      <c r="K255" s="51" t="s">
        <v>205</v>
      </c>
      <c r="L255" s="51">
        <v>17</v>
      </c>
      <c r="M255" s="51" t="s">
        <v>63</v>
      </c>
      <c r="N255" s="51" t="s">
        <v>63</v>
      </c>
      <c r="O255" s="52">
        <v>46297</v>
      </c>
      <c r="P255" s="52">
        <v>46264</v>
      </c>
      <c r="Q255" s="51" t="s">
        <v>58</v>
      </c>
      <c r="R255" s="51" t="s">
        <v>365</v>
      </c>
      <c r="S255" s="51" t="s">
        <v>221</v>
      </c>
      <c r="T255" s="51" t="s">
        <v>220</v>
      </c>
      <c r="U255" s="51" t="s">
        <v>224</v>
      </c>
      <c r="V255" s="51"/>
      <c r="W255" s="51"/>
      <c r="X255" s="51"/>
      <c r="Y255" s="51"/>
      <c r="Z255" s="51"/>
      <c r="AA255" s="51" t="s">
        <v>196</v>
      </c>
      <c r="AB255" s="51"/>
    </row>
    <row r="256" spans="1:28" ht="20.100000000000001" hidden="1" customHeight="1" x14ac:dyDescent="0.25">
      <c r="A256" s="51">
        <v>1055</v>
      </c>
      <c r="B256" s="51" t="s">
        <v>63</v>
      </c>
      <c r="C256" s="51" t="s">
        <v>678</v>
      </c>
      <c r="D256" s="51"/>
      <c r="E256" s="51" t="s">
        <v>255</v>
      </c>
      <c r="F256" s="51">
        <v>1</v>
      </c>
      <c r="G256" s="51">
        <v>1700</v>
      </c>
      <c r="H256" s="51" t="s">
        <v>248</v>
      </c>
      <c r="I256" s="51" t="s">
        <v>684</v>
      </c>
      <c r="J256" s="51" t="s">
        <v>203</v>
      </c>
      <c r="K256" s="51" t="s">
        <v>193</v>
      </c>
      <c r="L256" s="51">
        <v>10</v>
      </c>
      <c r="M256" s="52">
        <v>46282</v>
      </c>
      <c r="N256" s="51" t="s">
        <v>63</v>
      </c>
      <c r="O256" s="52">
        <v>46318</v>
      </c>
      <c r="P256" s="52">
        <v>46264</v>
      </c>
      <c r="Q256" s="51" t="s">
        <v>58</v>
      </c>
      <c r="R256" s="51" t="s">
        <v>220</v>
      </c>
      <c r="S256" s="51" t="s">
        <v>223</v>
      </c>
      <c r="T256" s="51" t="s">
        <v>224</v>
      </c>
      <c r="U256" s="51"/>
      <c r="V256" s="51"/>
      <c r="W256" s="51"/>
      <c r="X256" s="51"/>
      <c r="Y256" s="51"/>
      <c r="Z256" s="51"/>
      <c r="AA256" s="51" t="s">
        <v>48</v>
      </c>
      <c r="AB256" s="51"/>
    </row>
    <row r="257" spans="1:28" ht="20.100000000000001" hidden="1" customHeight="1" x14ac:dyDescent="0.25">
      <c r="A257" s="51">
        <v>1055</v>
      </c>
      <c r="B257" s="51" t="s">
        <v>63</v>
      </c>
      <c r="C257" s="51" t="s">
        <v>678</v>
      </c>
      <c r="D257" s="51" t="s">
        <v>63</v>
      </c>
      <c r="E257" s="51" t="s">
        <v>255</v>
      </c>
      <c r="F257" s="51">
        <v>1</v>
      </c>
      <c r="G257" s="51">
        <v>1700</v>
      </c>
      <c r="H257" s="51" t="s">
        <v>248</v>
      </c>
      <c r="I257" s="51" t="s">
        <v>369</v>
      </c>
      <c r="J257" s="51" t="s">
        <v>203</v>
      </c>
      <c r="K257" s="51" t="s">
        <v>205</v>
      </c>
      <c r="L257" s="51">
        <v>4</v>
      </c>
      <c r="M257" s="51" t="s">
        <v>63</v>
      </c>
      <c r="N257" s="51" t="s">
        <v>63</v>
      </c>
      <c r="O257" s="52">
        <v>46424</v>
      </c>
      <c r="P257" s="52">
        <v>46264</v>
      </c>
      <c r="Q257" s="51" t="s">
        <v>58</v>
      </c>
      <c r="R257" s="51" t="s">
        <v>365</v>
      </c>
      <c r="S257" s="51" t="s">
        <v>221</v>
      </c>
      <c r="T257" s="51" t="s">
        <v>220</v>
      </c>
      <c r="U257" s="51" t="s">
        <v>224</v>
      </c>
      <c r="V257" s="51"/>
      <c r="W257" s="51"/>
      <c r="X257" s="51"/>
      <c r="Y257" s="51"/>
      <c r="Z257" s="51"/>
      <c r="AA257" s="51" t="s">
        <v>196</v>
      </c>
      <c r="AB257" s="51"/>
    </row>
    <row r="258" spans="1:28" ht="20.100000000000001" hidden="1" customHeight="1" x14ac:dyDescent="0.25">
      <c r="A258" s="51">
        <v>1055</v>
      </c>
      <c r="B258" s="51" t="s">
        <v>63</v>
      </c>
      <c r="C258" s="51" t="s">
        <v>678</v>
      </c>
      <c r="D258" s="51" t="s">
        <v>63</v>
      </c>
      <c r="E258" s="51" t="s">
        <v>255</v>
      </c>
      <c r="F258" s="51">
        <v>1</v>
      </c>
      <c r="G258" s="51">
        <v>1700</v>
      </c>
      <c r="H258" s="51" t="s">
        <v>248</v>
      </c>
      <c r="I258" s="51" t="s">
        <v>367</v>
      </c>
      <c r="J258" s="51" t="s">
        <v>204</v>
      </c>
      <c r="K258" s="51" t="s">
        <v>205</v>
      </c>
      <c r="L258" s="51">
        <v>21</v>
      </c>
      <c r="M258" s="51" t="s">
        <v>63</v>
      </c>
      <c r="N258" s="51" t="s">
        <v>63</v>
      </c>
      <c r="O258" s="52">
        <v>46304</v>
      </c>
      <c r="P258" s="52">
        <v>46264</v>
      </c>
      <c r="Q258" s="51" t="s">
        <v>58</v>
      </c>
      <c r="R258" s="51" t="s">
        <v>365</v>
      </c>
      <c r="S258" s="51" t="s">
        <v>221</v>
      </c>
      <c r="T258" s="51" t="s">
        <v>220</v>
      </c>
      <c r="U258" s="51" t="s">
        <v>224</v>
      </c>
      <c r="V258" s="51"/>
      <c r="W258" s="51"/>
      <c r="X258" s="51"/>
      <c r="Y258" s="51"/>
      <c r="Z258" s="51"/>
      <c r="AA258" s="51" t="s">
        <v>196</v>
      </c>
      <c r="AB258" s="51"/>
    </row>
    <row r="259" spans="1:28" ht="20.100000000000001" hidden="1" customHeight="1" x14ac:dyDescent="0.25">
      <c r="A259" s="51">
        <v>1055</v>
      </c>
      <c r="B259" s="51" t="s">
        <v>63</v>
      </c>
      <c r="C259" s="51" t="s">
        <v>678</v>
      </c>
      <c r="D259" s="51"/>
      <c r="E259" s="51" t="s">
        <v>255</v>
      </c>
      <c r="F259" s="51">
        <v>1</v>
      </c>
      <c r="G259" s="51">
        <v>1700</v>
      </c>
      <c r="H259" s="51" t="s">
        <v>248</v>
      </c>
      <c r="I259" s="51" t="s">
        <v>684</v>
      </c>
      <c r="J259" s="51" t="s">
        <v>204</v>
      </c>
      <c r="K259" s="51" t="s">
        <v>193</v>
      </c>
      <c r="L259" s="51">
        <v>23</v>
      </c>
      <c r="M259" s="52">
        <v>46282</v>
      </c>
      <c r="N259" s="51" t="s">
        <v>63</v>
      </c>
      <c r="O259" s="52">
        <v>46318</v>
      </c>
      <c r="P259" s="52">
        <v>46264</v>
      </c>
      <c r="Q259" s="51" t="s">
        <v>58</v>
      </c>
      <c r="R259" s="51" t="s">
        <v>220</v>
      </c>
      <c r="S259" s="51" t="s">
        <v>223</v>
      </c>
      <c r="T259" s="51" t="s">
        <v>224</v>
      </c>
      <c r="U259" s="51"/>
      <c r="V259" s="51"/>
      <c r="W259" s="51"/>
      <c r="X259" s="51"/>
      <c r="Y259" s="51"/>
      <c r="Z259" s="51"/>
      <c r="AA259" s="51" t="s">
        <v>48</v>
      </c>
      <c r="AB259" s="51"/>
    </row>
    <row r="260" spans="1:28" ht="20.100000000000001" hidden="1" customHeight="1" x14ac:dyDescent="0.25">
      <c r="A260" s="51">
        <v>1055</v>
      </c>
      <c r="B260" s="51" t="s">
        <v>63</v>
      </c>
      <c r="C260" s="51" t="s">
        <v>678</v>
      </c>
      <c r="D260" s="51" t="s">
        <v>63</v>
      </c>
      <c r="E260" s="51" t="s">
        <v>255</v>
      </c>
      <c r="F260" s="51">
        <v>1</v>
      </c>
      <c r="G260" s="51">
        <v>1700</v>
      </c>
      <c r="H260" s="51" t="s">
        <v>248</v>
      </c>
      <c r="I260" s="51" t="s">
        <v>369</v>
      </c>
      <c r="J260" s="51" t="s">
        <v>204</v>
      </c>
      <c r="K260" s="51" t="s">
        <v>205</v>
      </c>
      <c r="L260" s="51">
        <v>12</v>
      </c>
      <c r="M260" s="51" t="s">
        <v>63</v>
      </c>
      <c r="N260" s="51" t="s">
        <v>63</v>
      </c>
      <c r="O260" s="52">
        <v>46426</v>
      </c>
      <c r="P260" s="52">
        <v>46264</v>
      </c>
      <c r="Q260" s="51" t="s">
        <v>58</v>
      </c>
      <c r="R260" s="51" t="s">
        <v>365</v>
      </c>
      <c r="S260" s="51" t="s">
        <v>221</v>
      </c>
      <c r="T260" s="51" t="s">
        <v>220</v>
      </c>
      <c r="U260" s="51" t="s">
        <v>224</v>
      </c>
      <c r="V260" s="51"/>
      <c r="W260" s="51"/>
      <c r="X260" s="51"/>
      <c r="Y260" s="51"/>
      <c r="Z260" s="51"/>
      <c r="AA260" s="51" t="s">
        <v>196</v>
      </c>
      <c r="AB260" s="51"/>
    </row>
    <row r="261" spans="1:28" ht="20.100000000000001" hidden="1" customHeight="1" x14ac:dyDescent="0.25">
      <c r="A261" s="51">
        <v>1055</v>
      </c>
      <c r="B261" s="51" t="s">
        <v>63</v>
      </c>
      <c r="C261" s="51" t="s">
        <v>678</v>
      </c>
      <c r="D261" s="51" t="s">
        <v>63</v>
      </c>
      <c r="E261" s="51" t="s">
        <v>255</v>
      </c>
      <c r="F261" s="51">
        <v>1</v>
      </c>
      <c r="G261" s="51">
        <v>2000</v>
      </c>
      <c r="H261" s="51" t="s">
        <v>248</v>
      </c>
      <c r="I261" s="51" t="s">
        <v>367</v>
      </c>
      <c r="J261" s="51" t="s">
        <v>244</v>
      </c>
      <c r="K261" s="51" t="s">
        <v>205</v>
      </c>
      <c r="L261" s="51">
        <v>54</v>
      </c>
      <c r="M261" s="51" t="s">
        <v>63</v>
      </c>
      <c r="N261" s="51" t="s">
        <v>63</v>
      </c>
      <c r="O261" s="52">
        <v>46406</v>
      </c>
      <c r="P261" s="52">
        <v>46264</v>
      </c>
      <c r="Q261" s="51" t="s">
        <v>58</v>
      </c>
      <c r="R261" s="51" t="s">
        <v>365</v>
      </c>
      <c r="S261" s="51" t="s">
        <v>221</v>
      </c>
      <c r="T261" s="51" t="s">
        <v>220</v>
      </c>
      <c r="U261" s="51" t="s">
        <v>224</v>
      </c>
      <c r="V261" s="51"/>
      <c r="W261" s="51"/>
      <c r="X261" s="51"/>
      <c r="Y261" s="51"/>
      <c r="Z261" s="51"/>
      <c r="AA261" s="51" t="s">
        <v>196</v>
      </c>
      <c r="AB261" s="51"/>
    </row>
    <row r="262" spans="1:28" ht="20.100000000000001" hidden="1" customHeight="1" x14ac:dyDescent="0.25">
      <c r="A262" s="51">
        <v>1055</v>
      </c>
      <c r="B262" s="51" t="s">
        <v>63</v>
      </c>
      <c r="C262" s="51" t="s">
        <v>678</v>
      </c>
      <c r="D262" s="51"/>
      <c r="E262" s="51" t="s">
        <v>255</v>
      </c>
      <c r="F262" s="51">
        <v>1</v>
      </c>
      <c r="G262" s="51">
        <v>2000</v>
      </c>
      <c r="H262" s="51" t="s">
        <v>248</v>
      </c>
      <c r="I262" s="51" t="s">
        <v>684</v>
      </c>
      <c r="J262" s="51" t="s">
        <v>244</v>
      </c>
      <c r="K262" s="51" t="s">
        <v>193</v>
      </c>
      <c r="L262" s="51">
        <v>63</v>
      </c>
      <c r="M262" s="52">
        <v>46282</v>
      </c>
      <c r="N262" s="51" t="s">
        <v>63</v>
      </c>
      <c r="O262" s="52">
        <v>46409</v>
      </c>
      <c r="P262" s="52">
        <v>46264</v>
      </c>
      <c r="Q262" s="51" t="s">
        <v>58</v>
      </c>
      <c r="R262" s="51" t="s">
        <v>220</v>
      </c>
      <c r="S262" s="51" t="s">
        <v>223</v>
      </c>
      <c r="T262" s="51" t="s">
        <v>224</v>
      </c>
      <c r="U262" s="51"/>
      <c r="V262" s="51"/>
      <c r="W262" s="51"/>
      <c r="X262" s="51"/>
      <c r="Y262" s="51"/>
      <c r="Z262" s="51"/>
      <c r="AA262" s="51" t="s">
        <v>48</v>
      </c>
      <c r="AB262" s="51"/>
    </row>
    <row r="263" spans="1:28" ht="20.100000000000001" hidden="1" customHeight="1" x14ac:dyDescent="0.25">
      <c r="A263" s="51">
        <v>1055</v>
      </c>
      <c r="B263" s="51" t="s">
        <v>63</v>
      </c>
      <c r="C263" s="51" t="s">
        <v>678</v>
      </c>
      <c r="D263" s="51" t="s">
        <v>63</v>
      </c>
      <c r="E263" s="51" t="s">
        <v>255</v>
      </c>
      <c r="F263" s="51">
        <v>1</v>
      </c>
      <c r="G263" s="51">
        <v>2000</v>
      </c>
      <c r="H263" s="51" t="s">
        <v>248</v>
      </c>
      <c r="I263" s="51" t="s">
        <v>369</v>
      </c>
      <c r="J263" s="51" t="s">
        <v>244</v>
      </c>
      <c r="K263" s="51" t="s">
        <v>205</v>
      </c>
      <c r="L263" s="51">
        <v>62</v>
      </c>
      <c r="M263" s="51" t="s">
        <v>63</v>
      </c>
      <c r="N263" s="51" t="s">
        <v>63</v>
      </c>
      <c r="O263" s="52">
        <v>46429</v>
      </c>
      <c r="P263" s="52">
        <v>46264</v>
      </c>
      <c r="Q263" s="51" t="s">
        <v>58</v>
      </c>
      <c r="R263" s="51" t="s">
        <v>220</v>
      </c>
      <c r="S263" s="51" t="s">
        <v>223</v>
      </c>
      <c r="T263" s="51" t="s">
        <v>224</v>
      </c>
      <c r="U263" s="51"/>
      <c r="V263" s="51"/>
      <c r="W263" s="51"/>
      <c r="X263" s="51"/>
      <c r="Y263" s="51"/>
      <c r="Z263" s="51"/>
      <c r="AA263" s="51" t="s">
        <v>196</v>
      </c>
      <c r="AB263" s="51"/>
    </row>
    <row r="264" spans="1:28" ht="20.100000000000001" customHeight="1" x14ac:dyDescent="0.25"/>
    <row r="265" spans="1:28" ht="20.100000000000001" customHeight="1" x14ac:dyDescent="0.25"/>
    <row r="266" spans="1:28" ht="20.100000000000001" customHeight="1" x14ac:dyDescent="0.25"/>
    <row r="267" spans="1:28" ht="20.100000000000001" customHeight="1" x14ac:dyDescent="0.25"/>
    <row r="268" spans="1:28" ht="20.100000000000001" customHeight="1" x14ac:dyDescent="0.25"/>
    <row r="269" spans="1:28" ht="20.100000000000001" customHeight="1" x14ac:dyDescent="0.25"/>
    <row r="270" spans="1:28" ht="20.100000000000001" customHeight="1" x14ac:dyDescent="0.25"/>
    <row r="271" spans="1:28" ht="20.100000000000001" customHeight="1" x14ac:dyDescent="0.25"/>
    <row r="272" spans="1:28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zoomScale="90" zoomScaleNormal="90" workbookViewId="0">
      <selection activeCell="J178" sqref="J178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hidden="1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hidden="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hidden="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hidden="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hidden="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hidden="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hidden="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hidden="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hidden="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hidden="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hidden="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hidden="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hidden="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hidden="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hidden="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hidden="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hidden="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hidden="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457</v>
      </c>
      <c r="O19" s="53" t="s">
        <v>470</v>
      </c>
      <c r="P19" s="53" t="s">
        <v>220</v>
      </c>
      <c r="Q19" s="51" t="s">
        <v>471</v>
      </c>
      <c r="R19" s="51" t="s">
        <v>370</v>
      </c>
      <c r="S19" s="51"/>
      <c r="T19" s="51"/>
      <c r="U19" s="51"/>
      <c r="V19" s="51" t="s">
        <v>198</v>
      </c>
      <c r="W19" s="51" t="s">
        <v>676</v>
      </c>
    </row>
    <row r="20" spans="1:23" ht="20.100000000000001" hidden="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hidden="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hidden="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hidden="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hidden="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hidden="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hidden="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hidden="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hidden="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hidden="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hidden="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hidden="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hidden="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hidden="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hidden="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hidden="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hidden="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hidden="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hidden="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3" t="s">
        <v>447</v>
      </c>
      <c r="N38" s="53" t="s">
        <v>370</v>
      </c>
      <c r="O38" s="51"/>
      <c r="P38" s="51"/>
      <c r="Q38" s="51"/>
      <c r="R38" s="51"/>
      <c r="S38" s="51"/>
      <c r="T38" s="51"/>
      <c r="U38" s="51"/>
      <c r="V38" s="51" t="s">
        <v>322</v>
      </c>
      <c r="W38" s="51"/>
    </row>
    <row r="39" spans="1:23" ht="20.100000000000001" hidden="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469</v>
      </c>
      <c r="N39" s="51" t="s">
        <v>497</v>
      </c>
      <c r="O39" s="51" t="s">
        <v>470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hidden="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322</v>
      </c>
      <c r="W40" s="51"/>
    </row>
    <row r="41" spans="1:23" ht="20.100000000000001" hidden="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hidden="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322</v>
      </c>
      <c r="W42" s="51"/>
    </row>
    <row r="43" spans="1:23" ht="20.100000000000001" hidden="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hidden="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469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hidden="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hidden="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hidden="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hidden="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497</v>
      </c>
      <c r="O48" s="51" t="s">
        <v>470</v>
      </c>
      <c r="P48" s="51" t="s">
        <v>498</v>
      </c>
      <c r="Q48" s="51" t="s">
        <v>471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hidden="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473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hidden="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473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hidden="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hidden="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hidden="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hidden="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hidden="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hidden="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hidden="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hidden="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hidden="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hidden="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hidden="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hidden="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hidden="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hidden="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hidden="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hidden="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hidden="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hidden="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hidden="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322</v>
      </c>
      <c r="W69" s="51"/>
    </row>
    <row r="70" spans="1:23" ht="20.100000000000001" hidden="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hidden="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hidden="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hidden="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hidden="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hidden="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hidden="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457</v>
      </c>
      <c r="N76" s="53" t="s">
        <v>458</v>
      </c>
      <c r="O76" s="53" t="s">
        <v>220</v>
      </c>
      <c r="P76" s="53" t="s">
        <v>370</v>
      </c>
      <c r="Q76" s="51"/>
      <c r="R76" s="51"/>
      <c r="S76" s="51"/>
      <c r="T76" s="51"/>
      <c r="U76" s="51"/>
      <c r="V76" s="51" t="s">
        <v>252</v>
      </c>
      <c r="W76" s="51"/>
    </row>
    <row r="77" spans="1:23" ht="20.100000000000001" hidden="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3" t="s">
        <v>447</v>
      </c>
      <c r="N77" s="53" t="s">
        <v>370</v>
      </c>
      <c r="O77" s="51"/>
      <c r="P77" s="51"/>
      <c r="Q77" s="51"/>
      <c r="R77" s="51"/>
      <c r="S77" s="51"/>
      <c r="T77" s="51"/>
      <c r="U77" s="51"/>
      <c r="V77" s="51" t="s">
        <v>252</v>
      </c>
      <c r="W77" s="51"/>
    </row>
    <row r="78" spans="1:23" ht="20.100000000000001" hidden="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459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hidden="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461</v>
      </c>
      <c r="M79" s="53" t="s">
        <v>462</v>
      </c>
      <c r="N79" s="53" t="s">
        <v>370</v>
      </c>
      <c r="O79" s="51"/>
      <c r="P79" s="51"/>
      <c r="Q79" s="51"/>
      <c r="R79" s="51"/>
      <c r="S79" s="51"/>
      <c r="T79" s="51"/>
      <c r="U79" s="51"/>
      <c r="V79" s="51" t="s">
        <v>252</v>
      </c>
      <c r="W79" s="51"/>
    </row>
    <row r="80" spans="1:23" ht="20.100000000000001" hidden="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467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468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520</v>
      </c>
    </row>
    <row r="81" spans="1:23" ht="20.100000000000001" hidden="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467</v>
      </c>
      <c r="J81" s="51" t="s">
        <v>56</v>
      </c>
      <c r="K81" s="51" t="s">
        <v>56</v>
      </c>
      <c r="L81" s="51">
        <v>24</v>
      </c>
      <c r="M81" s="53" t="s">
        <v>469</v>
      </c>
      <c r="N81" s="53" t="s">
        <v>458</v>
      </c>
      <c r="O81" s="99" t="s">
        <v>220</v>
      </c>
      <c r="P81" s="51" t="s">
        <v>468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551</v>
      </c>
    </row>
    <row r="82" spans="1:23" ht="20.100000000000001" hidden="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467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462</v>
      </c>
      <c r="O82" s="53" t="s">
        <v>468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520</v>
      </c>
    </row>
    <row r="83" spans="1:23" ht="20.100000000000001" hidden="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467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468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hidden="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467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468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520</v>
      </c>
    </row>
    <row r="85" spans="1:23" ht="20.100000000000001" hidden="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467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hidden="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467</v>
      </c>
      <c r="J86" s="51" t="s">
        <v>56</v>
      </c>
      <c r="K86" s="51" t="s">
        <v>56</v>
      </c>
      <c r="L86" s="51" t="s">
        <v>463</v>
      </c>
      <c r="M86" s="53" t="s">
        <v>447</v>
      </c>
      <c r="N86" s="53" t="s">
        <v>462</v>
      </c>
      <c r="O86" s="53" t="s">
        <v>468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521</v>
      </c>
    </row>
    <row r="87" spans="1:23" ht="20.100000000000001" hidden="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467</v>
      </c>
      <c r="J87" s="51" t="s">
        <v>56</v>
      </c>
      <c r="K87" s="51" t="s">
        <v>56</v>
      </c>
      <c r="L87" s="51" t="s">
        <v>464</v>
      </c>
      <c r="M87" s="53" t="s">
        <v>447</v>
      </c>
      <c r="N87" s="53" t="s">
        <v>468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520</v>
      </c>
    </row>
    <row r="88" spans="1:23" ht="20.100000000000001" hidden="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467</v>
      </c>
      <c r="J88" s="51" t="s">
        <v>56</v>
      </c>
      <c r="K88" s="51" t="s">
        <v>56</v>
      </c>
      <c r="L88" s="51" t="s">
        <v>465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hidden="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467</v>
      </c>
      <c r="J89" s="51" t="s">
        <v>56</v>
      </c>
      <c r="K89" s="51" t="s">
        <v>56</v>
      </c>
      <c r="L89" s="51" t="s">
        <v>466</v>
      </c>
      <c r="M89" s="51" t="s">
        <v>447</v>
      </c>
      <c r="N89" s="51" t="s">
        <v>462</v>
      </c>
      <c r="O89" s="51" t="s">
        <v>468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hidden="1" customHeight="1" x14ac:dyDescent="0.25">
      <c r="A90" s="78">
        <v>1048</v>
      </c>
      <c r="B90" s="78" t="s">
        <v>63</v>
      </c>
      <c r="C90" s="51" t="s">
        <v>548</v>
      </c>
      <c r="D90" s="51" t="s">
        <v>561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550</v>
      </c>
    </row>
    <row r="91" spans="1:23" ht="20.100000000000001" hidden="1" customHeight="1" x14ac:dyDescent="0.25">
      <c r="A91" s="78">
        <v>1048</v>
      </c>
      <c r="B91" s="78" t="s">
        <v>63</v>
      </c>
      <c r="C91" s="51" t="s">
        <v>548</v>
      </c>
      <c r="D91" s="51" t="s">
        <v>561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550</v>
      </c>
    </row>
    <row r="92" spans="1:23" ht="20.100000000000001" hidden="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252</v>
      </c>
      <c r="W92" s="51" t="s">
        <v>592</v>
      </c>
    </row>
    <row r="93" spans="1:23" ht="20.100000000000001" customHeight="1" x14ac:dyDescent="0.25">
      <c r="A93" s="78">
        <v>2347</v>
      </c>
      <c r="B93" s="78" t="s">
        <v>63</v>
      </c>
      <c r="C93" s="51" t="s">
        <v>569</v>
      </c>
      <c r="D93" s="51" t="s">
        <v>562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56</v>
      </c>
      <c r="L93" s="51" t="s">
        <v>556</v>
      </c>
      <c r="M93" s="51" t="s">
        <v>559</v>
      </c>
      <c r="N93" s="51" t="s">
        <v>220</v>
      </c>
      <c r="O93" s="51" t="s">
        <v>462</v>
      </c>
      <c r="P93" s="51" t="s">
        <v>370</v>
      </c>
      <c r="Q93" s="51"/>
      <c r="R93" s="51"/>
      <c r="S93" s="51"/>
      <c r="T93" s="51"/>
      <c r="U93" s="51"/>
      <c r="V93" s="51" t="s">
        <v>198</v>
      </c>
      <c r="W93" s="51" t="s">
        <v>566</v>
      </c>
    </row>
    <row r="94" spans="1:23" ht="20.100000000000001" customHeight="1" x14ac:dyDescent="0.25">
      <c r="A94" s="78">
        <v>2347</v>
      </c>
      <c r="B94" s="78" t="s">
        <v>63</v>
      </c>
      <c r="C94" s="51" t="s">
        <v>569</v>
      </c>
      <c r="D94" s="51" t="s">
        <v>562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56</v>
      </c>
      <c r="L94" s="51" t="s">
        <v>557</v>
      </c>
      <c r="M94" s="51" t="s">
        <v>559</v>
      </c>
      <c r="N94" s="51" t="s">
        <v>220</v>
      </c>
      <c r="O94" s="51" t="s">
        <v>462</v>
      </c>
      <c r="P94" s="51" t="s">
        <v>370</v>
      </c>
      <c r="Q94" s="51"/>
      <c r="R94" s="51"/>
      <c r="S94" s="51"/>
      <c r="T94" s="51"/>
      <c r="U94" s="51"/>
      <c r="V94" s="51" t="s">
        <v>198</v>
      </c>
      <c r="W94" s="51" t="s">
        <v>566</v>
      </c>
    </row>
    <row r="95" spans="1:23" ht="20.100000000000001" customHeight="1" x14ac:dyDescent="0.25">
      <c r="A95" s="78">
        <v>2347</v>
      </c>
      <c r="B95" s="78" t="s">
        <v>63</v>
      </c>
      <c r="C95" s="51" t="s">
        <v>569</v>
      </c>
      <c r="D95" s="51" t="s">
        <v>562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56</v>
      </c>
      <c r="L95" s="51" t="s">
        <v>558</v>
      </c>
      <c r="M95" s="51" t="s">
        <v>559</v>
      </c>
      <c r="N95" s="51" t="s">
        <v>220</v>
      </c>
      <c r="O95" s="51" t="s">
        <v>462</v>
      </c>
      <c r="P95" s="51" t="s">
        <v>370</v>
      </c>
      <c r="Q95" s="51"/>
      <c r="R95" s="51"/>
      <c r="S95" s="51"/>
      <c r="T95" s="51"/>
      <c r="U95" s="51"/>
      <c r="V95" s="51" t="s">
        <v>198</v>
      </c>
      <c r="W95" s="51" t="s">
        <v>566</v>
      </c>
    </row>
    <row r="96" spans="1:23" ht="20.100000000000001" customHeight="1" x14ac:dyDescent="0.25">
      <c r="A96" s="78">
        <v>1040</v>
      </c>
      <c r="B96" s="78" t="s">
        <v>63</v>
      </c>
      <c r="C96" s="51" t="s">
        <v>569</v>
      </c>
      <c r="D96" s="51" t="s">
        <v>563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555</v>
      </c>
      <c r="M96" s="51" t="s">
        <v>447</v>
      </c>
      <c r="N96" s="51" t="s">
        <v>462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customHeight="1" x14ac:dyDescent="0.25">
      <c r="A97" s="78">
        <v>1040</v>
      </c>
      <c r="B97" s="78" t="s">
        <v>63</v>
      </c>
      <c r="C97" s="51" t="s">
        <v>569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customHeight="1" x14ac:dyDescent="0.25">
      <c r="A98" s="78">
        <v>1040</v>
      </c>
      <c r="B98" s="78" t="s">
        <v>63</v>
      </c>
      <c r="C98" s="51" t="s">
        <v>569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customHeight="1" x14ac:dyDescent="0.25">
      <c r="A99" s="78">
        <v>1040</v>
      </c>
      <c r="B99" s="78" t="s">
        <v>63</v>
      </c>
      <c r="C99" s="51" t="s">
        <v>569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customHeight="1" x14ac:dyDescent="0.25">
      <c r="A100" s="78">
        <v>1040</v>
      </c>
      <c r="B100" s="78" t="s">
        <v>63</v>
      </c>
      <c r="C100" s="51" t="s">
        <v>569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hidden="1" customHeight="1" x14ac:dyDescent="0.25">
      <c r="A101" s="78">
        <v>1041</v>
      </c>
      <c r="B101" s="78" t="s">
        <v>63</v>
      </c>
      <c r="C101" s="51" t="s">
        <v>570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571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hidden="1" customHeight="1" x14ac:dyDescent="0.25">
      <c r="A102" s="78">
        <v>1041</v>
      </c>
      <c r="B102" s="78" t="s">
        <v>63</v>
      </c>
      <c r="C102" s="51" t="s">
        <v>570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572</v>
      </c>
      <c r="M102" s="51" t="s">
        <v>447</v>
      </c>
      <c r="N102" s="51" t="s">
        <v>497</v>
      </c>
      <c r="O102" s="51" t="s">
        <v>470</v>
      </c>
      <c r="P102" s="51" t="s">
        <v>220</v>
      </c>
      <c r="Q102" s="51"/>
      <c r="R102" s="51"/>
      <c r="S102" s="51"/>
      <c r="T102" s="51"/>
      <c r="U102" s="51"/>
      <c r="V102" s="51" t="s">
        <v>198</v>
      </c>
      <c r="W102" s="51"/>
    </row>
    <row r="103" spans="1:23" ht="20.100000000000001" hidden="1" customHeight="1" x14ac:dyDescent="0.25">
      <c r="A103" s="78">
        <v>1041</v>
      </c>
      <c r="B103" s="78" t="s">
        <v>63</v>
      </c>
      <c r="C103" s="51" t="s">
        <v>570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573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hidden="1" customHeight="1" x14ac:dyDescent="0.25">
      <c r="A104" s="78">
        <v>1041</v>
      </c>
      <c r="B104" s="78" t="s">
        <v>63</v>
      </c>
      <c r="C104" s="51" t="s">
        <v>570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hidden="1" customHeight="1" x14ac:dyDescent="0.25">
      <c r="A105" s="78">
        <v>1041</v>
      </c>
      <c r="B105" s="78" t="s">
        <v>63</v>
      </c>
      <c r="C105" s="51" t="s">
        <v>570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hidden="1" customHeight="1" x14ac:dyDescent="0.25">
      <c r="A106" s="78">
        <v>1041</v>
      </c>
      <c r="B106" s="78" t="s">
        <v>63</v>
      </c>
      <c r="C106" s="51" t="s">
        <v>570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hidden="1" customHeight="1" x14ac:dyDescent="0.25">
      <c r="A107" s="78">
        <v>1041</v>
      </c>
      <c r="B107" s="78" t="s">
        <v>63</v>
      </c>
      <c r="C107" s="51" t="s">
        <v>570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hidden="1" customHeight="1" x14ac:dyDescent="0.25">
      <c r="A108" s="78">
        <v>1041</v>
      </c>
      <c r="B108" s="78" t="s">
        <v>63</v>
      </c>
      <c r="C108" s="51" t="s">
        <v>570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578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hidden="1" customHeight="1" x14ac:dyDescent="0.25">
      <c r="A109" s="78">
        <v>1041</v>
      </c>
      <c r="B109" s="78" t="s">
        <v>63</v>
      </c>
      <c r="C109" s="51" t="s">
        <v>570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hidden="1" customHeight="1" x14ac:dyDescent="0.25">
      <c r="A110" s="78">
        <v>1041</v>
      </c>
      <c r="B110" s="78" t="s">
        <v>63</v>
      </c>
      <c r="C110" s="51" t="s">
        <v>570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hidden="1" customHeight="1" x14ac:dyDescent="0.25">
      <c r="A111" s="78">
        <v>1041</v>
      </c>
      <c r="B111" s="78" t="s">
        <v>63</v>
      </c>
      <c r="C111" s="51" t="s">
        <v>570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hidden="1" customHeight="1" x14ac:dyDescent="0.25">
      <c r="A112" s="78">
        <v>1041</v>
      </c>
      <c r="B112" s="78" t="s">
        <v>63</v>
      </c>
      <c r="C112" s="51" t="s">
        <v>570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hidden="1" customHeight="1" x14ac:dyDescent="0.25">
      <c r="A113" s="78">
        <v>1041</v>
      </c>
      <c r="B113" s="78" t="s">
        <v>63</v>
      </c>
      <c r="C113" s="51" t="s">
        <v>570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hidden="1" customHeight="1" x14ac:dyDescent="0.25">
      <c r="A114" s="78">
        <v>1041</v>
      </c>
      <c r="B114" s="78" t="s">
        <v>63</v>
      </c>
      <c r="C114" s="51" t="s">
        <v>570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hidden="1" customHeight="1" x14ac:dyDescent="0.25">
      <c r="A115" s="78">
        <v>1041</v>
      </c>
      <c r="B115" s="78" t="s">
        <v>63</v>
      </c>
      <c r="C115" s="51" t="s">
        <v>570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hidden="1" customHeight="1" x14ac:dyDescent="0.25">
      <c r="A116" s="78">
        <v>1041</v>
      </c>
      <c r="B116" s="78" t="s">
        <v>63</v>
      </c>
      <c r="C116" s="51" t="s">
        <v>570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574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hidden="1" customHeight="1" x14ac:dyDescent="0.25">
      <c r="A117" s="78">
        <v>1041</v>
      </c>
      <c r="B117" s="78" t="s">
        <v>63</v>
      </c>
      <c r="C117" s="51" t="s">
        <v>570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575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hidden="1" customHeight="1" x14ac:dyDescent="0.25">
      <c r="A118" s="78">
        <v>1041</v>
      </c>
      <c r="B118" s="78" t="s">
        <v>63</v>
      </c>
      <c r="C118" s="51" t="s">
        <v>570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576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577</v>
      </c>
    </row>
    <row r="119" spans="1:23" ht="20.100000000000001" hidden="1" customHeight="1" x14ac:dyDescent="0.25">
      <c r="A119" s="78">
        <v>1053</v>
      </c>
      <c r="B119" s="78" t="s">
        <v>63</v>
      </c>
      <c r="C119" s="51" t="s">
        <v>612</v>
      </c>
      <c r="D119" s="51" t="s">
        <v>378</v>
      </c>
      <c r="E119" s="51">
        <v>1</v>
      </c>
      <c r="F119" s="51" t="s">
        <v>256</v>
      </c>
      <c r="G119" s="54" t="s">
        <v>63</v>
      </c>
      <c r="H119" s="51" t="s">
        <v>63</v>
      </c>
      <c r="I119" s="52">
        <v>46264</v>
      </c>
      <c r="J119" s="52">
        <v>46233</v>
      </c>
      <c r="K119" s="51" t="s">
        <v>56</v>
      </c>
      <c r="L119" s="51" t="s">
        <v>613</v>
      </c>
      <c r="M119" s="51" t="s">
        <v>447</v>
      </c>
      <c r="N119" s="51" t="s">
        <v>462</v>
      </c>
      <c r="O119" s="51" t="s">
        <v>370</v>
      </c>
      <c r="P119" s="51"/>
      <c r="Q119" s="51"/>
      <c r="R119" s="51"/>
      <c r="S119" s="51"/>
      <c r="T119" s="51"/>
      <c r="U119" s="51"/>
      <c r="V119" s="51" t="s">
        <v>198</v>
      </c>
      <c r="W119" s="51"/>
    </row>
    <row r="120" spans="1:23" ht="20.100000000000001" hidden="1" customHeight="1" x14ac:dyDescent="0.25">
      <c r="A120" s="78">
        <v>1053</v>
      </c>
      <c r="B120" s="78" t="s">
        <v>63</v>
      </c>
      <c r="C120" s="51" t="s">
        <v>612</v>
      </c>
      <c r="D120" s="51" t="s">
        <v>378</v>
      </c>
      <c r="E120" s="51">
        <v>1</v>
      </c>
      <c r="F120" s="51" t="s">
        <v>256</v>
      </c>
      <c r="G120" s="54" t="s">
        <v>63</v>
      </c>
      <c r="H120" s="51" t="s">
        <v>63</v>
      </c>
      <c r="I120" s="52">
        <v>46264</v>
      </c>
      <c r="J120" s="52">
        <v>46233</v>
      </c>
      <c r="K120" s="51" t="s">
        <v>56</v>
      </c>
      <c r="L120" s="51" t="s">
        <v>614</v>
      </c>
      <c r="M120" s="51" t="s">
        <v>469</v>
      </c>
      <c r="N120" s="51" t="s">
        <v>620</v>
      </c>
      <c r="O120" s="51" t="s">
        <v>220</v>
      </c>
      <c r="P120" s="51" t="s">
        <v>621</v>
      </c>
      <c r="Q120" s="51" t="s">
        <v>470</v>
      </c>
      <c r="R120" s="51" t="s">
        <v>220</v>
      </c>
      <c r="S120" s="51" t="s">
        <v>462</v>
      </c>
      <c r="T120" s="51" t="s">
        <v>370</v>
      </c>
      <c r="U120" s="51"/>
      <c r="V120" s="51" t="s">
        <v>198</v>
      </c>
      <c r="W120" s="51"/>
    </row>
    <row r="121" spans="1:23" ht="20.100000000000001" hidden="1" customHeight="1" x14ac:dyDescent="0.25">
      <c r="A121" s="78">
        <v>1053</v>
      </c>
      <c r="B121" s="78" t="s">
        <v>63</v>
      </c>
      <c r="C121" s="51" t="s">
        <v>612</v>
      </c>
      <c r="D121" s="51" t="s">
        <v>378</v>
      </c>
      <c r="E121" s="51">
        <v>1</v>
      </c>
      <c r="F121" s="51" t="s">
        <v>256</v>
      </c>
      <c r="G121" s="54" t="s">
        <v>63</v>
      </c>
      <c r="H121" s="51" t="s">
        <v>63</v>
      </c>
      <c r="I121" s="52">
        <v>46264</v>
      </c>
      <c r="J121" s="52">
        <v>46233</v>
      </c>
      <c r="K121" s="51" t="s">
        <v>56</v>
      </c>
      <c r="L121" s="51" t="s">
        <v>615</v>
      </c>
      <c r="M121" s="51" t="s">
        <v>447</v>
      </c>
      <c r="N121" s="51" t="s">
        <v>370</v>
      </c>
      <c r="O121" s="51"/>
      <c r="P121" s="51"/>
      <c r="Q121" s="51"/>
      <c r="R121" s="51"/>
      <c r="S121" s="51"/>
      <c r="T121" s="51"/>
      <c r="U121" s="51"/>
      <c r="V121" s="51" t="s">
        <v>198</v>
      </c>
      <c r="W121" s="51"/>
    </row>
    <row r="122" spans="1:23" ht="20.100000000000001" hidden="1" customHeight="1" x14ac:dyDescent="0.25">
      <c r="A122" s="78">
        <v>1053</v>
      </c>
      <c r="B122" s="78" t="s">
        <v>63</v>
      </c>
      <c r="C122" s="51" t="s">
        <v>612</v>
      </c>
      <c r="D122" s="51" t="s">
        <v>378</v>
      </c>
      <c r="E122" s="51">
        <v>1</v>
      </c>
      <c r="F122" s="51" t="s">
        <v>256</v>
      </c>
      <c r="G122" s="54" t="s">
        <v>63</v>
      </c>
      <c r="H122" s="51" t="s">
        <v>63</v>
      </c>
      <c r="I122" s="52">
        <v>46264</v>
      </c>
      <c r="J122" s="52">
        <v>46233</v>
      </c>
      <c r="K122" s="51" t="s">
        <v>56</v>
      </c>
      <c r="L122" s="51" t="s">
        <v>616</v>
      </c>
      <c r="M122" s="51" t="s">
        <v>447</v>
      </c>
      <c r="N122" s="51" t="s">
        <v>462</v>
      </c>
      <c r="O122" s="51" t="s">
        <v>370</v>
      </c>
      <c r="P122" s="51"/>
      <c r="Q122" s="51"/>
      <c r="R122" s="51"/>
      <c r="S122" s="51"/>
      <c r="T122" s="51"/>
      <c r="U122" s="51"/>
      <c r="V122" s="51" t="s">
        <v>198</v>
      </c>
      <c r="W122" s="51"/>
    </row>
    <row r="123" spans="1:23" ht="20.100000000000001" hidden="1" customHeight="1" x14ac:dyDescent="0.25">
      <c r="A123" s="78">
        <v>1053</v>
      </c>
      <c r="B123" s="78" t="s">
        <v>63</v>
      </c>
      <c r="C123" s="51" t="s">
        <v>612</v>
      </c>
      <c r="D123" s="51" t="s">
        <v>378</v>
      </c>
      <c r="E123" s="51">
        <v>1</v>
      </c>
      <c r="F123" s="51" t="s">
        <v>256</v>
      </c>
      <c r="G123" s="54" t="s">
        <v>63</v>
      </c>
      <c r="H123" s="51" t="s">
        <v>63</v>
      </c>
      <c r="I123" s="52">
        <v>46264</v>
      </c>
      <c r="J123" s="52">
        <v>46233</v>
      </c>
      <c r="K123" s="51" t="s">
        <v>56</v>
      </c>
      <c r="L123" s="51" t="s">
        <v>617</v>
      </c>
      <c r="M123" s="51" t="s">
        <v>447</v>
      </c>
      <c r="N123" s="51" t="s">
        <v>370</v>
      </c>
      <c r="O123" s="51"/>
      <c r="P123" s="51"/>
      <c r="Q123" s="51"/>
      <c r="R123" s="51"/>
      <c r="S123" s="51"/>
      <c r="T123" s="51"/>
      <c r="U123" s="51"/>
      <c r="V123" s="51" t="s">
        <v>198</v>
      </c>
      <c r="W123" s="51"/>
    </row>
    <row r="124" spans="1:23" ht="20.100000000000001" hidden="1" customHeight="1" x14ac:dyDescent="0.25">
      <c r="A124" s="78">
        <v>1053</v>
      </c>
      <c r="B124" s="78" t="s">
        <v>63</v>
      </c>
      <c r="C124" s="51" t="s">
        <v>612</v>
      </c>
      <c r="D124" s="51" t="s">
        <v>378</v>
      </c>
      <c r="E124" s="51">
        <v>1</v>
      </c>
      <c r="F124" s="51" t="s">
        <v>256</v>
      </c>
      <c r="G124" s="54" t="s">
        <v>63</v>
      </c>
      <c r="H124" s="51" t="s">
        <v>63</v>
      </c>
      <c r="I124" s="52">
        <v>46264</v>
      </c>
      <c r="J124" s="52">
        <v>46233</v>
      </c>
      <c r="K124" s="51" t="s">
        <v>56</v>
      </c>
      <c r="L124" s="51" t="s">
        <v>618</v>
      </c>
      <c r="M124" s="51" t="s">
        <v>447</v>
      </c>
      <c r="N124" s="51" t="s">
        <v>469</v>
      </c>
      <c r="O124" s="51" t="s">
        <v>370</v>
      </c>
      <c r="P124" s="51"/>
      <c r="Q124" s="51"/>
      <c r="R124" s="51"/>
      <c r="S124" s="51"/>
      <c r="T124" s="51"/>
      <c r="U124" s="51"/>
      <c r="V124" s="51" t="s">
        <v>198</v>
      </c>
      <c r="W124" s="51"/>
    </row>
    <row r="125" spans="1:23" ht="20.100000000000001" hidden="1" customHeight="1" x14ac:dyDescent="0.25">
      <c r="A125" s="78">
        <v>1053</v>
      </c>
      <c r="B125" s="78" t="s">
        <v>63</v>
      </c>
      <c r="C125" s="51" t="s">
        <v>612</v>
      </c>
      <c r="D125" s="51" t="s">
        <v>378</v>
      </c>
      <c r="E125" s="51">
        <v>1</v>
      </c>
      <c r="F125" s="51" t="s">
        <v>256</v>
      </c>
      <c r="G125" s="54" t="s">
        <v>63</v>
      </c>
      <c r="H125" s="51" t="s">
        <v>63</v>
      </c>
      <c r="I125" s="52">
        <v>46264</v>
      </c>
      <c r="J125" s="52">
        <v>46233</v>
      </c>
      <c r="K125" s="51" t="s">
        <v>56</v>
      </c>
      <c r="L125" s="51" t="s">
        <v>619</v>
      </c>
      <c r="M125" s="51" t="s">
        <v>469</v>
      </c>
      <c r="N125" s="51" t="s">
        <v>620</v>
      </c>
      <c r="O125" s="51" t="s">
        <v>220</v>
      </c>
      <c r="P125" s="51" t="s">
        <v>621</v>
      </c>
      <c r="Q125" s="51" t="s">
        <v>470</v>
      </c>
      <c r="R125" s="51" t="s">
        <v>220</v>
      </c>
      <c r="S125" s="51" t="s">
        <v>462</v>
      </c>
      <c r="T125" s="51" t="s">
        <v>370</v>
      </c>
      <c r="U125" s="51"/>
      <c r="V125" s="51" t="s">
        <v>198</v>
      </c>
      <c r="W125" s="51"/>
    </row>
    <row r="126" spans="1:23" ht="20.100000000000001" hidden="1" customHeight="1" x14ac:dyDescent="0.25">
      <c r="A126" s="78">
        <v>924</v>
      </c>
      <c r="B126" s="78" t="s">
        <v>63</v>
      </c>
      <c r="C126" s="51" t="s">
        <v>630</v>
      </c>
      <c r="D126" s="51" t="s">
        <v>631</v>
      </c>
      <c r="E126" s="51">
        <v>1</v>
      </c>
      <c r="F126" s="51" t="s">
        <v>256</v>
      </c>
      <c r="G126" s="54" t="s">
        <v>63</v>
      </c>
      <c r="H126" s="54" t="s">
        <v>63</v>
      </c>
      <c r="I126" s="52">
        <v>46264</v>
      </c>
      <c r="J126" s="51" t="s">
        <v>56</v>
      </c>
      <c r="K126" s="51" t="s">
        <v>56</v>
      </c>
      <c r="L126" s="51" t="s">
        <v>465</v>
      </c>
      <c r="M126" s="51" t="s">
        <v>447</v>
      </c>
      <c r="N126" s="51" t="s">
        <v>471</v>
      </c>
      <c r="O126" s="51" t="s">
        <v>220</v>
      </c>
      <c r="P126" s="51" t="s">
        <v>462</v>
      </c>
      <c r="Q126" s="51" t="s">
        <v>471</v>
      </c>
      <c r="R126" s="51" t="s">
        <v>370</v>
      </c>
      <c r="S126" s="51"/>
      <c r="T126" s="51"/>
      <c r="U126" s="51"/>
      <c r="V126" s="51" t="s">
        <v>198</v>
      </c>
      <c r="W126" s="51"/>
    </row>
    <row r="127" spans="1:23" ht="20.100000000000001" hidden="1" customHeight="1" x14ac:dyDescent="0.25">
      <c r="A127" s="78">
        <v>1043</v>
      </c>
      <c r="B127" s="78" t="s">
        <v>63</v>
      </c>
      <c r="C127" s="51" t="s">
        <v>567</v>
      </c>
      <c r="D127" s="51" t="s">
        <v>378</v>
      </c>
      <c r="E127" s="51">
        <v>1</v>
      </c>
      <c r="F127" s="51" t="s">
        <v>197</v>
      </c>
      <c r="G127" s="51" t="s">
        <v>367</v>
      </c>
      <c r="H127" s="51" t="s">
        <v>200</v>
      </c>
      <c r="I127" s="52">
        <v>46416</v>
      </c>
      <c r="J127" s="51" t="s">
        <v>58</v>
      </c>
      <c r="K127" s="51" t="s">
        <v>58</v>
      </c>
      <c r="L127" s="51" t="s">
        <v>635</v>
      </c>
      <c r="M127" s="51" t="s">
        <v>365</v>
      </c>
      <c r="N127" s="51" t="s">
        <v>370</v>
      </c>
      <c r="O127" s="51" t="s">
        <v>242</v>
      </c>
      <c r="P127" s="51"/>
      <c r="Q127" s="51"/>
      <c r="R127" s="51"/>
      <c r="S127" s="51"/>
      <c r="T127" s="51"/>
      <c r="U127" s="51"/>
      <c r="V127" s="51" t="s">
        <v>196</v>
      </c>
      <c r="W127" s="51"/>
    </row>
    <row r="128" spans="1:23" ht="20.100000000000001" hidden="1" customHeight="1" x14ac:dyDescent="0.25">
      <c r="A128" s="78">
        <v>1043</v>
      </c>
      <c r="B128" s="78" t="s">
        <v>63</v>
      </c>
      <c r="C128" s="51" t="s">
        <v>567</v>
      </c>
      <c r="D128" s="51" t="s">
        <v>378</v>
      </c>
      <c r="E128" s="51">
        <v>1</v>
      </c>
      <c r="F128" s="51" t="s">
        <v>197</v>
      </c>
      <c r="G128" s="51" t="s">
        <v>446</v>
      </c>
      <c r="H128" s="51" t="s">
        <v>200</v>
      </c>
      <c r="I128" s="52">
        <v>46413</v>
      </c>
      <c r="J128" s="51" t="s">
        <v>58</v>
      </c>
      <c r="K128" s="51" t="s">
        <v>58</v>
      </c>
      <c r="L128" s="51" t="s">
        <v>636</v>
      </c>
      <c r="M128" s="51" t="s">
        <v>365</v>
      </c>
      <c r="N128" s="51" t="s">
        <v>370</v>
      </c>
      <c r="O128" s="51" t="s">
        <v>242</v>
      </c>
      <c r="P128" s="51"/>
      <c r="Q128" s="51"/>
      <c r="R128" s="51"/>
      <c r="S128" s="51"/>
      <c r="T128" s="51"/>
      <c r="U128" s="51"/>
      <c r="V128" s="51" t="s">
        <v>196</v>
      </c>
      <c r="W128" s="51"/>
    </row>
    <row r="129" spans="1:23" ht="20.100000000000001" hidden="1" customHeight="1" x14ac:dyDescent="0.25">
      <c r="A129" s="78">
        <v>1043</v>
      </c>
      <c r="B129" s="78" t="s">
        <v>63</v>
      </c>
      <c r="C129" s="51" t="s">
        <v>567</v>
      </c>
      <c r="D129" s="51" t="s">
        <v>378</v>
      </c>
      <c r="E129" s="51">
        <v>1</v>
      </c>
      <c r="F129" s="51" t="s">
        <v>197</v>
      </c>
      <c r="G129" s="51" t="s">
        <v>369</v>
      </c>
      <c r="H129" s="51" t="s">
        <v>200</v>
      </c>
      <c r="I129" s="52">
        <v>46295</v>
      </c>
      <c r="J129" s="51" t="s">
        <v>58</v>
      </c>
      <c r="K129" s="51" t="s">
        <v>58</v>
      </c>
      <c r="L129" s="51" t="s">
        <v>637</v>
      </c>
      <c r="M129" s="53" t="s">
        <v>365</v>
      </c>
      <c r="N129" s="53" t="s">
        <v>370</v>
      </c>
      <c r="O129" s="53" t="s">
        <v>242</v>
      </c>
      <c r="P129" s="51"/>
      <c r="Q129" s="51"/>
      <c r="R129" s="51"/>
      <c r="S129" s="51"/>
      <c r="T129" s="51"/>
      <c r="U129" s="51"/>
      <c r="V129" s="51" t="s">
        <v>445</v>
      </c>
      <c r="W129" s="51"/>
    </row>
    <row r="130" spans="1:23" ht="20.100000000000001" hidden="1" customHeight="1" x14ac:dyDescent="0.25">
      <c r="A130" s="78">
        <v>1043</v>
      </c>
      <c r="B130" s="78" t="s">
        <v>63</v>
      </c>
      <c r="C130" s="51" t="s">
        <v>567</v>
      </c>
      <c r="D130" s="51" t="s">
        <v>378</v>
      </c>
      <c r="E130" s="51">
        <v>1</v>
      </c>
      <c r="F130" s="51" t="s">
        <v>197</v>
      </c>
      <c r="G130" s="51" t="s">
        <v>367</v>
      </c>
      <c r="H130" s="51" t="s">
        <v>201</v>
      </c>
      <c r="I130" s="52">
        <v>46417</v>
      </c>
      <c r="J130" s="51" t="s">
        <v>58</v>
      </c>
      <c r="K130" s="51" t="s">
        <v>58</v>
      </c>
      <c r="L130" s="51" t="s">
        <v>638</v>
      </c>
      <c r="M130" s="51" t="s">
        <v>365</v>
      </c>
      <c r="N130" s="51" t="s">
        <v>370</v>
      </c>
      <c r="O130" s="51" t="s">
        <v>242</v>
      </c>
      <c r="P130" s="51"/>
      <c r="Q130" s="51"/>
      <c r="R130" s="51"/>
      <c r="S130" s="51"/>
      <c r="T130" s="51"/>
      <c r="U130" s="51"/>
      <c r="V130" s="51" t="s">
        <v>196</v>
      </c>
      <c r="W130" s="51"/>
    </row>
    <row r="131" spans="1:23" ht="20.100000000000001" hidden="1" customHeight="1" x14ac:dyDescent="0.25">
      <c r="A131" s="78">
        <v>1043</v>
      </c>
      <c r="B131" s="78" t="s">
        <v>63</v>
      </c>
      <c r="C131" s="51" t="s">
        <v>567</v>
      </c>
      <c r="D131" s="51" t="s">
        <v>378</v>
      </c>
      <c r="E131" s="51">
        <v>1</v>
      </c>
      <c r="F131" s="51" t="s">
        <v>197</v>
      </c>
      <c r="G131" s="51" t="s">
        <v>446</v>
      </c>
      <c r="H131" s="51" t="s">
        <v>201</v>
      </c>
      <c r="I131" s="52">
        <v>46419</v>
      </c>
      <c r="J131" s="51" t="s">
        <v>58</v>
      </c>
      <c r="K131" s="51" t="s">
        <v>58</v>
      </c>
      <c r="L131" s="51" t="s">
        <v>639</v>
      </c>
      <c r="M131" s="51" t="s">
        <v>365</v>
      </c>
      <c r="N131" s="51" t="s">
        <v>370</v>
      </c>
      <c r="O131" s="51" t="s">
        <v>242</v>
      </c>
      <c r="P131" s="51"/>
      <c r="Q131" s="51"/>
      <c r="R131" s="51"/>
      <c r="S131" s="51"/>
      <c r="T131" s="51"/>
      <c r="U131" s="51"/>
      <c r="V131" s="51" t="s">
        <v>196</v>
      </c>
      <c r="W131" s="51"/>
    </row>
    <row r="132" spans="1:23" ht="20.100000000000001" hidden="1" customHeight="1" x14ac:dyDescent="0.25">
      <c r="A132" s="78">
        <v>1043</v>
      </c>
      <c r="B132" s="78" t="s">
        <v>63</v>
      </c>
      <c r="C132" s="51" t="s">
        <v>567</v>
      </c>
      <c r="D132" s="51" t="s">
        <v>378</v>
      </c>
      <c r="E132" s="51">
        <v>1</v>
      </c>
      <c r="F132" s="51" t="s">
        <v>197</v>
      </c>
      <c r="G132" s="51" t="s">
        <v>369</v>
      </c>
      <c r="H132" s="51" t="s">
        <v>201</v>
      </c>
      <c r="I132" s="52">
        <v>46435</v>
      </c>
      <c r="J132" s="51" t="s">
        <v>58</v>
      </c>
      <c r="K132" s="51" t="s">
        <v>58</v>
      </c>
      <c r="L132" s="51" t="s">
        <v>640</v>
      </c>
      <c r="M132" s="51" t="s">
        <v>365</v>
      </c>
      <c r="N132" s="51" t="s">
        <v>370</v>
      </c>
      <c r="O132" s="51" t="s">
        <v>242</v>
      </c>
      <c r="P132" s="51"/>
      <c r="Q132" s="51"/>
      <c r="R132" s="51"/>
      <c r="S132" s="51"/>
      <c r="T132" s="51"/>
      <c r="U132" s="51"/>
      <c r="V132" s="51" t="s">
        <v>196</v>
      </c>
      <c r="W132" s="51"/>
    </row>
    <row r="133" spans="1:23" ht="20.100000000000001" hidden="1" customHeight="1" x14ac:dyDescent="0.25">
      <c r="A133" s="78">
        <v>1043</v>
      </c>
      <c r="B133" s="78" t="s">
        <v>63</v>
      </c>
      <c r="C133" s="51" t="s">
        <v>567</v>
      </c>
      <c r="D133" s="51" t="s">
        <v>378</v>
      </c>
      <c r="E133" s="51">
        <v>1</v>
      </c>
      <c r="F133" s="51" t="s">
        <v>197</v>
      </c>
      <c r="G133" s="51" t="s">
        <v>367</v>
      </c>
      <c r="H133" s="51" t="s">
        <v>202</v>
      </c>
      <c r="I133" s="52">
        <v>46420</v>
      </c>
      <c r="J133" s="51" t="s">
        <v>58</v>
      </c>
      <c r="K133" s="51" t="s">
        <v>58</v>
      </c>
      <c r="L133" s="51" t="s">
        <v>641</v>
      </c>
      <c r="M133" s="51" t="s">
        <v>365</v>
      </c>
      <c r="N133" s="51" t="s">
        <v>370</v>
      </c>
      <c r="O133" s="51" t="s">
        <v>242</v>
      </c>
      <c r="P133" s="51"/>
      <c r="Q133" s="51"/>
      <c r="R133" s="51"/>
      <c r="S133" s="51"/>
      <c r="T133" s="51"/>
      <c r="U133" s="51"/>
      <c r="V133" s="51" t="s">
        <v>196</v>
      </c>
      <c r="W133" s="51"/>
    </row>
    <row r="134" spans="1:23" ht="20.100000000000001" hidden="1" customHeight="1" x14ac:dyDescent="0.25">
      <c r="A134" s="78">
        <v>1043</v>
      </c>
      <c r="B134" s="78" t="s">
        <v>63</v>
      </c>
      <c r="C134" s="51" t="s">
        <v>567</v>
      </c>
      <c r="D134" s="51" t="s">
        <v>378</v>
      </c>
      <c r="E134" s="51">
        <v>1</v>
      </c>
      <c r="F134" s="51" t="s">
        <v>197</v>
      </c>
      <c r="G134" s="51" t="s">
        <v>446</v>
      </c>
      <c r="H134" s="51" t="s">
        <v>202</v>
      </c>
      <c r="I134" s="52">
        <v>46423</v>
      </c>
      <c r="J134" s="51" t="s">
        <v>58</v>
      </c>
      <c r="K134" s="51" t="s">
        <v>58</v>
      </c>
      <c r="L134" s="51" t="s">
        <v>642</v>
      </c>
      <c r="M134" s="51" t="s">
        <v>365</v>
      </c>
      <c r="N134" s="51" t="s">
        <v>370</v>
      </c>
      <c r="O134" s="51" t="s">
        <v>242</v>
      </c>
      <c r="P134" s="51"/>
      <c r="Q134" s="51"/>
      <c r="R134" s="51"/>
      <c r="S134" s="51"/>
      <c r="T134" s="51"/>
      <c r="U134" s="51"/>
      <c r="V134" s="51" t="s">
        <v>196</v>
      </c>
      <c r="W134" s="51"/>
    </row>
    <row r="135" spans="1:23" ht="20.100000000000001" hidden="1" customHeight="1" x14ac:dyDescent="0.25">
      <c r="A135" s="78">
        <v>1043</v>
      </c>
      <c r="B135" s="78" t="s">
        <v>63</v>
      </c>
      <c r="C135" s="51" t="s">
        <v>567</v>
      </c>
      <c r="D135" s="51" t="s">
        <v>378</v>
      </c>
      <c r="E135" s="51">
        <v>1</v>
      </c>
      <c r="F135" s="51" t="s">
        <v>197</v>
      </c>
      <c r="G135" s="51" t="s">
        <v>369</v>
      </c>
      <c r="H135" s="51" t="s">
        <v>202</v>
      </c>
      <c r="I135" s="52">
        <v>46437</v>
      </c>
      <c r="J135" s="51" t="s">
        <v>58</v>
      </c>
      <c r="K135" s="51" t="s">
        <v>58</v>
      </c>
      <c r="L135" s="51" t="s">
        <v>643</v>
      </c>
      <c r="M135" s="51" t="s">
        <v>365</v>
      </c>
      <c r="N135" s="51" t="s">
        <v>370</v>
      </c>
      <c r="O135" s="51" t="s">
        <v>242</v>
      </c>
      <c r="P135" s="51"/>
      <c r="Q135" s="51"/>
      <c r="R135" s="51"/>
      <c r="S135" s="51"/>
      <c r="T135" s="51"/>
      <c r="U135" s="51"/>
      <c r="V135" s="51" t="s">
        <v>196</v>
      </c>
      <c r="W135" s="51"/>
    </row>
    <row r="136" spans="1:23" ht="20.100000000000001" hidden="1" customHeight="1" x14ac:dyDescent="0.25">
      <c r="A136" s="78">
        <v>1043</v>
      </c>
      <c r="B136" s="78" t="s">
        <v>63</v>
      </c>
      <c r="C136" s="51" t="s">
        <v>567</v>
      </c>
      <c r="D136" s="51" t="s">
        <v>378</v>
      </c>
      <c r="E136" s="51">
        <v>1</v>
      </c>
      <c r="F136" s="51" t="s">
        <v>197</v>
      </c>
      <c r="G136" s="51" t="s">
        <v>367</v>
      </c>
      <c r="H136" s="51" t="s">
        <v>203</v>
      </c>
      <c r="I136" s="52">
        <v>46295</v>
      </c>
      <c r="J136" s="51" t="s">
        <v>58</v>
      </c>
      <c r="K136" s="51" t="s">
        <v>58</v>
      </c>
      <c r="L136" s="51" t="s">
        <v>644</v>
      </c>
      <c r="M136" s="53" t="s">
        <v>365</v>
      </c>
      <c r="N136" s="53" t="s">
        <v>370</v>
      </c>
      <c r="O136" s="53" t="s">
        <v>242</v>
      </c>
      <c r="P136" s="51"/>
      <c r="Q136" s="51"/>
      <c r="R136" s="51"/>
      <c r="S136" s="51"/>
      <c r="T136" s="51"/>
      <c r="U136" s="51"/>
      <c r="V136" s="51" t="s">
        <v>445</v>
      </c>
      <c r="W136" s="51"/>
    </row>
    <row r="137" spans="1:23" ht="20.100000000000001" hidden="1" customHeight="1" x14ac:dyDescent="0.25">
      <c r="A137" s="78">
        <v>1043</v>
      </c>
      <c r="B137" s="78" t="s">
        <v>63</v>
      </c>
      <c r="C137" s="51" t="s">
        <v>567</v>
      </c>
      <c r="D137" s="51" t="s">
        <v>378</v>
      </c>
      <c r="E137" s="51">
        <v>1</v>
      </c>
      <c r="F137" s="51" t="s">
        <v>197</v>
      </c>
      <c r="G137" s="51" t="s">
        <v>446</v>
      </c>
      <c r="H137" s="51" t="s">
        <v>203</v>
      </c>
      <c r="I137" s="51" t="s">
        <v>653</v>
      </c>
      <c r="J137" s="51" t="s">
        <v>58</v>
      </c>
      <c r="K137" s="51" t="s">
        <v>58</v>
      </c>
      <c r="L137" s="51" t="s">
        <v>645</v>
      </c>
      <c r="M137" s="51" t="s">
        <v>365</v>
      </c>
      <c r="N137" s="51" t="s">
        <v>370</v>
      </c>
      <c r="O137" s="51" t="s">
        <v>242</v>
      </c>
      <c r="P137" s="51"/>
      <c r="Q137" s="51"/>
      <c r="R137" s="51"/>
      <c r="S137" s="51"/>
      <c r="T137" s="51"/>
      <c r="U137" s="51"/>
      <c r="V137" s="51" t="s">
        <v>196</v>
      </c>
      <c r="W137" s="51"/>
    </row>
    <row r="138" spans="1:23" ht="20.100000000000001" hidden="1" customHeight="1" x14ac:dyDescent="0.25">
      <c r="A138" s="78">
        <v>1043</v>
      </c>
      <c r="B138" s="78" t="s">
        <v>63</v>
      </c>
      <c r="C138" s="51" t="s">
        <v>567</v>
      </c>
      <c r="D138" s="51" t="s">
        <v>378</v>
      </c>
      <c r="E138" s="51">
        <v>1</v>
      </c>
      <c r="F138" s="51" t="s">
        <v>197</v>
      </c>
      <c r="G138" s="51" t="s">
        <v>369</v>
      </c>
      <c r="H138" s="51" t="s">
        <v>203</v>
      </c>
      <c r="I138" s="52">
        <v>46437</v>
      </c>
      <c r="J138" s="51" t="s">
        <v>58</v>
      </c>
      <c r="K138" s="51" t="s">
        <v>58</v>
      </c>
      <c r="L138" s="51" t="s">
        <v>646</v>
      </c>
      <c r="M138" s="51" t="s">
        <v>365</v>
      </c>
      <c r="N138" s="51" t="s">
        <v>370</v>
      </c>
      <c r="O138" s="51" t="s">
        <v>242</v>
      </c>
      <c r="P138" s="51"/>
      <c r="Q138" s="51"/>
      <c r="R138" s="51"/>
      <c r="S138" s="51"/>
      <c r="T138" s="51"/>
      <c r="U138" s="51"/>
      <c r="V138" s="51" t="s">
        <v>196</v>
      </c>
      <c r="W138" s="51"/>
    </row>
    <row r="139" spans="1:23" ht="20.100000000000001" hidden="1" customHeight="1" x14ac:dyDescent="0.25">
      <c r="A139" s="78">
        <v>1043</v>
      </c>
      <c r="B139" s="78" t="s">
        <v>63</v>
      </c>
      <c r="C139" s="51" t="s">
        <v>567</v>
      </c>
      <c r="D139" s="51" t="s">
        <v>378</v>
      </c>
      <c r="E139" s="51">
        <v>1</v>
      </c>
      <c r="F139" s="51" t="s">
        <v>197</v>
      </c>
      <c r="G139" s="51" t="s">
        <v>367</v>
      </c>
      <c r="H139" s="51" t="s">
        <v>204</v>
      </c>
      <c r="I139" s="52">
        <v>46427</v>
      </c>
      <c r="J139" s="51" t="s">
        <v>58</v>
      </c>
      <c r="K139" s="51" t="s">
        <v>58</v>
      </c>
      <c r="L139" s="51" t="s">
        <v>647</v>
      </c>
      <c r="M139" s="51" t="s">
        <v>365</v>
      </c>
      <c r="N139" s="51" t="s">
        <v>370</v>
      </c>
      <c r="O139" s="51" t="s">
        <v>242</v>
      </c>
      <c r="P139" s="51"/>
      <c r="Q139" s="51"/>
      <c r="R139" s="51"/>
      <c r="S139" s="51"/>
      <c r="T139" s="51"/>
      <c r="U139" s="51"/>
      <c r="V139" s="51" t="s">
        <v>196</v>
      </c>
      <c r="W139" s="51"/>
    </row>
    <row r="140" spans="1:23" ht="20.100000000000001" hidden="1" customHeight="1" x14ac:dyDescent="0.25">
      <c r="A140" s="78">
        <v>1043</v>
      </c>
      <c r="B140" s="78" t="s">
        <v>63</v>
      </c>
      <c r="C140" s="51" t="s">
        <v>567</v>
      </c>
      <c r="D140" s="51" t="s">
        <v>378</v>
      </c>
      <c r="E140" s="51">
        <v>1</v>
      </c>
      <c r="F140" s="51" t="s">
        <v>197</v>
      </c>
      <c r="G140" s="51" t="s">
        <v>446</v>
      </c>
      <c r="H140" s="51" t="s">
        <v>204</v>
      </c>
      <c r="I140" s="52">
        <v>46428</v>
      </c>
      <c r="J140" s="51" t="s">
        <v>58</v>
      </c>
      <c r="K140" s="51" t="s">
        <v>58</v>
      </c>
      <c r="L140" s="51" t="s">
        <v>648</v>
      </c>
      <c r="M140" s="51" t="s">
        <v>365</v>
      </c>
      <c r="N140" s="51" t="s">
        <v>370</v>
      </c>
      <c r="O140" s="51" t="s">
        <v>242</v>
      </c>
      <c r="P140" s="51"/>
      <c r="Q140" s="51"/>
      <c r="R140" s="51"/>
      <c r="S140" s="51"/>
      <c r="T140" s="51"/>
      <c r="U140" s="51"/>
      <c r="V140" s="51" t="s">
        <v>196</v>
      </c>
      <c r="W140" s="51"/>
    </row>
    <row r="141" spans="1:23" ht="20.100000000000001" hidden="1" customHeight="1" x14ac:dyDescent="0.25">
      <c r="A141" s="78">
        <v>1043</v>
      </c>
      <c r="B141" s="78" t="s">
        <v>63</v>
      </c>
      <c r="C141" s="51" t="s">
        <v>567</v>
      </c>
      <c r="D141" s="51" t="s">
        <v>378</v>
      </c>
      <c r="E141" s="51">
        <v>1</v>
      </c>
      <c r="F141" s="51" t="s">
        <v>197</v>
      </c>
      <c r="G141" s="51" t="s">
        <v>369</v>
      </c>
      <c r="H141" s="51" t="s">
        <v>204</v>
      </c>
      <c r="I141" s="52">
        <v>46438</v>
      </c>
      <c r="J141" s="51" t="s">
        <v>58</v>
      </c>
      <c r="K141" s="51" t="s">
        <v>58</v>
      </c>
      <c r="L141" s="51" t="s">
        <v>649</v>
      </c>
      <c r="M141" s="51" t="s">
        <v>365</v>
      </c>
      <c r="N141" s="51" t="s">
        <v>370</v>
      </c>
      <c r="O141" s="51" t="s">
        <v>242</v>
      </c>
      <c r="P141" s="51"/>
      <c r="Q141" s="51"/>
      <c r="R141" s="51"/>
      <c r="S141" s="51"/>
      <c r="T141" s="51"/>
      <c r="U141" s="51"/>
      <c r="V141" s="51" t="s">
        <v>196</v>
      </c>
      <c r="W141" s="51"/>
    </row>
    <row r="142" spans="1:23" ht="20.100000000000001" hidden="1" customHeight="1" x14ac:dyDescent="0.25">
      <c r="A142" s="78">
        <v>1043</v>
      </c>
      <c r="B142" s="78" t="s">
        <v>63</v>
      </c>
      <c r="C142" s="51" t="s">
        <v>567</v>
      </c>
      <c r="D142" s="51" t="s">
        <v>378</v>
      </c>
      <c r="E142" s="51">
        <v>1</v>
      </c>
      <c r="F142" s="51" t="s">
        <v>197</v>
      </c>
      <c r="G142" s="51" t="s">
        <v>367</v>
      </c>
      <c r="H142" s="51" t="s">
        <v>244</v>
      </c>
      <c r="I142" s="52">
        <v>46430</v>
      </c>
      <c r="J142" s="51" t="s">
        <v>58</v>
      </c>
      <c r="K142" s="51" t="s">
        <v>58</v>
      </c>
      <c r="L142" s="51" t="s">
        <v>650</v>
      </c>
      <c r="M142" s="51" t="s">
        <v>365</v>
      </c>
      <c r="N142" s="51" t="s">
        <v>370</v>
      </c>
      <c r="O142" s="51" t="s">
        <v>242</v>
      </c>
      <c r="P142" s="51"/>
      <c r="Q142" s="51"/>
      <c r="R142" s="51"/>
      <c r="S142" s="51"/>
      <c r="T142" s="51"/>
      <c r="U142" s="51"/>
      <c r="V142" s="51" t="s">
        <v>196</v>
      </c>
      <c r="W142" s="51"/>
    </row>
    <row r="143" spans="1:23" ht="20.100000000000001" hidden="1" customHeight="1" x14ac:dyDescent="0.25">
      <c r="A143" s="78">
        <v>1043</v>
      </c>
      <c r="B143" s="78" t="s">
        <v>63</v>
      </c>
      <c r="C143" s="51" t="s">
        <v>567</v>
      </c>
      <c r="D143" s="51" t="s">
        <v>378</v>
      </c>
      <c r="E143" s="51">
        <v>1</v>
      </c>
      <c r="F143" s="51" t="s">
        <v>197</v>
      </c>
      <c r="G143" s="51" t="s">
        <v>446</v>
      </c>
      <c r="H143" s="51" t="s">
        <v>244</v>
      </c>
      <c r="I143" s="52">
        <v>46431</v>
      </c>
      <c r="J143" s="51" t="s">
        <v>58</v>
      </c>
      <c r="K143" s="51" t="s">
        <v>58</v>
      </c>
      <c r="L143" s="51" t="s">
        <v>651</v>
      </c>
      <c r="M143" s="51" t="s">
        <v>365</v>
      </c>
      <c r="N143" s="51" t="s">
        <v>370</v>
      </c>
      <c r="O143" s="51" t="s">
        <v>242</v>
      </c>
      <c r="P143" s="51"/>
      <c r="Q143" s="51"/>
      <c r="R143" s="51"/>
      <c r="S143" s="51"/>
      <c r="T143" s="51"/>
      <c r="U143" s="51"/>
      <c r="V143" s="51" t="s">
        <v>196</v>
      </c>
      <c r="W143" s="51"/>
    </row>
    <row r="144" spans="1:23" ht="20.100000000000001" hidden="1" customHeight="1" x14ac:dyDescent="0.25">
      <c r="A144" s="78">
        <v>1043</v>
      </c>
      <c r="B144" s="78" t="s">
        <v>63</v>
      </c>
      <c r="C144" s="51" t="s">
        <v>567</v>
      </c>
      <c r="D144" s="51" t="s">
        <v>378</v>
      </c>
      <c r="E144" s="51">
        <v>1</v>
      </c>
      <c r="F144" s="51" t="s">
        <v>197</v>
      </c>
      <c r="G144" s="51" t="s">
        <v>369</v>
      </c>
      <c r="H144" s="51" t="s">
        <v>244</v>
      </c>
      <c r="I144" s="52">
        <v>46295</v>
      </c>
      <c r="J144" s="51" t="s">
        <v>58</v>
      </c>
      <c r="K144" s="51" t="s">
        <v>58</v>
      </c>
      <c r="L144" s="51" t="s">
        <v>652</v>
      </c>
      <c r="M144" s="53" t="s">
        <v>365</v>
      </c>
      <c r="N144" s="53" t="s">
        <v>370</v>
      </c>
      <c r="O144" s="53" t="s">
        <v>242</v>
      </c>
      <c r="P144" s="51"/>
      <c r="Q144" s="51"/>
      <c r="R144" s="51"/>
      <c r="S144" s="51"/>
      <c r="T144" s="51"/>
      <c r="U144" s="51"/>
      <c r="V144" s="51" t="s">
        <v>445</v>
      </c>
      <c r="W144" s="51"/>
    </row>
    <row r="145" spans="1:23" ht="20.100000000000001" hidden="1" customHeight="1" x14ac:dyDescent="0.25">
      <c r="A145" s="78">
        <v>1047</v>
      </c>
      <c r="B145" s="78" t="s">
        <v>63</v>
      </c>
      <c r="C145" s="51" t="s">
        <v>267</v>
      </c>
      <c r="D145" s="51" t="s">
        <v>674</v>
      </c>
      <c r="E145" s="51">
        <v>1</v>
      </c>
      <c r="F145" s="51" t="s">
        <v>256</v>
      </c>
      <c r="G145" s="54" t="s">
        <v>250</v>
      </c>
      <c r="H145" s="51" t="s">
        <v>63</v>
      </c>
      <c r="I145" s="52">
        <v>46273</v>
      </c>
      <c r="J145" s="51" t="s">
        <v>58</v>
      </c>
      <c r="K145" s="51" t="s">
        <v>58</v>
      </c>
      <c r="L145" s="51" t="s">
        <v>672</v>
      </c>
      <c r="M145" s="51" t="s">
        <v>365</v>
      </c>
      <c r="N145" s="51" t="s">
        <v>370</v>
      </c>
      <c r="O145" s="51" t="s">
        <v>242</v>
      </c>
      <c r="P145" s="51"/>
      <c r="Q145" s="51"/>
      <c r="R145" s="51"/>
      <c r="S145" s="51"/>
      <c r="T145" s="51"/>
      <c r="U145" s="51"/>
      <c r="V145" s="51" t="s">
        <v>481</v>
      </c>
      <c r="W145" s="51" t="s">
        <v>673</v>
      </c>
    </row>
    <row r="146" spans="1:23" ht="20.100000000000001" hidden="1" customHeight="1" x14ac:dyDescent="0.25">
      <c r="A146" s="51">
        <v>1055</v>
      </c>
      <c r="B146" s="51" t="s">
        <v>63</v>
      </c>
      <c r="C146" s="51" t="s">
        <v>678</v>
      </c>
      <c r="D146" s="51" t="s">
        <v>378</v>
      </c>
      <c r="E146" s="51">
        <v>1</v>
      </c>
      <c r="F146" s="51">
        <v>2000</v>
      </c>
      <c r="G146" s="51" t="s">
        <v>367</v>
      </c>
      <c r="H146" s="51" t="s">
        <v>200</v>
      </c>
      <c r="I146" s="52">
        <v>46297</v>
      </c>
      <c r="J146" s="51" t="s">
        <v>58</v>
      </c>
      <c r="K146" s="51" t="s">
        <v>58</v>
      </c>
      <c r="L146" s="51">
        <v>60</v>
      </c>
      <c r="M146" s="51" t="s">
        <v>365</v>
      </c>
      <c r="N146" s="51" t="s">
        <v>370</v>
      </c>
      <c r="O146" s="51" t="s">
        <v>242</v>
      </c>
      <c r="P146" s="51"/>
      <c r="Q146" s="51"/>
      <c r="R146" s="51"/>
      <c r="S146" s="51"/>
      <c r="T146" s="51"/>
      <c r="U146" s="51"/>
      <c r="V146" s="51" t="s">
        <v>196</v>
      </c>
      <c r="W146" s="51"/>
    </row>
    <row r="147" spans="1:23" ht="20.100000000000001" hidden="1" customHeight="1" x14ac:dyDescent="0.25">
      <c r="A147" s="51">
        <v>1055</v>
      </c>
      <c r="B147" s="51" t="s">
        <v>63</v>
      </c>
      <c r="C147" s="51" t="s">
        <v>678</v>
      </c>
      <c r="D147" s="51" t="s">
        <v>378</v>
      </c>
      <c r="E147" s="51">
        <v>1</v>
      </c>
      <c r="F147" s="51">
        <v>2000</v>
      </c>
      <c r="G147" s="51" t="s">
        <v>684</v>
      </c>
      <c r="H147" s="51" t="s">
        <v>200</v>
      </c>
      <c r="I147" s="52">
        <v>46311</v>
      </c>
      <c r="J147" s="51" t="s">
        <v>58</v>
      </c>
      <c r="K147" s="51" t="s">
        <v>58</v>
      </c>
      <c r="L147" s="51">
        <v>61</v>
      </c>
      <c r="M147" s="51" t="s">
        <v>365</v>
      </c>
      <c r="N147" s="51" t="s">
        <v>370</v>
      </c>
      <c r="O147" s="51" t="s">
        <v>242</v>
      </c>
      <c r="P147" s="51"/>
      <c r="Q147" s="51"/>
      <c r="R147" s="51"/>
      <c r="S147" s="51"/>
      <c r="T147" s="51"/>
      <c r="U147" s="51"/>
      <c r="V147" s="51" t="s">
        <v>196</v>
      </c>
      <c r="W147" s="51"/>
    </row>
    <row r="148" spans="1:23" ht="20.100000000000001" hidden="1" customHeight="1" x14ac:dyDescent="0.25">
      <c r="A148" s="51">
        <v>1055</v>
      </c>
      <c r="B148" s="51" t="s">
        <v>63</v>
      </c>
      <c r="C148" s="51" t="s">
        <v>678</v>
      </c>
      <c r="D148" s="51" t="s">
        <v>378</v>
      </c>
      <c r="E148" s="51">
        <v>1</v>
      </c>
      <c r="F148" s="51">
        <v>2000</v>
      </c>
      <c r="G148" s="51" t="s">
        <v>250</v>
      </c>
      <c r="H148" s="51" t="s">
        <v>200</v>
      </c>
      <c r="I148" s="52">
        <v>46420</v>
      </c>
      <c r="J148" s="51" t="s">
        <v>58</v>
      </c>
      <c r="K148" s="51" t="s">
        <v>58</v>
      </c>
      <c r="L148" s="51" t="s">
        <v>685</v>
      </c>
      <c r="M148" s="51" t="s">
        <v>365</v>
      </c>
      <c r="N148" s="51" t="s">
        <v>370</v>
      </c>
      <c r="O148" s="51" t="s">
        <v>242</v>
      </c>
      <c r="P148" s="51"/>
      <c r="Q148" s="51"/>
      <c r="R148" s="51"/>
      <c r="S148" s="51"/>
      <c r="T148" s="51"/>
      <c r="U148" s="51"/>
      <c r="V148" s="51" t="s">
        <v>196</v>
      </c>
      <c r="W148" s="51"/>
    </row>
    <row r="149" spans="1:23" ht="20.100000000000001" hidden="1" customHeight="1" x14ac:dyDescent="0.25">
      <c r="A149" s="51">
        <v>1055</v>
      </c>
      <c r="B149" s="51" t="s">
        <v>63</v>
      </c>
      <c r="C149" s="51" t="s">
        <v>678</v>
      </c>
      <c r="D149" s="51" t="s">
        <v>378</v>
      </c>
      <c r="E149" s="51">
        <v>1</v>
      </c>
      <c r="F149" s="51">
        <v>2000</v>
      </c>
      <c r="G149" s="51" t="s">
        <v>369</v>
      </c>
      <c r="H149" s="51" t="s">
        <v>200</v>
      </c>
      <c r="I149" s="52">
        <v>46424</v>
      </c>
      <c r="J149" s="51" t="s">
        <v>58</v>
      </c>
      <c r="K149" s="51" t="s">
        <v>58</v>
      </c>
      <c r="L149" s="51">
        <v>58</v>
      </c>
      <c r="M149" s="51" t="s">
        <v>365</v>
      </c>
      <c r="N149" s="51" t="s">
        <v>370</v>
      </c>
      <c r="O149" s="51" t="s">
        <v>242</v>
      </c>
      <c r="P149" s="51"/>
      <c r="Q149" s="51"/>
      <c r="R149" s="51"/>
      <c r="S149" s="51"/>
      <c r="T149" s="51"/>
      <c r="U149" s="51"/>
      <c r="V149" s="51" t="s">
        <v>196</v>
      </c>
      <c r="W149" s="51"/>
    </row>
    <row r="150" spans="1:23" ht="20.100000000000001" hidden="1" customHeight="1" x14ac:dyDescent="0.25">
      <c r="A150" s="51">
        <v>1055</v>
      </c>
      <c r="B150" s="51" t="s">
        <v>63</v>
      </c>
      <c r="C150" s="51" t="s">
        <v>678</v>
      </c>
      <c r="D150" s="51" t="s">
        <v>378</v>
      </c>
      <c r="E150" s="51">
        <v>1</v>
      </c>
      <c r="F150" s="51">
        <v>1700</v>
      </c>
      <c r="G150" s="51" t="s">
        <v>367</v>
      </c>
      <c r="H150" s="51" t="s">
        <v>201</v>
      </c>
      <c r="I150" s="52">
        <v>46297</v>
      </c>
      <c r="J150" s="51" t="s">
        <v>58</v>
      </c>
      <c r="K150" s="51" t="s">
        <v>58</v>
      </c>
      <c r="L150" s="51">
        <v>2</v>
      </c>
      <c r="M150" s="51" t="s">
        <v>365</v>
      </c>
      <c r="N150" s="51" t="s">
        <v>370</v>
      </c>
      <c r="O150" s="51" t="s">
        <v>242</v>
      </c>
      <c r="P150" s="51"/>
      <c r="Q150" s="51"/>
      <c r="R150" s="51"/>
      <c r="S150" s="51"/>
      <c r="T150" s="51"/>
      <c r="U150" s="51"/>
      <c r="V150" s="51" t="s">
        <v>196</v>
      </c>
      <c r="W150" s="51"/>
    </row>
    <row r="151" spans="1:23" ht="20.100000000000001" hidden="1" customHeight="1" x14ac:dyDescent="0.25">
      <c r="A151" s="51">
        <v>1055</v>
      </c>
      <c r="B151" s="51" t="s">
        <v>63</v>
      </c>
      <c r="C151" s="51" t="s">
        <v>678</v>
      </c>
      <c r="D151" s="51" t="s">
        <v>378</v>
      </c>
      <c r="E151" s="51">
        <v>1</v>
      </c>
      <c r="F151" s="51">
        <v>1700</v>
      </c>
      <c r="G151" s="51" t="s">
        <v>684</v>
      </c>
      <c r="H151" s="51" t="s">
        <v>201</v>
      </c>
      <c r="I151" s="52">
        <v>46318</v>
      </c>
      <c r="J151" s="51" t="s">
        <v>58</v>
      </c>
      <c r="K151" s="51" t="s">
        <v>58</v>
      </c>
      <c r="L151" s="51">
        <v>20</v>
      </c>
      <c r="M151" s="51" t="s">
        <v>365</v>
      </c>
      <c r="N151" s="51" t="s">
        <v>370</v>
      </c>
      <c r="O151" s="51" t="s">
        <v>242</v>
      </c>
      <c r="P151" s="51"/>
      <c r="Q151" s="51"/>
      <c r="R151" s="51"/>
      <c r="S151" s="51"/>
      <c r="T151" s="51"/>
      <c r="U151" s="51"/>
      <c r="V151" s="51" t="s">
        <v>196</v>
      </c>
      <c r="W151" s="51"/>
    </row>
    <row r="152" spans="1:23" ht="20.100000000000001" hidden="1" customHeight="1" x14ac:dyDescent="0.25">
      <c r="A152" s="51">
        <v>1055</v>
      </c>
      <c r="B152" s="51" t="s">
        <v>63</v>
      </c>
      <c r="C152" s="51" t="s">
        <v>678</v>
      </c>
      <c r="D152" s="51" t="s">
        <v>378</v>
      </c>
      <c r="E152" s="51">
        <v>1</v>
      </c>
      <c r="F152" s="51">
        <v>1700</v>
      </c>
      <c r="G152" s="51" t="s">
        <v>250</v>
      </c>
      <c r="H152" s="51" t="s">
        <v>201</v>
      </c>
      <c r="I152" s="52">
        <v>46424</v>
      </c>
      <c r="J152" s="51" t="s">
        <v>58</v>
      </c>
      <c r="K152" s="51" t="s">
        <v>58</v>
      </c>
      <c r="L152" s="51" t="s">
        <v>686</v>
      </c>
      <c r="M152" s="51" t="s">
        <v>365</v>
      </c>
      <c r="N152" s="51" t="s">
        <v>370</v>
      </c>
      <c r="O152" s="51" t="s">
        <v>242</v>
      </c>
      <c r="P152" s="51"/>
      <c r="Q152" s="51"/>
      <c r="R152" s="51"/>
      <c r="S152" s="51"/>
      <c r="T152" s="51"/>
      <c r="U152" s="51"/>
      <c r="V152" s="51" t="s">
        <v>196</v>
      </c>
      <c r="W152" s="51"/>
    </row>
    <row r="153" spans="1:23" ht="20.100000000000001" hidden="1" customHeight="1" x14ac:dyDescent="0.25">
      <c r="A153" s="51">
        <v>1055</v>
      </c>
      <c r="B153" s="51" t="s">
        <v>63</v>
      </c>
      <c r="C153" s="51" t="s">
        <v>678</v>
      </c>
      <c r="D153" s="51" t="s">
        <v>378</v>
      </c>
      <c r="E153" s="51">
        <v>1</v>
      </c>
      <c r="F153" s="51">
        <v>1700</v>
      </c>
      <c r="G153" s="51" t="s">
        <v>369</v>
      </c>
      <c r="H153" s="51" t="s">
        <v>201</v>
      </c>
      <c r="I153" s="52">
        <v>46426</v>
      </c>
      <c r="J153" s="51" t="s">
        <v>58</v>
      </c>
      <c r="K153" s="51" t="s">
        <v>58</v>
      </c>
      <c r="L153" s="51">
        <v>19</v>
      </c>
      <c r="M153" s="51" t="s">
        <v>365</v>
      </c>
      <c r="N153" s="51" t="s">
        <v>370</v>
      </c>
      <c r="O153" s="51" t="s">
        <v>242</v>
      </c>
      <c r="P153" s="51"/>
      <c r="Q153" s="51"/>
      <c r="R153" s="51"/>
      <c r="S153" s="51"/>
      <c r="T153" s="51"/>
      <c r="U153" s="51"/>
      <c r="V153" s="51" t="s">
        <v>196</v>
      </c>
      <c r="W153" s="51"/>
    </row>
    <row r="154" spans="1:23" ht="20.100000000000001" hidden="1" customHeight="1" x14ac:dyDescent="0.25">
      <c r="A154" s="51">
        <v>1055</v>
      </c>
      <c r="B154" s="51" t="s">
        <v>63</v>
      </c>
      <c r="C154" s="51" t="s">
        <v>678</v>
      </c>
      <c r="D154" s="51" t="s">
        <v>378</v>
      </c>
      <c r="E154" s="51">
        <v>1</v>
      </c>
      <c r="F154" s="51">
        <v>1700</v>
      </c>
      <c r="G154" s="51" t="s">
        <v>367</v>
      </c>
      <c r="H154" s="51" t="s">
        <v>202</v>
      </c>
      <c r="I154" s="52">
        <v>46304</v>
      </c>
      <c r="J154" s="51" t="s">
        <v>58</v>
      </c>
      <c r="K154" s="51" t="s">
        <v>58</v>
      </c>
      <c r="L154" s="51">
        <v>16</v>
      </c>
      <c r="M154" s="51" t="s">
        <v>365</v>
      </c>
      <c r="N154" s="51" t="s">
        <v>370</v>
      </c>
      <c r="O154" s="51" t="s">
        <v>242</v>
      </c>
      <c r="P154" s="51"/>
      <c r="Q154" s="51"/>
      <c r="R154" s="51"/>
      <c r="S154" s="51"/>
      <c r="T154" s="51"/>
      <c r="U154" s="51"/>
      <c r="V154" s="51" t="s">
        <v>196</v>
      </c>
      <c r="W154" s="51"/>
    </row>
    <row r="155" spans="1:23" ht="20.100000000000001" hidden="1" customHeight="1" x14ac:dyDescent="0.25">
      <c r="A155" s="51">
        <v>1055</v>
      </c>
      <c r="B155" s="51" t="s">
        <v>63</v>
      </c>
      <c r="C155" s="51" t="s">
        <v>678</v>
      </c>
      <c r="D155" s="51" t="s">
        <v>378</v>
      </c>
      <c r="E155" s="51">
        <v>1</v>
      </c>
      <c r="F155" s="51">
        <v>1700</v>
      </c>
      <c r="G155" s="51" t="s">
        <v>684</v>
      </c>
      <c r="H155" s="51" t="s">
        <v>202</v>
      </c>
      <c r="I155" s="52">
        <v>46318</v>
      </c>
      <c r="J155" s="51" t="s">
        <v>58</v>
      </c>
      <c r="K155" s="51" t="s">
        <v>58</v>
      </c>
      <c r="L155" s="51">
        <v>5</v>
      </c>
      <c r="M155" s="51" t="s">
        <v>365</v>
      </c>
      <c r="N155" s="51" t="s">
        <v>370</v>
      </c>
      <c r="O155" s="51" t="s">
        <v>242</v>
      </c>
      <c r="P155" s="51"/>
      <c r="Q155" s="51"/>
      <c r="R155" s="51"/>
      <c r="S155" s="51"/>
      <c r="T155" s="51"/>
      <c r="U155" s="51"/>
      <c r="V155" s="51" t="s">
        <v>196</v>
      </c>
      <c r="W155" s="51"/>
    </row>
    <row r="156" spans="1:23" ht="20.100000000000001" hidden="1" customHeight="1" x14ac:dyDescent="0.25">
      <c r="A156" s="51">
        <v>1055</v>
      </c>
      <c r="B156" s="51" t="s">
        <v>63</v>
      </c>
      <c r="C156" s="51" t="s">
        <v>678</v>
      </c>
      <c r="D156" s="51" t="s">
        <v>378</v>
      </c>
      <c r="E156" s="51">
        <v>1</v>
      </c>
      <c r="F156" s="51">
        <v>1700</v>
      </c>
      <c r="G156" s="51" t="s">
        <v>369</v>
      </c>
      <c r="H156" s="51" t="s">
        <v>202</v>
      </c>
      <c r="I156" s="52">
        <v>46429</v>
      </c>
      <c r="J156" s="51" t="s">
        <v>58</v>
      </c>
      <c r="K156" s="51" t="s">
        <v>58</v>
      </c>
      <c r="L156" s="51">
        <v>18</v>
      </c>
      <c r="M156" s="51" t="s">
        <v>365</v>
      </c>
      <c r="N156" s="51" t="s">
        <v>370</v>
      </c>
      <c r="O156" s="51" t="s">
        <v>242</v>
      </c>
      <c r="P156" s="51"/>
      <c r="Q156" s="51"/>
      <c r="R156" s="51"/>
      <c r="S156" s="51"/>
      <c r="T156" s="51"/>
      <c r="U156" s="51"/>
      <c r="V156" s="51" t="s">
        <v>196</v>
      </c>
      <c r="W156" s="51"/>
    </row>
    <row r="157" spans="1:23" ht="20.100000000000001" hidden="1" customHeight="1" x14ac:dyDescent="0.25">
      <c r="A157" s="51">
        <v>1055</v>
      </c>
      <c r="B157" s="51" t="s">
        <v>63</v>
      </c>
      <c r="C157" s="51" t="s">
        <v>678</v>
      </c>
      <c r="D157" s="51" t="s">
        <v>378</v>
      </c>
      <c r="E157" s="51">
        <v>1</v>
      </c>
      <c r="F157" s="51">
        <v>1700</v>
      </c>
      <c r="G157" s="51" t="s">
        <v>367</v>
      </c>
      <c r="H157" s="51" t="s">
        <v>203</v>
      </c>
      <c r="I157" s="52">
        <v>46304</v>
      </c>
      <c r="J157" s="51" t="s">
        <v>58</v>
      </c>
      <c r="K157" s="51" t="s">
        <v>58</v>
      </c>
      <c r="L157" s="51">
        <v>17</v>
      </c>
      <c r="M157" s="51" t="s">
        <v>365</v>
      </c>
      <c r="N157" s="51" t="s">
        <v>370</v>
      </c>
      <c r="O157" s="51" t="s">
        <v>242</v>
      </c>
      <c r="P157" s="51"/>
      <c r="Q157" s="51"/>
      <c r="R157" s="51"/>
      <c r="S157" s="51"/>
      <c r="T157" s="51"/>
      <c r="U157" s="51"/>
      <c r="V157" s="51" t="s">
        <v>196</v>
      </c>
      <c r="W157" s="51"/>
    </row>
    <row r="158" spans="1:23" ht="20.100000000000001" hidden="1" customHeight="1" x14ac:dyDescent="0.25">
      <c r="A158" s="51">
        <v>1055</v>
      </c>
      <c r="B158" s="51" t="s">
        <v>63</v>
      </c>
      <c r="C158" s="51" t="s">
        <v>678</v>
      </c>
      <c r="D158" s="51" t="s">
        <v>378</v>
      </c>
      <c r="E158" s="51">
        <v>1</v>
      </c>
      <c r="F158" s="51">
        <v>1700</v>
      </c>
      <c r="G158" s="51" t="s">
        <v>684</v>
      </c>
      <c r="H158" s="51" t="s">
        <v>203</v>
      </c>
      <c r="I158" s="52">
        <v>46325</v>
      </c>
      <c r="J158" s="51" t="s">
        <v>58</v>
      </c>
      <c r="K158" s="51" t="s">
        <v>58</v>
      </c>
      <c r="L158" s="51">
        <v>10</v>
      </c>
      <c r="M158" s="51" t="s">
        <v>365</v>
      </c>
      <c r="N158" s="51" t="s">
        <v>370</v>
      </c>
      <c r="O158" s="51" t="s">
        <v>242</v>
      </c>
      <c r="P158" s="51"/>
      <c r="Q158" s="51"/>
      <c r="R158" s="51"/>
      <c r="S158" s="51"/>
      <c r="T158" s="51"/>
      <c r="U158" s="51"/>
      <c r="V158" s="51" t="s">
        <v>196</v>
      </c>
      <c r="W158" s="51"/>
    </row>
    <row r="159" spans="1:23" ht="20.100000000000001" hidden="1" customHeight="1" x14ac:dyDescent="0.25">
      <c r="A159" s="51">
        <v>1055</v>
      </c>
      <c r="B159" s="51" t="s">
        <v>63</v>
      </c>
      <c r="C159" s="51" t="s">
        <v>678</v>
      </c>
      <c r="D159" s="51" t="s">
        <v>378</v>
      </c>
      <c r="E159" s="51">
        <v>1</v>
      </c>
      <c r="F159" s="51">
        <v>1700</v>
      </c>
      <c r="G159" s="51" t="s">
        <v>369</v>
      </c>
      <c r="H159" s="51" t="s">
        <v>203</v>
      </c>
      <c r="I159" s="52">
        <v>46431</v>
      </c>
      <c r="J159" s="51" t="s">
        <v>58</v>
      </c>
      <c r="K159" s="51" t="s">
        <v>58</v>
      </c>
      <c r="L159" s="51">
        <v>4</v>
      </c>
      <c r="M159" s="51" t="s">
        <v>365</v>
      </c>
      <c r="N159" s="51" t="s">
        <v>370</v>
      </c>
      <c r="O159" s="51" t="s">
        <v>242</v>
      </c>
      <c r="P159" s="51"/>
      <c r="Q159" s="51"/>
      <c r="R159" s="51"/>
      <c r="S159" s="51"/>
      <c r="T159" s="51"/>
      <c r="U159" s="51"/>
      <c r="V159" s="51" t="s">
        <v>196</v>
      </c>
      <c r="W159" s="51"/>
    </row>
    <row r="160" spans="1:23" ht="20.100000000000001" hidden="1" customHeight="1" x14ac:dyDescent="0.25">
      <c r="A160" s="51">
        <v>1055</v>
      </c>
      <c r="B160" s="51" t="s">
        <v>63</v>
      </c>
      <c r="C160" s="51" t="s">
        <v>678</v>
      </c>
      <c r="D160" s="51" t="s">
        <v>378</v>
      </c>
      <c r="E160" s="51">
        <v>1</v>
      </c>
      <c r="F160" s="51">
        <v>1700</v>
      </c>
      <c r="G160" s="51" t="s">
        <v>367</v>
      </c>
      <c r="H160" s="51" t="s">
        <v>204</v>
      </c>
      <c r="I160" s="52">
        <v>46403</v>
      </c>
      <c r="J160" s="51" t="s">
        <v>58</v>
      </c>
      <c r="K160" s="51" t="s">
        <v>58</v>
      </c>
      <c r="L160" s="51">
        <v>21</v>
      </c>
      <c r="M160" s="51" t="s">
        <v>365</v>
      </c>
      <c r="N160" s="51" t="s">
        <v>370</v>
      </c>
      <c r="O160" s="51" t="s">
        <v>242</v>
      </c>
      <c r="P160" s="51"/>
      <c r="Q160" s="51"/>
      <c r="R160" s="51"/>
      <c r="S160" s="51"/>
      <c r="T160" s="51"/>
      <c r="U160" s="51"/>
      <c r="V160" s="51" t="s">
        <v>196</v>
      </c>
      <c r="W160" s="51"/>
    </row>
    <row r="161" spans="1:23" ht="20.100000000000001" hidden="1" customHeight="1" x14ac:dyDescent="0.25">
      <c r="A161" s="51">
        <v>1055</v>
      </c>
      <c r="B161" s="51" t="s">
        <v>63</v>
      </c>
      <c r="C161" s="51" t="s">
        <v>678</v>
      </c>
      <c r="D161" s="51" t="s">
        <v>378</v>
      </c>
      <c r="E161" s="51">
        <v>1</v>
      </c>
      <c r="F161" s="51">
        <v>1700</v>
      </c>
      <c r="G161" s="51" t="s">
        <v>684</v>
      </c>
      <c r="H161" s="51" t="s">
        <v>204</v>
      </c>
      <c r="I161" s="52">
        <v>46325</v>
      </c>
      <c r="J161" s="51" t="s">
        <v>58</v>
      </c>
      <c r="K161" s="51" t="s">
        <v>58</v>
      </c>
      <c r="L161" s="51">
        <v>23</v>
      </c>
      <c r="M161" s="51" t="s">
        <v>365</v>
      </c>
      <c r="N161" s="51" t="s">
        <v>370</v>
      </c>
      <c r="O161" s="51" t="s">
        <v>242</v>
      </c>
      <c r="P161" s="51"/>
      <c r="Q161" s="51"/>
      <c r="R161" s="51"/>
      <c r="S161" s="51"/>
      <c r="T161" s="51"/>
      <c r="U161" s="51"/>
      <c r="V161" s="51" t="s">
        <v>196</v>
      </c>
      <c r="W161" s="51"/>
    </row>
    <row r="162" spans="1:23" ht="20.100000000000001" hidden="1" customHeight="1" x14ac:dyDescent="0.25">
      <c r="A162" s="51">
        <v>1055</v>
      </c>
      <c r="B162" s="51" t="s">
        <v>63</v>
      </c>
      <c r="C162" s="51" t="s">
        <v>678</v>
      </c>
      <c r="D162" s="51" t="s">
        <v>378</v>
      </c>
      <c r="E162" s="51">
        <v>1</v>
      </c>
      <c r="F162" s="51">
        <v>1700</v>
      </c>
      <c r="G162" s="51" t="s">
        <v>369</v>
      </c>
      <c r="H162" s="51" t="s">
        <v>204</v>
      </c>
      <c r="I162" s="52">
        <v>46433</v>
      </c>
      <c r="J162" s="51" t="s">
        <v>58</v>
      </c>
      <c r="K162" s="51" t="s">
        <v>58</v>
      </c>
      <c r="L162" s="51">
        <v>12</v>
      </c>
      <c r="M162" s="51" t="s">
        <v>365</v>
      </c>
      <c r="N162" s="51" t="s">
        <v>370</v>
      </c>
      <c r="O162" s="51" t="s">
        <v>242</v>
      </c>
      <c r="P162" s="51"/>
      <c r="Q162" s="51"/>
      <c r="R162" s="51"/>
      <c r="S162" s="51"/>
      <c r="T162" s="51"/>
      <c r="U162" s="51"/>
      <c r="V162" s="51" t="s">
        <v>196</v>
      </c>
      <c r="W162" s="51"/>
    </row>
    <row r="163" spans="1:23" ht="20.100000000000001" hidden="1" customHeight="1" x14ac:dyDescent="0.25">
      <c r="A163" s="51">
        <v>1055</v>
      </c>
      <c r="B163" s="51" t="s">
        <v>63</v>
      </c>
      <c r="C163" s="51" t="s">
        <v>678</v>
      </c>
      <c r="D163" s="51" t="s">
        <v>378</v>
      </c>
      <c r="E163" s="51">
        <v>1</v>
      </c>
      <c r="F163" s="51">
        <v>2000</v>
      </c>
      <c r="G163" s="51" t="s">
        <v>367</v>
      </c>
      <c r="H163" s="51" t="s">
        <v>244</v>
      </c>
      <c r="I163" s="52">
        <v>46415</v>
      </c>
      <c r="J163" s="51" t="s">
        <v>58</v>
      </c>
      <c r="K163" s="51" t="s">
        <v>58</v>
      </c>
      <c r="L163" s="51">
        <v>54</v>
      </c>
      <c r="M163" s="51" t="s">
        <v>365</v>
      </c>
      <c r="N163" s="51" t="s">
        <v>370</v>
      </c>
      <c r="O163" s="51" t="s">
        <v>242</v>
      </c>
      <c r="P163" s="51"/>
      <c r="Q163" s="51"/>
      <c r="R163" s="51"/>
      <c r="S163" s="51"/>
      <c r="T163" s="51"/>
      <c r="U163" s="51"/>
      <c r="V163" s="51" t="s">
        <v>196</v>
      </c>
      <c r="W163" s="51"/>
    </row>
    <row r="164" spans="1:23" ht="20.100000000000001" hidden="1" customHeight="1" x14ac:dyDescent="0.25">
      <c r="A164" s="51">
        <v>1055</v>
      </c>
      <c r="B164" s="51" t="s">
        <v>63</v>
      </c>
      <c r="C164" s="51" t="s">
        <v>678</v>
      </c>
      <c r="D164" s="51" t="s">
        <v>378</v>
      </c>
      <c r="E164" s="51">
        <v>1</v>
      </c>
      <c r="F164" s="51">
        <v>2000</v>
      </c>
      <c r="G164" s="51" t="s">
        <v>684</v>
      </c>
      <c r="H164" s="51" t="s">
        <v>244</v>
      </c>
      <c r="I164" s="52">
        <v>46418</v>
      </c>
      <c r="J164" s="51" t="s">
        <v>58</v>
      </c>
      <c r="K164" s="51" t="s">
        <v>58</v>
      </c>
      <c r="L164" s="51">
        <v>63</v>
      </c>
      <c r="M164" s="51" t="s">
        <v>365</v>
      </c>
      <c r="N164" s="51" t="s">
        <v>370</v>
      </c>
      <c r="O164" s="51" t="s">
        <v>242</v>
      </c>
      <c r="P164" s="51"/>
      <c r="Q164" s="51"/>
      <c r="R164" s="51"/>
      <c r="S164" s="51"/>
      <c r="T164" s="51"/>
      <c r="U164" s="51"/>
      <c r="V164" s="51" t="s">
        <v>196</v>
      </c>
      <c r="W164" s="51"/>
    </row>
    <row r="165" spans="1:23" ht="20.100000000000001" hidden="1" customHeight="1" x14ac:dyDescent="0.25">
      <c r="A165" s="51">
        <v>1055</v>
      </c>
      <c r="B165" s="51" t="s">
        <v>63</v>
      </c>
      <c r="C165" s="51" t="s">
        <v>678</v>
      </c>
      <c r="D165" s="51" t="s">
        <v>378</v>
      </c>
      <c r="E165" s="51">
        <v>1</v>
      </c>
      <c r="F165" s="51">
        <v>2000</v>
      </c>
      <c r="G165" s="51" t="s">
        <v>369</v>
      </c>
      <c r="H165" s="51" t="s">
        <v>244</v>
      </c>
      <c r="I165" s="52">
        <v>46436</v>
      </c>
      <c r="J165" s="51" t="s">
        <v>58</v>
      </c>
      <c r="K165" s="51" t="s">
        <v>58</v>
      </c>
      <c r="L165" s="51">
        <v>62</v>
      </c>
      <c r="M165" s="51" t="s">
        <v>365</v>
      </c>
      <c r="N165" s="51" t="s">
        <v>370</v>
      </c>
      <c r="O165" s="51" t="s">
        <v>242</v>
      </c>
      <c r="P165" s="51"/>
      <c r="Q165" s="51"/>
      <c r="R165" s="51"/>
      <c r="S165" s="51"/>
      <c r="T165" s="51"/>
      <c r="U165" s="51"/>
      <c r="V165" s="51" t="s">
        <v>196</v>
      </c>
      <c r="W165" s="51"/>
    </row>
    <row r="166" spans="1:23" ht="20.100000000000001" hidden="1" customHeight="1" x14ac:dyDescent="0.25">
      <c r="A166" s="78">
        <v>2371</v>
      </c>
      <c r="B166" s="51" t="s">
        <v>63</v>
      </c>
      <c r="C166" s="51" t="s">
        <v>678</v>
      </c>
      <c r="D166" s="51" t="s">
        <v>562</v>
      </c>
      <c r="E166" s="51">
        <v>1</v>
      </c>
      <c r="F166" s="51">
        <v>2000</v>
      </c>
      <c r="G166" s="54" t="s">
        <v>63</v>
      </c>
      <c r="H166" s="54" t="s">
        <v>63</v>
      </c>
      <c r="I166" s="52">
        <v>46388</v>
      </c>
      <c r="J166" s="51" t="s">
        <v>58</v>
      </c>
      <c r="K166" s="51" t="s">
        <v>58</v>
      </c>
      <c r="L166" s="51" t="s">
        <v>58</v>
      </c>
      <c r="M166" s="51" t="s">
        <v>365</v>
      </c>
      <c r="N166" s="51" t="s">
        <v>471</v>
      </c>
      <c r="O166" s="51" t="s">
        <v>220</v>
      </c>
      <c r="P166" s="51" t="s">
        <v>462</v>
      </c>
      <c r="Q166" s="51" t="s">
        <v>370</v>
      </c>
      <c r="R166" s="51"/>
      <c r="S166" s="51"/>
      <c r="T166" s="51"/>
      <c r="U166" s="51"/>
      <c r="V166" s="51" t="s">
        <v>196</v>
      </c>
      <c r="W166" s="51"/>
    </row>
    <row r="167" spans="1:23" ht="20.100000000000001" hidden="1" customHeight="1" x14ac:dyDescent="0.25">
      <c r="A167" s="78">
        <v>2371</v>
      </c>
      <c r="B167" s="51" t="s">
        <v>63</v>
      </c>
      <c r="C167" s="51" t="s">
        <v>678</v>
      </c>
      <c r="D167" s="51" t="s">
        <v>562</v>
      </c>
      <c r="E167" s="51">
        <v>1</v>
      </c>
      <c r="F167" s="51">
        <v>1700</v>
      </c>
      <c r="G167" s="54" t="s">
        <v>63</v>
      </c>
      <c r="H167" s="54" t="s">
        <v>63</v>
      </c>
      <c r="I167" s="52">
        <v>46388</v>
      </c>
      <c r="J167" s="51" t="s">
        <v>58</v>
      </c>
      <c r="K167" s="51" t="s">
        <v>58</v>
      </c>
      <c r="L167" s="51" t="s">
        <v>58</v>
      </c>
      <c r="M167" s="51" t="s">
        <v>365</v>
      </c>
      <c r="N167" s="51" t="s">
        <v>471</v>
      </c>
      <c r="O167" s="51" t="s">
        <v>220</v>
      </c>
      <c r="P167" s="51" t="s">
        <v>462</v>
      </c>
      <c r="Q167" s="51" t="s">
        <v>370</v>
      </c>
      <c r="R167" s="51"/>
      <c r="S167" s="51"/>
      <c r="T167" s="51"/>
      <c r="U167" s="51"/>
      <c r="V167" s="51" t="s">
        <v>196</v>
      </c>
      <c r="W167" s="51"/>
    </row>
    <row r="168" spans="1:23" ht="20.100000000000001" customHeight="1" x14ac:dyDescent="0.25"/>
    <row r="169" spans="1:23" ht="20.100000000000001" customHeight="1" x14ac:dyDescent="0.25"/>
    <row r="170" spans="1:23" ht="20.100000000000001" customHeight="1" x14ac:dyDescent="0.25"/>
    <row r="171" spans="1:23" ht="20.100000000000001" customHeight="1" x14ac:dyDescent="0.25"/>
    <row r="172" spans="1:23" ht="20.100000000000001" customHeight="1" x14ac:dyDescent="0.25"/>
    <row r="173" spans="1:23" ht="20.100000000000001" customHeight="1" x14ac:dyDescent="0.25"/>
    <row r="174" spans="1:23" ht="20.100000000000001" customHeight="1" x14ac:dyDescent="0.25"/>
    <row r="175" spans="1:23" ht="20.100000000000001" customHeight="1" x14ac:dyDescent="0.25"/>
    <row r="176" spans="1:23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view="pageBreakPreview" zoomScaleNormal="100" zoomScaleSheetLayoutView="100" workbookViewId="0">
      <selection activeCell="J37" sqref="J37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609</v>
      </c>
      <c r="I1" s="19" t="s">
        <v>605</v>
      </c>
      <c r="J1" s="19" t="s">
        <v>608</v>
      </c>
      <c r="K1" s="19" t="s">
        <v>606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604</v>
      </c>
      <c r="H2" s="22">
        <v>46220</v>
      </c>
      <c r="I2" s="22"/>
      <c r="J2" s="22">
        <v>46592</v>
      </c>
      <c r="K2" s="22"/>
      <c r="L2" s="22">
        <v>46694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604</v>
      </c>
      <c r="H3" s="22">
        <v>46220</v>
      </c>
      <c r="I3" s="22"/>
      <c r="J3" s="22">
        <v>46592</v>
      </c>
      <c r="K3" s="22"/>
      <c r="L3" s="22">
        <v>46473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604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607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604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607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604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604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607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604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607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604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607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604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607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604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607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604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607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604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607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603</v>
      </c>
      <c r="H14" s="24" t="s">
        <v>324</v>
      </c>
      <c r="I14" s="24" t="s">
        <v>474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607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604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604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607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604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607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604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607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603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607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604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604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607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604</v>
      </c>
      <c r="H22" s="22">
        <v>46206</v>
      </c>
      <c r="I22" s="22">
        <v>46227</v>
      </c>
      <c r="J22" s="22">
        <v>46213</v>
      </c>
      <c r="K22" s="22">
        <v>46237</v>
      </c>
      <c r="L22" s="22">
        <v>46228</v>
      </c>
      <c r="M22" s="20">
        <v>285</v>
      </c>
      <c r="N22" s="22" t="s">
        <v>607</v>
      </c>
      <c r="O22" s="47" t="s">
        <v>611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604</v>
      </c>
      <c r="H23" s="22">
        <v>46578</v>
      </c>
      <c r="I23" s="22"/>
      <c r="J23" s="22">
        <v>46220</v>
      </c>
      <c r="K23" s="22"/>
      <c r="L23" s="22">
        <v>46593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604</v>
      </c>
      <c r="H24" s="22">
        <v>46206</v>
      </c>
      <c r="I24" s="22">
        <v>46227</v>
      </c>
      <c r="J24" s="22">
        <v>46213</v>
      </c>
      <c r="K24" s="22">
        <v>46238</v>
      </c>
      <c r="L24" s="22">
        <v>46228</v>
      </c>
      <c r="M24" s="20">
        <v>285</v>
      </c>
      <c r="N24" s="22" t="s">
        <v>607</v>
      </c>
      <c r="O24" s="47" t="s">
        <v>611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604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475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604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475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604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603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607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603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607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603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607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603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607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604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604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604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604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604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603</v>
      </c>
      <c r="H37" s="72">
        <v>46213</v>
      </c>
      <c r="I37" s="22">
        <v>46233</v>
      </c>
      <c r="J37" s="22">
        <v>46226</v>
      </c>
      <c r="K37" s="22">
        <v>46238</v>
      </c>
      <c r="L37" s="22">
        <v>46246</v>
      </c>
      <c r="M37" s="20">
        <v>124</v>
      </c>
      <c r="N37" s="22" t="s">
        <v>607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603</v>
      </c>
      <c r="H38" s="72">
        <v>46213</v>
      </c>
      <c r="I38" s="22">
        <v>46233</v>
      </c>
      <c r="J38" s="22">
        <v>46226</v>
      </c>
      <c r="K38" s="22">
        <v>46238</v>
      </c>
      <c r="L38" s="22">
        <v>46246</v>
      </c>
      <c r="M38" s="20">
        <v>124</v>
      </c>
      <c r="N38" s="22" t="s">
        <v>607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603</v>
      </c>
      <c r="H39" s="72">
        <v>46213</v>
      </c>
      <c r="I39" s="22">
        <v>46233</v>
      </c>
      <c r="J39" s="22">
        <v>46226</v>
      </c>
      <c r="K39" s="22">
        <v>46238</v>
      </c>
      <c r="L39" s="22">
        <v>46246</v>
      </c>
      <c r="M39" s="20">
        <v>124</v>
      </c>
      <c r="N39" s="22" t="s">
        <v>607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603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603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604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604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604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604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604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604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604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604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604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603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604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604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604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604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604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604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604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604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603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G9" sqref="G9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2">
        <v>46237</v>
      </c>
      <c r="K27" s="47" t="s">
        <v>322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2">
        <v>46237</v>
      </c>
      <c r="K28" s="47" t="s">
        <v>322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2">
        <v>46237</v>
      </c>
      <c r="K29" s="47" t="s">
        <v>322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2">
        <v>46237</v>
      </c>
      <c r="K30" s="47" t="s">
        <v>322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2">
        <v>46237</v>
      </c>
      <c r="K31" s="47" t="s">
        <v>322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2">
        <v>46237</v>
      </c>
      <c r="K32" s="47" t="s">
        <v>322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2">
        <v>46237</v>
      </c>
      <c r="K42" s="47" t="s">
        <v>322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610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610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3</vt:i4>
      </vt:variant>
    </vt:vector>
  </HeadingPairs>
  <TitlesOfParts>
    <vt:vector size="14" baseType="lpstr">
      <vt:lpstr>BAGACEIRAS</vt:lpstr>
      <vt:lpstr>PENTES</vt:lpstr>
      <vt:lpstr>RODETES NOVOS</vt:lpstr>
      <vt:lpstr>REFORMA DIVERSAS</vt:lpstr>
      <vt:lpstr>PERIFÉRICOS</vt:lpstr>
      <vt:lpstr>ROLOS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2026-08-11T13:30:01Z</dcterms:modified>
</cp:coreProperties>
</file>