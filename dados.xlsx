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4F911457-1A8B-45F8-8834-897DDC8D8F16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CAMISAS" sheetId="7" r:id="rId5"/>
    <sheet name="VI DIVERSOS" sheetId="10" r:id="rId6"/>
    <sheet name="PLANEJADO BAGACEIRA" sheetId="5" state="hidden" r:id="rId7"/>
  </sheets>
  <definedNames>
    <definedName name="_xlnm._FilterDatabase" localSheetId="5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1" i="8" l="1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N111" i="2"/>
  <c r="O111" i="2" s="1"/>
  <c r="N112" i="2"/>
  <c r="O112" i="2" s="1"/>
  <c r="N113" i="2"/>
  <c r="O113" i="2" s="1"/>
  <c r="N114" i="2"/>
  <c r="O114" i="2" s="1"/>
  <c r="P111" i="2"/>
  <c r="P112" i="2"/>
  <c r="P113" i="2"/>
  <c r="P114" i="2"/>
  <c r="AC111" i="2"/>
  <c r="AC112" i="2"/>
  <c r="AC113" i="2"/>
  <c r="AC114" i="2"/>
  <c r="K110" i="2"/>
  <c r="N110" i="2"/>
  <c r="O110" i="2" s="1"/>
  <c r="P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P101" i="2"/>
  <c r="P102" i="2"/>
  <c r="P103" i="2"/>
  <c r="P104" i="2"/>
  <c r="P105" i="2"/>
  <c r="P106" i="2"/>
  <c r="P107" i="2"/>
  <c r="P108" i="2"/>
  <c r="P109" i="2"/>
  <c r="K100" i="2"/>
  <c r="N100" i="2"/>
  <c r="O100" i="2" s="1"/>
  <c r="P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N95" i="2"/>
  <c r="O95" i="2" s="1"/>
  <c r="N96" i="2"/>
  <c r="O96" i="2" s="1"/>
  <c r="N97" i="2"/>
  <c r="O97" i="2" s="1"/>
  <c r="N98" i="2"/>
  <c r="O98" i="2" s="1"/>
  <c r="N99" i="2"/>
  <c r="O99" i="2" s="1"/>
  <c r="P95" i="2"/>
  <c r="P96" i="2"/>
  <c r="P97" i="2"/>
  <c r="P98" i="2"/>
  <c r="P99" i="2"/>
  <c r="AC94" i="2"/>
  <c r="AC93" i="2"/>
  <c r="AC92" i="2"/>
  <c r="AC91" i="2"/>
  <c r="AC90" i="2"/>
  <c r="K90" i="2"/>
  <c r="K91" i="2"/>
  <c r="K92" i="2"/>
  <c r="K93" i="2"/>
  <c r="K94" i="2"/>
  <c r="N90" i="2"/>
  <c r="O90" i="2" s="1"/>
  <c r="N91" i="2"/>
  <c r="O91" i="2" s="1"/>
  <c r="N92" i="2"/>
  <c r="O92" i="2" s="1"/>
  <c r="N93" i="2"/>
  <c r="O93" i="2" s="1"/>
  <c r="N94" i="2"/>
  <c r="O94" i="2" s="1"/>
  <c r="P90" i="2"/>
  <c r="P91" i="2"/>
  <c r="P92" i="2"/>
  <c r="P93" i="2"/>
  <c r="P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2" i="2"/>
  <c r="O2" i="2" s="1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3" i="2"/>
  <c r="O43" i="2" s="1"/>
  <c r="N44" i="2"/>
  <c r="O44" i="2" s="1"/>
  <c r="N45" i="2"/>
  <c r="O45" i="2" s="1"/>
  <c r="N46" i="2"/>
  <c r="O46" i="2" s="1"/>
  <c r="N47" i="2"/>
  <c r="O47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P75" i="2"/>
  <c r="K76" i="2"/>
  <c r="P76" i="2"/>
  <c r="K77" i="2"/>
  <c r="P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P85" i="2"/>
  <c r="P86" i="2"/>
  <c r="P87" i="2"/>
  <c r="P88" i="2"/>
  <c r="P89" i="2"/>
  <c r="K84" i="2"/>
  <c r="P84" i="2"/>
  <c r="K79" i="2"/>
  <c r="K80" i="2"/>
  <c r="K81" i="2"/>
  <c r="K82" i="2"/>
  <c r="K83" i="2"/>
  <c r="P79" i="2"/>
  <c r="P80" i="2"/>
  <c r="P81" i="2"/>
  <c r="P82" i="2"/>
  <c r="P83" i="2"/>
  <c r="K78" i="2"/>
  <c r="P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P70" i="2"/>
  <c r="P71" i="2"/>
  <c r="P72" i="2"/>
  <c r="P73" i="2"/>
  <c r="P74" i="2"/>
  <c r="K69" i="2"/>
  <c r="P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30" i="2"/>
  <c r="P31" i="2"/>
  <c r="P32" i="2"/>
  <c r="P33" i="2"/>
  <c r="P34" i="2"/>
  <c r="P35" i="2"/>
  <c r="P36" i="2"/>
  <c r="P37" i="2"/>
  <c r="P60" i="2"/>
  <c r="P61" i="2"/>
  <c r="P62" i="2"/>
  <c r="P63" i="2"/>
  <c r="P64" i="2"/>
  <c r="P65" i="2"/>
  <c r="P66" i="2"/>
  <c r="P24" i="2"/>
  <c r="P25" i="2"/>
  <c r="P26" i="2"/>
  <c r="P27" i="2"/>
  <c r="P28" i="2"/>
  <c r="P29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7" i="2"/>
  <c r="P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<sst xmlns="http://schemas.openxmlformats.org/spreadsheetml/2006/main" count="4222" uniqueCount="222">
  <si>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</si>
  <si>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</si>
  <si>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</si>
  <si>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</si>
  <si>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</si>
  <si>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</si>
  <si>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</si>
  <si>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</si>
  <si>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</si>
  <si>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</si>
  <si>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</si>
  <si>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</si>
  <si>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</si>
  <si>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</si>
  <si>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</si>
  <si>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</si>
  <si>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</si>
  <si>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</si>
  <si>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</si>
  <si>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</si>
  <si>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</si>
  <si>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</si>
  <si>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</si>
  <si>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</si>
  <si>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</si>
  <si>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</si>
  <si>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</si>
  <si>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</si>
  <si>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</si>
  <si>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</si>
  <si>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</si>
  <si>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</si>
  <si>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</si>
  <si>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</si>
  <si>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</si>
  <si>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</si>
  <si>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</si>
  <si>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</si>
  <si>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</si>
  <si>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</si>
  <si>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</si>
  <si>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</si>
  <si>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</si>
  <si>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</si>
  <si>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</si>
  <si>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</si>
  <si>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</si>
  <si>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</si>
  <si>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</si>
  <si>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</si>
  <si>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</si>
  <si>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</si>
  <si>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</si>
  <si>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</si>
  <si>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</si>
  <si>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</si>
  <si>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</si>
  <si>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</si>
  <si>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</si>
  <si>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</si>
  <si>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</si>
  <si>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</si>
  <si>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</si>
  <si>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</si>
  <si>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</si>
  <si>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</si>
  <si>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</si>
  <si>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</si>
  <si>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</si>
  <si>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</si>
  <si>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</si>
  <si>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</si>
  <si>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</si>
  <si>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</si>
  <si>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</si>
  <si>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</si>
  <si>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</si>
  <si>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</si>
  <si>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</si>
  <si>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</si>
  <si>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</si>
  <si>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</si>
  <si>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</si>
  <si>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</si>
  <si>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</si>
  <si>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</si>
  <si>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</si>
  <si>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</si>
  <si>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</si>
  <si>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</si>
  <si>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</si>
  <si>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</si>
  <si>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</si>
  <si>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</si>
  <si>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</si>
  <si>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</si>
  <si>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</si>
  <si>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</si>
  <si>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</si>
  <si>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</si>
  <si>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</si>
  <si>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</si>
  <si>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</si>
  <si>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</si>
  <si>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</si>
  <si>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</si>
  <si>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</si>
  <si>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</si>
  <si>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</si>
  <si>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</si>
  <si>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</si>
  <si>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</si>
  <si>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</si>
  <si>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</si>
  <si>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</si>
  <si>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</si>
  <si>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</si>
  <si>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</si>
  <si>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</si>
  <si>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</si>
  <si>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</si>
  <si>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</si>
  <si>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</si>
  <si>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</si>
  <si>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</si>
  <si>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</si>
  <si>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</si>
  <si>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</si>
  <si>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Prazo Contratual</t>
  </si>
  <si>
    <t>Fusão</t>
  </si>
  <si>
    <t>Status
Usinagem</t>
  </si>
  <si>
    <t>Recurso
Orçado</t>
  </si>
  <si>
    <t>Metso Brasil Indústria e Comércio Ltda.</t>
  </si>
  <si>
    <t>CABEÇA MP800 FUND. C/ DESB. (1042472704)</t>
  </si>
  <si>
    <t>Sim</t>
  </si>
  <si>
    <t>Zanini Renk Equipamentos Industriais Ltda.</t>
  </si>
  <si>
    <t>ENGRENAGEM FUND. S/ USIN. (02.243.02001)</t>
  </si>
  <si>
    <t>ANEL DE AJUSTE HP500/HP600E FUND. C/ USIN. EM DESB. (N12504019-099)</t>
  </si>
  <si>
    <t>GE Energias Renovaveis Ltda</t>
  </si>
  <si>
    <t>CUBO DO ROTOR FUND. C/ USIN. ACAB. + PINTURA + INPEÇÃO 3D (25203702MEI32-201F - EHL-001532-OS01MT01)</t>
  </si>
  <si>
    <t>ANEL GUIA FUND. C/ USIN. ACAB. + PINTURA (25203702MEI32-201F - EHL-001532-OS01MT01)</t>
  </si>
  <si>
    <t>ALAVANCA FUND. C/ USIN. ACAB. + PINTURA (25203702MEI33-201F - EHL-001532-OS01MT01)</t>
  </si>
  <si>
    <t>CRUZETA FUND. C/ USIN. ACAB. + PINTURA + INPEÇÃO 3D (25203702MEI33-204F - EHL-001532-OS01MT01)</t>
  </si>
  <si>
    <t>Siemens Energy Brasil Ltda</t>
  </si>
  <si>
    <t>CARCAÇA INFERIOR FUND. C/ USIN. (0.12.413.144.0)</t>
  </si>
  <si>
    <t>CAPA DA ARANHA ROCK BOX FUND. C/ USIN. ACAB. (17-403-103-001)</t>
  </si>
  <si>
    <t>BOJO MP1000 C/ DESBASTE (1020059611)</t>
  </si>
  <si>
    <t>CARCAÇA SUPERIOR FUND. C/ USIN. (0.12.413.145.0)</t>
  </si>
  <si>
    <t>BOJO MP1000 C/ DESB. (1020059612)</t>
  </si>
  <si>
    <t>CABECA MP1000 C/ DESBASTE (MM0240710)</t>
  </si>
  <si>
    <t>CABECA HP800 FUND. C/ DESB. (1042472608)</t>
  </si>
  <si>
    <t>Não</t>
  </si>
  <si>
    <t>Rhinus Indústria de Máquinas e Equipamentos LTDA</t>
  </si>
  <si>
    <t>PILÃO 5000 - RH7000-5 FUND. C/ USIN. ACABAMENTO</t>
  </si>
  <si>
    <t>PILÃO EXTRA 2000 FUND. C/ USIN. ACABAMENTO</t>
  </si>
  <si>
    <t>Piacentini &amp; Cia. Ltda.</t>
  </si>
  <si>
    <t>CORPO GARGANTA DE ALIMENTAÇÃO FUND. S/ USIN. (0303030202001218940)</t>
  </si>
  <si>
    <t>CORPO GARGANTA DE DESCARGA FUND. S/ USIN. (0303030202001218940)</t>
  </si>
  <si>
    <t>CAPA DA ARANHA. C/ USIN. FINAL (MM1617642)</t>
  </si>
  <si>
    <t>PIETRO BORGO &amp; CIA</t>
  </si>
  <si>
    <t>ANEL FUND. C/ USIN. EM DESBASTE 720 × DIÂM. 620 × 470 MM)</t>
  </si>
  <si>
    <t>ANEL FUND. C/ USIN. EM DESBASTE (690 × DIÂM. 630 × 525 MM)</t>
  </si>
  <si>
    <t>IMPERIO EXTRUSAO DE ALUMINIO LTDA</t>
  </si>
  <si>
    <t>CILINDRO PRINCIPAL FUND. C/ USIN. EM DESBASTE (6332 PRENSA P5-C)</t>
  </si>
  <si>
    <t>Superior Industries do Brasil Ltda.</t>
  </si>
  <si>
    <t>REVESTIMENTO MOVEL,18%MN, 30X55 FUND. C/ USIN. NA FACE 130MM (50-3055M181-1)</t>
  </si>
  <si>
    <t>REVESTIMENTO FIXO,18%MN, 30X55 FUND. C/ USIN. NA FACE 130MM (50-3055S181-1)</t>
  </si>
  <si>
    <t>REVESTIMENTO MOVEL,18%MN, 30X42FUND. C/ USIN. NA FACE 120MM (50-3042M181-1)</t>
  </si>
  <si>
    <t>REVESTIMENTO FIXO,18%MN, 30X42FUND. C/ USIN. NA FACE 120MM (50-3042S181-1)</t>
  </si>
  <si>
    <t>ANEL AJUSTE HP800 C/ DESB. (1061877931)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</si>
  <si>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</si>
  <si>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</si>
  <si>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</si>
  <si>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</si>
  <si>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</si>
  <si>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</si>
  <si>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</si>
  <si>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</si>
  <si>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</si>
  <si>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</si>
  <si>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</si>
  <si>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</si>
  <si>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</si>
  <si>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</si>
  <si>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</si>
  <si>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</si>
  <si>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</si>
  <si>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</si>
  <si>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</si>
  <si>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</si>
  <si>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Prazo Fund. Prev.
(Desbaste)</t>
  </si>
  <si>
    <t>Prazo Fund. Real
(Desbaste)</t>
  </si>
  <si>
    <t>Prazo Usin. Prev.
(Desbaste)</t>
  </si>
  <si>
    <t>Prazo Usin. Real
(Desbaste)</t>
  </si>
  <si>
    <t>Prazo Fund. Prev.
(Acabamento)</t>
  </si>
  <si>
    <t>Prazo Usin. Prev.
(Acabamento)</t>
  </si>
  <si>
    <t>Prazo Usin. Real
(Acabamento)</t>
  </si>
  <si>
    <t>Santa Terezinha Terra Rica</t>
  </si>
  <si>
    <t>Suporte da Bagaceira - 78"</t>
  </si>
  <si>
    <t>PRONTO</t>
  </si>
  <si>
    <t>ITEM</t>
  </si>
  <si>
    <t>PEÇA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</si>
  <si>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</si>
  <si>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</si>
  <si>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</si>
  <si>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</si>
  <si>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</si>
  <si>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</si>
  <si>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</si>
  <si>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</si>
  <si>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</si>
  <si>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</si>
  <si>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</si>
  <si>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</si>
  <si>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</si>
  <si>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</si>
  <si>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</si>
  <si>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RNC</t>
  </si>
  <si>
    <t>PENTE SUPERIOR CONVENCIONAL FR 2"- 66"</t>
  </si>
  <si>
    <t>PENTE INFERIOR CONVENCIONAL FR 2"- 66"</t>
  </si>
  <si>
    <t>PENTE SUPERIOR CONVENCIONAL FR 1.5" - 66"</t>
  </si>
  <si>
    <t>PENTE INFERIOR CONVENCIONAL FR 1.5" - 66"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</si>
</sst>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0" fillId="0" borderId="0" xfId="0" applyFont="1"/>
    <xf numFmtId="1" fontId="0" fillId="0" borderId="0" xfId="0" applyNumberFormat="1" applyFont="1" applyAlignment="1">
      <alignment horizontal="center"/>
    </xf>
    <xf numFmtId="0" fontId="0" fillId="0" borderId="0" xfId="0" applyNumberFormat="1" applyFo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14" fontId="0" fillId="0" borderId="0" xfId="0" applyNumberFormat="1" applyFont="1"/>
    <xf numFmtId="0" fontId="0" fillId="0" borderId="0" xfId="0" applyNumberFormat="1" applyFont="1" applyAlignment="1">
      <alignment horizontal="center" vertical="center"/>
    </xf>
    <xf numFmtId="1" fontId="0" fillId="0" borderId="3" xfId="0" applyNumberFormat="1" applyFont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1" fontId="0" fillId="0" borderId="4" xfId="0" applyNumberFormat="1" applyFont="1" applyBorder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111"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10" dataDxfId="109">
  <autoFilter ref="A1:AI114" xr:uid="{0B979512-8F08-4F92-A755-B1320B33B48D}"/>
  <tableColumns count="35">
    <tableColumn id="1" xr3:uid="{2AE87B23-57FB-4D7F-8BFD-D65EC0053BA3}" name="PV" dataDxfId="108"/>
    <tableColumn id="2" xr3:uid="{81052488-0765-4420-B185-DA73AE55FD88}" name="Item" dataDxfId="107"/>
    <tableColumn id="3" xr3:uid="{0E7DB960-0044-4341-ADB4-2A033B27B993}" name="O.S." dataDxfId="106"/>
    <tableColumn id="4" xr3:uid="{B0F20CBE-FFF4-445B-B0BF-7A9C6A140189}" name="Item2" dataDxfId="105"/>
    <tableColumn id="5" xr3:uid="{D1656E30-4AB0-4CD0-BF13-6D5A49C6E4A0}" name="Cliente" dataDxfId="104"/>
    <tableColumn id="6" xr3:uid="{71A11213-5711-429D-A6E0-A2F44677AD5D}" name="Peça" dataDxfId="103"/>
    <tableColumn id="7" xr3:uid="{3F7FD9F6-0726-4021-82B3-E31575A97A46}" name="Seq." dataDxfId="102"/>
    <tableColumn id="8" xr3:uid="{0D871CDA-AC7B-4365-B4FD-95C8967CF254}" name="Descrição" dataDxfId="101"/>
    <tableColumn id="9" xr3:uid="{9C6311D3-DE8E-4A12-8716-11D7CF745EA9}" name="Qtde." dataDxfId="100"/>
    <tableColumn id="10" xr3:uid="{0D119764-5D6A-44D7-A0C6-EAAE37326AEF}" name="Prazo_x000a_Fundido" dataDxfId="99"/>
    <tableColumn id="20" xr3:uid="{2835FDBA-B893-4E1E-9252-D088967B6B9B}" name="Semana_x000a_Fundido" dataDxfId="98">
      <calculatedColumnFormula>WEEKNUM(Tabela1[[#This Row],[Prazo
Fundido]])</calculatedColumnFormula>
    </tableColumn>
    <tableColumn id="11" xr3:uid="{357F67DE-6B6F-4353-906F-4FBB26ED7226}" name="Pz Fundido_x000a_Real" dataDxfId="97"/>
    <tableColumn id="12" xr3:uid="{5CF37CA2-8EC2-4A06-8A50-1305C1129D14}" name="Prazo_x000a_Entrega" dataDxfId="96"/>
    <tableColumn id="14" xr3:uid="{49E3A48F-4FBA-45ED-9BE5-0D3F2C039F64}" name="Dias_x000a_Falta2" dataDxfId="95">
      <calculatedColumnFormula>Tabela1[[#This Row],[Prazo
Entrega]]-TODAY()</calculatedColumnFormula>
    </tableColumn>
    <tableColumn id="24" xr3:uid="{FE82CCB3-C196-4A10-9CDF-EC3AAB610284}" name="Indicador" dataDxfId="94">
      <calculatedColumnFormula>IF(N2&lt;0,"ATRASADO",IF(N2&lt;=15,"ATENÇÃO","NO PRAZO"))</calculatedColumnFormula>
    </tableColumn>
    <tableColumn id="21" xr3:uid="{0E3EA19A-D149-4026-9EFA-582C442CDE24}" name="Semana_x000a_Entrega" dataDxfId="93">
      <calculatedColumnFormula>WEEKNUM(Tabela1[[#This Row],[Prazo
Entrega]],1)</calculatedColumnFormula>
    </tableColumn>
    <tableColumn id="13" xr3:uid="{0213EEC0-EBE2-48BA-B296-B21999E1620F}" name="Pz Entrega_x000a_Real" dataDxfId="92"/>
    <tableColumn id="22" xr3:uid="{8BBF8940-A612-415C-B30B-5BED69C42E59}" name="CONDIÇÃO" dataDxfId="91"/>
    <tableColumn id="35" xr3:uid="{DF0F32C7-2632-41CB-B20E-BE67D32DDFF8}" name="Desenho_x000a_Previsão" dataDxfId="90"/>
    <tableColumn id="33" xr3:uid="{B0C0F319-983E-42D8-8584-16523AED9BC7}" name="Des." dataDxfId="89"/>
    <tableColumn id="32" xr3:uid="{BB84EAAB-24E7-433E-8DE8-B7705F525D65}" name="Plainar" dataDxfId="88"/>
    <tableColumn id="31" xr3:uid="{811011C2-9E33-4F8A-BCD2-260DDF4CC060}" name="Facear" dataDxfId="87"/>
    <tableColumn id="30" xr3:uid="{EFE986D2-325F-4223-A6FC-89AFC0782517}" name="Serrar" dataDxfId="86"/>
    <tableColumn id="29" xr3:uid="{806CC413-43AC-4EDE-9413-A2852780B283}" name="Solda Dura" dataDxfId="85"/>
    <tableColumn id="28" xr3:uid="{669E3B74-6C47-4551-B95C-DE764412CB09}" name="Encaixe" dataDxfId="84"/>
    <tableColumn id="27" xr3:uid="{33B1427B-026C-4955-BEDC-C39ECFB35542}" name="Furação" dataDxfId="83"/>
    <tableColumn id="34" xr3:uid="{2004DA6B-65E8-4CFF-8DD6-03937C8E23A7}" name="Acabam." dataDxfId="82"/>
    <tableColumn id="25" xr3:uid="{94AD153B-B1BE-422C-9B64-A3F125946AE5}" name="Liberação" dataDxfId="81"/>
    <tableColumn id="23" xr3:uid="{6FFD36BA-4C85-4732-ACA9-BC9D46F4C26B}" name="Status Usinagem" dataDxfId="80">
      <calculatedColumnFormula>IF(L2="","AG. FUNDIDO",IF(U2="AG","AG. USINAGEM","EM USINAGEM"))</calculatedColumnFormula>
    </tableColumn>
    <tableColumn id="26" xr3:uid="{DF8CD1DA-6F25-4291-9F78-DB8D5E9AF463}" name="Observação" dataDxfId="79"/>
    <tableColumn id="15" xr3:uid="{8F53CFFE-8E1C-41F5-9090-488AE701829C}" name="Plainar_x000a_Facear" dataDxfId="78"/>
    <tableColumn id="16" xr3:uid="{EB12A620-BA24-453B-B639-A28F83CF7950}" name="Serrar2" dataDxfId="77"/>
    <tableColumn id="17" xr3:uid="{46D65A07-940A-4560-AFE5-056D37171937}" name="Solda_x000a_Dura2" dataDxfId="76"/>
    <tableColumn id="18" xr3:uid="{97823986-0C6D-4D6F-9BEE-2E43C2286AB2}" name="Encaixe /_x000a_Furação" dataDxfId="75"/>
    <tableColumn id="19" xr3:uid="{6F1924AE-480F-421A-BD70-FA16D1D4E641}" name="Acabam./_x000a_Inspeção" dataDxfId="7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31" totalsRowShown="0" headerRowDxfId="73" dataDxfId="72">
  <autoFilter ref="A1:V131" xr:uid="{71E71FAB-CF6D-4765-90BA-ABDE8C3299DB}"/>
  <tableColumns count="22">
    <tableColumn id="1" xr3:uid="{8F000DF9-1B1A-450A-B138-9EDBA7F17698}" name="PV" dataDxfId="71"/>
    <tableColumn id="2" xr3:uid="{4269DD7F-E557-42AF-949B-69AB74B45D7E}" name="Item" dataDxfId="70"/>
    <tableColumn id="3" xr3:uid="{B8E3D127-9007-43BC-9B71-611446984BAE}" name="O.S." dataDxfId="69"/>
    <tableColumn id="4" xr3:uid="{8A9FBC4E-431D-4132-B7C4-86DD1CC31C1D}" name="Item2" dataDxfId="68"/>
    <tableColumn id="5" xr3:uid="{E43CCBA4-A724-44DA-9BFB-2AD45322EC54}" name="Cliente" dataDxfId="67"/>
    <tableColumn id="6" xr3:uid="{301560AA-7C28-4FE5-AC00-2A14532B12A0}" name="Peça" dataDxfId="66"/>
    <tableColumn id="7" xr3:uid="{864BB541-5CD2-4DAB-AEC1-ADDD341A77F2}" name="Seq." dataDxfId="65"/>
    <tableColumn id="8" xr3:uid="{39F09B1D-71EC-461C-93C5-C5FCECCA0EC0}" name="Descrição" dataDxfId="64"/>
    <tableColumn id="9" xr3:uid="{0CC8781A-4370-473C-AD18-F562622EB79C}" name="Qtde." dataDxfId="63"/>
    <tableColumn id="10" xr3:uid="{8FC48674-090B-441A-B05D-5E7E4AB5177C}" name="Prazo_x000a_Fundido" dataDxfId="62"/>
    <tableColumn id="11" xr3:uid="{2B85402B-261F-4CF1-8AC4-DE439E438480}" name="Semana_x000a_Fundido" dataDxfId="61">
      <calculatedColumnFormula>WEEKNUM(Tabela3[[#This Row],[Prazo
Fundido]])</calculatedColumnFormula>
    </tableColumn>
    <tableColumn id="12" xr3:uid="{F410DF31-AFC5-4525-B8D3-A2AB464611B3}" name="Pz Fundido_x000a_Real" dataDxfId="60"/>
    <tableColumn id="13" xr3:uid="{7330A8B8-B0FE-4571-921F-35503842576A}" name="Prazo_x000a_Entrega" dataDxfId="59"/>
    <tableColumn id="23" xr3:uid="{050BF892-6E0A-4C1A-85E3-06353D54D7AC}" name="Pz Entrega_x000a_Real" dataDxfId="58"/>
    <tableColumn id="22" xr3:uid="{07396B9E-F2A0-47CC-B1C1-8D6A8D782E82}" name="Desenho_x000a_Previsão" dataDxfId="57"/>
    <tableColumn id="14" xr3:uid="{98904960-EE6F-4F44-87C3-8646B8C2D461}" name="Des." dataDxfId="56"/>
    <tableColumn id="15" xr3:uid="{4C38D84D-3A40-493A-A007-3826C38C0F9D}" name="Dias_x000a_Falta2" dataDxfId="55">
      <calculatedColumnFormula>Tabela3[[#This Row],[Prazo
Entrega]]-TODAY()</calculatedColumnFormula>
    </tableColumn>
    <tableColumn id="16" xr3:uid="{431C9D70-8530-4071-911B-7AAC65DE848C}" name="Indicador" dataDxfId="54">
      <calculatedColumnFormula>IF(Q2&lt;0,"ATRASADO",IF(Q2&lt;=15,"ATENÇÃO","NO PRAZO"))</calculatedColumnFormula>
    </tableColumn>
    <tableColumn id="17" xr3:uid="{37B1BAB9-4A72-4AB5-85A7-CFF0F27D94A6}" name="Semana_x000a_Entrega" dataDxfId="53">
      <calculatedColumnFormula>WEEKNUM(Tabela3[[#This Row],[Prazo
Entrega]])</calculatedColumnFormula>
    </tableColumn>
    <tableColumn id="19" xr3:uid="{A127FC22-0D53-4D0F-B783-28394B3FD90C}" name="CONDIÇÃO" dataDxfId="52"/>
    <tableColumn id="20" xr3:uid="{F610A49E-78E2-480E-B901-6B99A41E5174}" name="Status Usinagem" dataDxfId="51"/>
    <tableColumn id="21" xr3:uid="{FA7288EB-0143-4C36-8591-BF7231A8226E}" name="Observação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49" dataDxfId="48">
  <autoFilter ref="A1:Z35" xr:uid="{2AC5416C-4E1B-4478-8A2A-B698870CAB96}"/>
  <tableColumns count="26">
    <tableColumn id="1" xr3:uid="{9A983B4E-3365-4153-9B40-D7FE26E8B98F}" name="PV " dataDxfId="47"/>
    <tableColumn id="2" xr3:uid="{4F16CD54-AAD4-4149-8D48-CC3FFEA93AA5}" name="Item" dataDxfId="46"/>
    <tableColumn id="3" xr3:uid="{27DB1DBC-B9DA-4067-9696-8CA5ACAAA450}" name="OS" dataDxfId="45"/>
    <tableColumn id="4" xr3:uid="{02C5E283-8ABF-44F8-B3B8-C3F186B4DF63}" name="Item2" dataDxfId="44"/>
    <tableColumn id="5" xr3:uid="{B1051CBE-EA72-4A43-8721-8756F3E2C9C9}" name="Cliente" dataDxfId="43"/>
    <tableColumn id="6" xr3:uid="{D81DBB81-327B-4EA3-89A3-229D33F3C14C}" name="Cod." dataDxfId="42"/>
    <tableColumn id="7" xr3:uid="{05B3DC4D-BFB9-401F-A18F-0D1B8527380B}" name="Seq." dataDxfId="41"/>
    <tableColumn id="8" xr3:uid="{9EBF401A-1F29-4CB3-BFA3-F2B326242AB0}" name="Descrição" dataDxfId="40"/>
    <tableColumn id="14" xr3:uid="{85D3397C-7F95-49C7-BFFB-35012CA3B716}" name="Qtd." dataDxfId="39"/>
    <tableColumn id="9" xr3:uid="{0D04583C-577A-446B-9773-A173C5C1C166}" name="Data Prev._x000a_Fundido" dataDxfId="38"/>
    <tableColumn id="10" xr3:uid="{935D3899-0C12-4408-89DF-490A507F79BA}" name="Data Real_x000a_Fundido" dataDxfId="37"/>
    <tableColumn id="11" xr3:uid="{0F06941F-293B-4C15-9764-BB3495C5D3BD}" name="Data Prev._x000a_Entrega" dataDxfId="36"/>
    <tableColumn id="12" xr3:uid="{92FF2511-5498-45BF-9B68-94DBEA588C5A}" name="Data Real_x000a_Entrega" dataDxfId="35"/>
    <tableColumn id="25" xr3:uid="{98545C7E-9674-485C-A07D-715E8945B00E}" name="Falta_x000a_Dias" dataDxfId="34">
      <calculatedColumnFormula>Tabela13[[#This Row],[Data Prev.
Entrega]]-TODAY()</calculatedColumnFormula>
    </tableColumn>
    <tableColumn id="27" xr3:uid="{4EB63243-AA79-4695-93C8-CEA977B11387}" name="Indicador" dataDxfId="33">
      <calculatedColumnFormula>IF(N2&lt;0,"ATRASADO",IF(N2&lt;=15,"ATENÇÃO","NO PRAZO"))</calculatedColumnFormula>
    </tableColumn>
    <tableColumn id="15" xr3:uid="{7AB992C1-F70E-4469-85BB-EBB7763B2038}" name="Condição" dataDxfId="32"/>
    <tableColumn id="24" xr3:uid="{B5965349-4BC8-4DF7-9EB4-857B6D471E8A}" name="Desenho_x000a_Previsão" dataDxfId="31"/>
    <tableColumn id="13" xr3:uid="{FD827F61-5F7F-4B65-8A60-B59D23455B46}" name="Des." dataDxfId="30"/>
    <tableColumn id="16" xr3:uid="{3D186A5F-076F-4232-B21C-37E58E5373B2}" name="Desb." dataDxfId="29"/>
    <tableColumn id="17" xr3:uid="{6EEDF11E-F341-4B3E-8CD2-5595785C3427}" name="T.T." dataDxfId="28"/>
    <tableColumn id="18" xr3:uid="{A84EFCF4-218F-4B17-8F46-8D5412141429}" name="Us. Final" dataDxfId="27"/>
    <tableColumn id="19" xr3:uid="{EBD50149-594D-440E-BFBB-E73ACAF7B6F8}" name="Fundo D." dataDxfId="26"/>
    <tableColumn id="20" xr3:uid="{91BE30ED-20C1-4F30-9041-45A50CCA04F0}" name="Acabam." dataDxfId="25"/>
    <tableColumn id="21" xr3:uid="{A1A12DF6-FC3D-4466-8284-DBD00DEAF994}" name="Liberação" dataDxfId="24"/>
    <tableColumn id="22" xr3:uid="{436F202D-DCF4-4376-A550-2541153BD99F}" name="Status Usinagem" dataDxfId="23">
      <calculatedColumnFormula>IF(K2="","AG. FUNDIDO",IF(X2="OK","LIBERADA","EM USINAGEM"))</calculatedColumnFormula>
    </tableColumn>
    <tableColumn id="23" xr3:uid="{F71E5739-8B79-47B3-9A24-E2E4D1DD46E6}" name="Observação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8" totalsRowShown="0" headerRowDxfId="21" dataDxfId="20">
  <autoFilter ref="A1:T88" xr:uid="{8F2F252D-0322-4579-B9EF-622E98B5994C}"/>
  <tableColumns count="20">
    <tableColumn id="1" xr3:uid="{56D3DA8E-4CA8-4DC6-8208-BAB93CDE51C0}" name="PV" dataDxfId="19"/>
    <tableColumn id="2" xr3:uid="{B14AE1B6-8C05-4725-BF42-3DBDB37AA4E3}" name="item" dataDxfId="18"/>
    <tableColumn id="3" xr3:uid="{24FE1002-C88A-4623-8882-5F391ECAB319}" name="OS" dataDxfId="17"/>
    <tableColumn id="4" xr3:uid="{4ED6249C-2003-4F3F-AE5A-67316434275E}" name="Item2" dataDxfId="16"/>
    <tableColumn id="5" xr3:uid="{6CE5B2E1-F32C-4D32-93F0-A17C05267ADB}" name="Cliente" dataDxfId="15"/>
    <tableColumn id="6" xr3:uid="{605F51C8-79D3-407B-8642-02F131952C62}" name="Qtd." dataDxfId="14"/>
    <tableColumn id="7" xr3:uid="{3AC59FFB-0DC5-477B-B780-880A1FD84811}" name="Peça" dataDxfId="13"/>
    <tableColumn id="8" xr3:uid="{2EE377A7-B17C-442E-A107-012310DB953B}" name="Seq." dataDxfId="12"/>
    <tableColumn id="9" xr3:uid="{5366226E-7F3B-42E4-AC0C-86C659505CC8}" name="Descrição" dataDxfId="11"/>
    <tableColumn id="10" xr3:uid="{B0D229C5-5F5A-4951-A0B4-FEA62AEFBB36}" name="Prazo_x000a_Fundido" dataDxfId="10"/>
    <tableColumn id="11" xr3:uid="{8AE09F18-EB17-4537-8FBD-24671292144B}" name="Pz Fundido_x000a_Real" dataDxfId="9"/>
    <tableColumn id="12" xr3:uid="{965E0234-7E4B-482D-8943-132C1520AD21}" name="Prazo_x000a_Entrega" dataDxfId="8"/>
    <tableColumn id="13" xr3:uid="{D70BE32E-86AF-4C0F-893D-AC939E731683}" name="Pz Entrega_x000a_Real" dataDxfId="7"/>
    <tableColumn id="15" xr3:uid="{2FE637E5-62E2-4AE9-AE5A-BC264DC93D4F}" name="Falta_x000a_Dias" dataDxfId="6">
      <calculatedColumnFormula>Tabela4[[#This Row],[Prazo
Entrega]]-TODAY()</calculatedColumnFormula>
    </tableColumn>
    <tableColumn id="14" xr3:uid="{23AEF4D3-817F-4A15-AFBA-EC837E4BE1AE}" name="Indicador" dataDxfId="5">
      <calculatedColumnFormula>IF(N2&lt;0,"ATRASADO",IF(N2&lt;=15,"ATENÇÃO","NO PRAZO"))</calculatedColumnFormula>
    </tableColumn>
    <tableColumn id="16" xr3:uid="{78F55B7C-8E60-49C5-B1F7-B023E76BDA6E}" name="Condição" dataDxfId="4"/>
    <tableColumn id="20" xr3:uid="{A889C1FB-2FE0-407A-B849-FEB9F2CA4F96}" name="Desenho_x000a_Previsão" dataDxfId="3"/>
    <tableColumn id="19" xr3:uid="{FB1E21D0-A118-422F-AA5B-F56FFBA7B5E4}" name="Des." dataDxfId="2"/>
    <tableColumn id="17" xr3:uid="{C14325D6-C653-45B3-B85F-6AF107A71546}" name="Status" dataDxfId="1"/>
    <tableColumn id="18" xr3:uid="{C6F7CA6A-B8B3-4E22-B3E8-05FFB1A03AB6}" name="Observação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F127" sqref="F127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0.7109375" style="10" bestFit="1" customWidth="1"/>
    <col min="15" max="15" width="10.7109375" style="10" customWidth="1"/>
    <col min="16" max="16" width="11.85546875" style="12" bestFit="1" customWidth="1"/>
    <col min="17" max="17" width="10.28515625" style="10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9" t="s">
        <v>7</v>
      </c>
      <c r="B1" s="39" t="s">
        <v>1</v>
      </c>
      <c r="C1" s="39" t="s">
        <v>0</v>
      </c>
      <c r="D1" s="39" t="s">
        <v>22</v>
      </c>
      <c r="E1" s="39" t="s">
        <v>3</v>
      </c>
      <c r="F1" s="39" t="s">
        <v>4</v>
      </c>
      <c r="G1" s="39" t="s">
        <v>5</v>
      </c>
      <c r="H1" s="39" t="s">
        <v>6</v>
      </c>
      <c r="I1" s="39" t="s">
        <v>2</v>
      </c>
      <c r="J1" s="40" t="s">
        <v>67</v>
      </c>
      <c r="K1" s="40" t="s">
        <v>32</v>
      </c>
      <c r="L1" s="40" t="s">
        <v>20</v>
      </c>
      <c r="M1" s="40" t="s">
        <v>66</v>
      </c>
      <c r="N1" s="40" t="s">
        <v>68</v>
      </c>
      <c r="O1" s="40" t="s">
        <v>65</v>
      </c>
      <c r="P1" s="40" t="s">
        <v>33</v>
      </c>
      <c r="Q1" s="40" t="s">
        <v>21</v>
      </c>
      <c r="R1" s="40" t="s">
        <v>42</v>
      </c>
      <c r="S1" s="32" t="s">
        <v>109</v>
      </c>
      <c r="T1" s="40" t="s">
        <v>84</v>
      </c>
      <c r="U1" s="40" t="s">
        <v>79</v>
      </c>
      <c r="V1" s="40" t="s">
        <v>80</v>
      </c>
      <c r="W1" s="40" t="s">
        <v>27</v>
      </c>
      <c r="X1" s="40" t="s">
        <v>86</v>
      </c>
      <c r="Y1" s="40" t="s">
        <v>83</v>
      </c>
      <c r="Z1" s="40" t="s">
        <v>87</v>
      </c>
      <c r="AA1" s="40" t="s">
        <v>88</v>
      </c>
      <c r="AB1" s="40" t="s">
        <v>89</v>
      </c>
      <c r="AC1" s="40" t="s">
        <v>60</v>
      </c>
      <c r="AD1" s="40" t="s">
        <v>73</v>
      </c>
      <c r="AE1" s="41" t="s">
        <v>26</v>
      </c>
      <c r="AF1" s="41" t="s">
        <v>81</v>
      </c>
      <c r="AG1" s="41" t="s">
        <v>82</v>
      </c>
      <c r="AH1" s="41" t="s">
        <v>29</v>
      </c>
      <c r="AI1" s="41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2">
        <f>WEEKNUM(Tabela1[[#This Row],[Prazo
Fundido]])</f>
        <v>23</v>
      </c>
      <c r="L2" s="11">
        <v>46175</v>
      </c>
      <c r="M2" s="16">
        <v>46213</v>
      </c>
      <c r="N2" s="42">
        <f ca="1">Tabela1[[#This Row],[Prazo
Entrega]]-TODAY()</f>
        <v>16</v>
      </c>
      <c r="O2" s="42" t="str">
        <f t="shared" ref="O2:O33" ca="1" si="0">IF(N2&lt;0,"ATRASADO",IF(N2&lt;=15,"ATENÇÃO","NO PRAZO"))</f>
        <v>NO PRAZO</v>
      </c>
      <c r="P2" s="42">
        <f>WEEKNUM(Tabela1[[#This Row],[Prazo
Entrega]],1)</f>
        <v>28</v>
      </c>
      <c r="R2" s="10" t="s">
        <v>43</v>
      </c>
      <c r="S2" s="43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69</v>
      </c>
      <c r="Z2" s="10" t="s">
        <v>69</v>
      </c>
      <c r="AA2" s="10" t="s">
        <v>85</v>
      </c>
      <c r="AB2" s="10" t="s">
        <v>72</v>
      </c>
      <c r="AC2" s="10" t="str">
        <f t="shared" ref="AC2:AC33" si="1">IF(L2="","AG. FUNDIDO",IF(U2="AG","AG. USINAGEM","EM USINAGEM"))</f>
        <v>EM USINAGEM</v>
      </c>
      <c r="AE2" s="44">
        <v>24</v>
      </c>
      <c r="AF2" s="44">
        <f>Tabela1[[#This Row],[Plainar
Facear]]+1</f>
        <v>25</v>
      </c>
      <c r="AG2" s="44" t="s">
        <v>28</v>
      </c>
      <c r="AH2" s="44">
        <f>Tabela1[[#This Row],[Serrar2]]+1</f>
        <v>26</v>
      </c>
      <c r="AI2" s="44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2">
        <f>WEEKNUM(Tabela1[[#This Row],[Prazo
Fundido]])</f>
        <v>23</v>
      </c>
      <c r="L3" s="11">
        <v>46192</v>
      </c>
      <c r="M3" s="16">
        <v>46213</v>
      </c>
      <c r="N3" s="42">
        <f ca="1">Tabela1[[#This Row],[Prazo
Entrega]]-TODAY()</f>
        <v>16</v>
      </c>
      <c r="O3" s="42" t="str">
        <f t="shared" ca="1" si="0"/>
        <v>NO PRAZO</v>
      </c>
      <c r="P3" s="42">
        <f>WEEKNUM(Tabela1[[#This Row],[Prazo
Entrega]],1)</f>
        <v>28</v>
      </c>
      <c r="R3" s="10" t="s">
        <v>43</v>
      </c>
      <c r="S3" s="43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EM USINAGEM</v>
      </c>
      <c r="AE3" s="44">
        <v>24</v>
      </c>
      <c r="AF3" s="44">
        <f>Tabela1[[#This Row],[Plainar
Facear]]+1</f>
        <v>25</v>
      </c>
      <c r="AG3" s="44" t="s">
        <v>28</v>
      </c>
      <c r="AH3" s="44">
        <f>Tabela1[[#This Row],[Serrar2]]+1</f>
        <v>26</v>
      </c>
      <c r="AI3" s="44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2">
        <f>WEEKNUM(Tabela1[[#This Row],[Prazo
Fundido]])</f>
        <v>23</v>
      </c>
      <c r="L4" s="11">
        <v>46192</v>
      </c>
      <c r="M4" s="16">
        <v>46213</v>
      </c>
      <c r="N4" s="42">
        <f ca="1">Tabela1[[#This Row],[Prazo
Entrega]]-TODAY()</f>
        <v>16</v>
      </c>
      <c r="O4" s="42" t="str">
        <f t="shared" ca="1" si="0"/>
        <v>NO PRAZO</v>
      </c>
      <c r="P4" s="42">
        <f>WEEKNUM(Tabela1[[#This Row],[Prazo
Entrega]],1)</f>
        <v>28</v>
      </c>
      <c r="R4" s="10" t="s">
        <v>43</v>
      </c>
      <c r="S4" s="43" t="s">
        <v>69</v>
      </c>
      <c r="T4" s="16" t="s">
        <v>69</v>
      </c>
      <c r="U4" s="10" t="s">
        <v>85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4">
        <v>24</v>
      </c>
      <c r="AF4" s="44">
        <f>Tabela1[[#This Row],[Plainar
Facear]]+1</f>
        <v>25</v>
      </c>
      <c r="AG4" s="44" t="s">
        <v>28</v>
      </c>
      <c r="AH4" s="44">
        <f>Tabela1[[#This Row],[Serrar2]]+1</f>
        <v>26</v>
      </c>
      <c r="AI4" s="44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2">
        <f>WEEKNUM(Tabela1[[#This Row],[Prazo
Fundido]])</f>
        <v>23</v>
      </c>
      <c r="L5" s="11">
        <v>46192</v>
      </c>
      <c r="M5" s="16">
        <v>46213</v>
      </c>
      <c r="N5" s="42">
        <f ca="1">Tabela1[[#This Row],[Prazo
Entrega]]-TODAY()</f>
        <v>16</v>
      </c>
      <c r="O5" s="42" t="str">
        <f t="shared" ca="1" si="0"/>
        <v>NO PRAZO</v>
      </c>
      <c r="P5" s="42">
        <f>WEEKNUM(Tabela1[[#This Row],[Prazo
Entrega]],1)</f>
        <v>28</v>
      </c>
      <c r="R5" s="10" t="s">
        <v>43</v>
      </c>
      <c r="S5" s="43" t="s">
        <v>69</v>
      </c>
      <c r="T5" s="16" t="s">
        <v>69</v>
      </c>
      <c r="U5" s="10" t="s">
        <v>85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4">
        <v>24</v>
      </c>
      <c r="AF5" s="44">
        <f>Tabela1[[#This Row],[Plainar
Facear]]+1</f>
        <v>25</v>
      </c>
      <c r="AG5" s="44" t="s">
        <v>28</v>
      </c>
      <c r="AH5" s="44">
        <f>Tabela1[[#This Row],[Serrar2]]+1</f>
        <v>26</v>
      </c>
      <c r="AI5" s="44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2">
        <f>WEEKNUM(Tabela1[[#This Row],[Prazo
Fundido]])</f>
        <v>23</v>
      </c>
      <c r="L6" s="11">
        <v>46192</v>
      </c>
      <c r="M6" s="16">
        <v>46213</v>
      </c>
      <c r="N6" s="42">
        <f ca="1">Tabela1[[#This Row],[Prazo
Entrega]]-TODAY()</f>
        <v>16</v>
      </c>
      <c r="O6" s="42" t="str">
        <f t="shared" ca="1" si="0"/>
        <v>NO PRAZO</v>
      </c>
      <c r="P6" s="42">
        <f>WEEKNUM(Tabela1[[#This Row],[Prazo
Entrega]],1)</f>
        <v>28</v>
      </c>
      <c r="R6" s="10" t="s">
        <v>43</v>
      </c>
      <c r="S6" s="43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4">
        <v>24</v>
      </c>
      <c r="AF6" s="44">
        <f>Tabela1[[#This Row],[Plainar
Facear]]+1</f>
        <v>25</v>
      </c>
      <c r="AG6" s="44" t="s">
        <v>28</v>
      </c>
      <c r="AH6" s="44">
        <f>Tabela1[[#This Row],[Serrar2]]+1</f>
        <v>26</v>
      </c>
      <c r="AI6" s="44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2">
        <f>WEEKNUM(Tabela1[[#This Row],[Prazo
Fundido]])</f>
        <v>23</v>
      </c>
      <c r="L7" s="11">
        <v>46188</v>
      </c>
      <c r="M7" s="16">
        <v>46213</v>
      </c>
      <c r="N7" s="42">
        <f ca="1">Tabela1[[#This Row],[Prazo
Entrega]]-TODAY()</f>
        <v>16</v>
      </c>
      <c r="O7" s="42" t="str">
        <f t="shared" ca="1" si="0"/>
        <v>NO PRAZO</v>
      </c>
      <c r="P7" s="42">
        <f>WEEKNUM(Tabela1[[#This Row],[Prazo
Entrega]],1)</f>
        <v>28</v>
      </c>
      <c r="R7" s="10" t="s">
        <v>43</v>
      </c>
      <c r="S7" s="43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4">
        <v>24</v>
      </c>
      <c r="AF7" s="44">
        <f>Tabela1[[#This Row],[Plainar
Facear]]+1</f>
        <v>25</v>
      </c>
      <c r="AG7" s="44" t="s">
        <v>28</v>
      </c>
      <c r="AH7" s="44">
        <f>Tabela1[[#This Row],[Serrar2]]+1</f>
        <v>26</v>
      </c>
      <c r="AI7" s="44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2">
        <f>WEEKNUM(Tabela1[[#This Row],[Prazo
Fundido]])</f>
        <v>23</v>
      </c>
      <c r="L8" s="11">
        <v>46171</v>
      </c>
      <c r="M8" s="16">
        <v>46213</v>
      </c>
      <c r="N8" s="42">
        <f ca="1">Tabela1[[#This Row],[Prazo
Entrega]]-TODAY()</f>
        <v>16</v>
      </c>
      <c r="O8" s="42" t="str">
        <f t="shared" ca="1" si="0"/>
        <v>NO PRAZO</v>
      </c>
      <c r="P8" s="42">
        <f>WEEKNUM(Tabela1[[#This Row],[Prazo
Entrega]],1)</f>
        <v>28</v>
      </c>
      <c r="R8" s="10" t="s">
        <v>43</v>
      </c>
      <c r="S8" s="43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4">
        <v>23</v>
      </c>
      <c r="AF8" s="44">
        <f>Tabela1[[#This Row],[Plainar
Facear]]+1</f>
        <v>24</v>
      </c>
      <c r="AG8" s="44" t="s">
        <v>28</v>
      </c>
      <c r="AH8" s="44">
        <f>Tabela1[[#This Row],[Serrar2]]+1</f>
        <v>25</v>
      </c>
      <c r="AI8" s="44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2">
        <f>WEEKNUM(Tabela1[[#This Row],[Prazo
Fundido]])</f>
        <v>23</v>
      </c>
      <c r="L9" s="11">
        <v>46171</v>
      </c>
      <c r="M9" s="16">
        <v>46213</v>
      </c>
      <c r="N9" s="42">
        <f ca="1">Tabela1[[#This Row],[Prazo
Entrega]]-TODAY()</f>
        <v>16</v>
      </c>
      <c r="O9" s="42" t="str">
        <f t="shared" ca="1" si="0"/>
        <v>NO PRAZO</v>
      </c>
      <c r="P9" s="42">
        <f>WEEKNUM(Tabela1[[#This Row],[Prazo
Entrega]],1)</f>
        <v>28</v>
      </c>
      <c r="R9" s="10" t="s">
        <v>43</v>
      </c>
      <c r="S9" s="43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4">
        <v>23</v>
      </c>
      <c r="AF9" s="44">
        <f>Tabela1[[#This Row],[Plainar
Facear]]+1</f>
        <v>24</v>
      </c>
      <c r="AG9" s="44" t="s">
        <v>28</v>
      </c>
      <c r="AH9" s="44">
        <f>Tabela1[[#This Row],[Serrar2]]+1</f>
        <v>25</v>
      </c>
      <c r="AI9" s="44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2">
        <f>WEEKNUM(Tabela1[[#This Row],[Prazo
Fundido]])</f>
        <v>23</v>
      </c>
      <c r="L10" s="11">
        <v>46171</v>
      </c>
      <c r="M10" s="16">
        <v>46213</v>
      </c>
      <c r="N10" s="42">
        <f ca="1">Tabela1[[#This Row],[Prazo
Entrega]]-TODAY()</f>
        <v>16</v>
      </c>
      <c r="O10" s="42" t="str">
        <f t="shared" ca="1" si="0"/>
        <v>NO PRAZO</v>
      </c>
      <c r="P10" s="42">
        <f>WEEKNUM(Tabela1[[#This Row],[Prazo
Entrega]],1)</f>
        <v>28</v>
      </c>
      <c r="R10" s="10" t="s">
        <v>43</v>
      </c>
      <c r="S10" s="43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4">
        <v>23</v>
      </c>
      <c r="AF10" s="44">
        <f>Tabela1[[#This Row],[Plainar
Facear]]+1</f>
        <v>24</v>
      </c>
      <c r="AG10" s="44" t="s">
        <v>28</v>
      </c>
      <c r="AH10" s="44">
        <f>Tabela1[[#This Row],[Serrar2]]+1</f>
        <v>25</v>
      </c>
      <c r="AI10" s="44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2">
        <f>WEEKNUM(Tabela1[[#This Row],[Prazo
Fundido]])</f>
        <v>23</v>
      </c>
      <c r="L11" s="11">
        <v>46171</v>
      </c>
      <c r="M11" s="16">
        <v>46213</v>
      </c>
      <c r="N11" s="42">
        <f ca="1">Tabela1[[#This Row],[Prazo
Entrega]]-TODAY()</f>
        <v>16</v>
      </c>
      <c r="O11" s="42" t="str">
        <f t="shared" ca="1" si="0"/>
        <v>NO PRAZO</v>
      </c>
      <c r="P11" s="42">
        <f>WEEKNUM(Tabela1[[#This Row],[Prazo
Entrega]],1)</f>
        <v>28</v>
      </c>
      <c r="R11" s="10" t="s">
        <v>43</v>
      </c>
      <c r="S11" s="43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85</v>
      </c>
      <c r="AA11" s="10" t="s">
        <v>72</v>
      </c>
      <c r="AB11" s="10" t="s">
        <v>72</v>
      </c>
      <c r="AC11" s="10" t="str">
        <f t="shared" si="1"/>
        <v>EM USINAGEM</v>
      </c>
      <c r="AE11" s="44">
        <v>23</v>
      </c>
      <c r="AF11" s="44">
        <f>Tabela1[[#This Row],[Plainar
Facear]]+1</f>
        <v>24</v>
      </c>
      <c r="AG11" s="44" t="s">
        <v>28</v>
      </c>
      <c r="AH11" s="44">
        <f>Tabela1[[#This Row],[Serrar2]]+1</f>
        <v>25</v>
      </c>
      <c r="AI11" s="44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2">
        <f>WEEKNUM(Tabela1[[#This Row],[Prazo
Fundido]])</f>
        <v>23</v>
      </c>
      <c r="L12" s="11">
        <v>46192</v>
      </c>
      <c r="M12" s="16">
        <v>46220</v>
      </c>
      <c r="N12" s="42">
        <f ca="1">Tabela1[[#This Row],[Prazo
Entrega]]-TODAY()</f>
        <v>23</v>
      </c>
      <c r="O12" s="42" t="str">
        <f t="shared" ca="1" si="0"/>
        <v>NO PRAZO</v>
      </c>
      <c r="P12" s="42">
        <f>WEEKNUM(Tabela1[[#This Row],[Prazo
Entrega]],1)</f>
        <v>29</v>
      </c>
      <c r="R12" s="10" t="s">
        <v>43</v>
      </c>
      <c r="S12" s="43" t="s">
        <v>69</v>
      </c>
      <c r="T12" s="16" t="s">
        <v>69</v>
      </c>
      <c r="U12" s="10" t="s">
        <v>72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AG. USINAGEM</v>
      </c>
      <c r="AE12" s="44">
        <v>26</v>
      </c>
      <c r="AF12" s="44">
        <f>Tabela1[[#This Row],[Plainar
Facear]]+1</f>
        <v>27</v>
      </c>
      <c r="AG12" s="44" t="s">
        <v>28</v>
      </c>
      <c r="AH12" s="44">
        <f>Tabela1[[#This Row],[Serrar2]]+1</f>
        <v>28</v>
      </c>
      <c r="AI12" s="44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2">
        <f>WEEKNUM(Tabela1[[#This Row],[Prazo
Fundido]])</f>
        <v>23</v>
      </c>
      <c r="L13" s="11">
        <v>46192</v>
      </c>
      <c r="M13" s="16">
        <v>46220</v>
      </c>
      <c r="N13" s="42">
        <f ca="1">Tabela1[[#This Row],[Prazo
Entrega]]-TODAY()</f>
        <v>23</v>
      </c>
      <c r="O13" s="42" t="str">
        <f t="shared" ca="1" si="0"/>
        <v>NO PRAZO</v>
      </c>
      <c r="P13" s="42">
        <f>WEEKNUM(Tabela1[[#This Row],[Prazo
Entrega]],1)</f>
        <v>29</v>
      </c>
      <c r="R13" s="10" t="s">
        <v>43</v>
      </c>
      <c r="S13" s="43" t="s">
        <v>69</v>
      </c>
      <c r="T13" s="16" t="s">
        <v>69</v>
      </c>
      <c r="U13" s="10" t="s">
        <v>72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AG. USINAGEM</v>
      </c>
      <c r="AE13" s="44">
        <v>26</v>
      </c>
      <c r="AF13" s="44">
        <f>Tabela1[[#This Row],[Plainar
Facear]]+1</f>
        <v>27</v>
      </c>
      <c r="AG13" s="44" t="s">
        <v>28</v>
      </c>
      <c r="AH13" s="44">
        <f>Tabela1[[#This Row],[Serrar2]]+1</f>
        <v>28</v>
      </c>
      <c r="AI13" s="44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2">
        <f>WEEKNUM(Tabela1[[#This Row],[Prazo
Fundido]])</f>
        <v>23</v>
      </c>
      <c r="L14" s="11">
        <v>46189</v>
      </c>
      <c r="M14" s="16">
        <v>46220</v>
      </c>
      <c r="N14" s="42">
        <f ca="1">Tabela1[[#This Row],[Prazo
Entrega]]-TODAY()</f>
        <v>23</v>
      </c>
      <c r="O14" s="42" t="str">
        <f t="shared" ca="1" si="0"/>
        <v>NO PRAZO</v>
      </c>
      <c r="P14" s="42">
        <f>WEEKNUM(Tabela1[[#This Row],[Prazo
Entrega]],1)</f>
        <v>29</v>
      </c>
      <c r="R14" s="10" t="s">
        <v>43</v>
      </c>
      <c r="S14" s="43" t="s">
        <v>69</v>
      </c>
      <c r="T14" s="16" t="s">
        <v>69</v>
      </c>
      <c r="U14" s="10" t="s">
        <v>72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AG. USINAGEM</v>
      </c>
      <c r="AE14" s="44">
        <v>26</v>
      </c>
      <c r="AF14" s="44">
        <f>Tabela1[[#This Row],[Plainar
Facear]]+1</f>
        <v>27</v>
      </c>
      <c r="AG14" s="44" t="s">
        <v>28</v>
      </c>
      <c r="AH14" s="44">
        <f>Tabela1[[#This Row],[Serrar2]]+1</f>
        <v>28</v>
      </c>
      <c r="AI14" s="44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2">
        <f>WEEKNUM(Tabela1[[#This Row],[Prazo
Fundido]])</f>
        <v>23</v>
      </c>
      <c r="L15" s="11">
        <v>46175</v>
      </c>
      <c r="M15" s="16">
        <v>46220</v>
      </c>
      <c r="N15" s="42">
        <f ca="1">Tabela1[[#This Row],[Prazo
Entrega]]-TODAY()</f>
        <v>23</v>
      </c>
      <c r="O15" s="42" t="str">
        <f t="shared" ca="1" si="0"/>
        <v>NO PRAZO</v>
      </c>
      <c r="P15" s="42">
        <f>WEEKNUM(Tabela1[[#This Row],[Prazo
Entrega]],1)</f>
        <v>29</v>
      </c>
      <c r="R15" s="10" t="s">
        <v>43</v>
      </c>
      <c r="S15" s="43" t="s">
        <v>69</v>
      </c>
      <c r="T15" s="16" t="s">
        <v>69</v>
      </c>
      <c r="U15" s="10" t="s">
        <v>69</v>
      </c>
      <c r="V15" s="10" t="s">
        <v>69</v>
      </c>
      <c r="W15" s="10" t="s">
        <v>69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4">
        <v>26</v>
      </c>
      <c r="AF15" s="44">
        <f>Tabela1[[#This Row],[Plainar
Facear]]+1</f>
        <v>27</v>
      </c>
      <c r="AG15" s="44" t="s">
        <v>28</v>
      </c>
      <c r="AH15" s="44">
        <f>Tabela1[[#This Row],[Serrar2]]+1</f>
        <v>28</v>
      </c>
      <c r="AI15" s="44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2">
        <f>WEEKNUM(Tabela1[[#This Row],[Prazo
Fundido]])</f>
        <v>23</v>
      </c>
      <c r="L16" s="11">
        <v>46175</v>
      </c>
      <c r="M16" s="16">
        <v>46220</v>
      </c>
      <c r="N16" s="42">
        <f ca="1">Tabela1[[#This Row],[Prazo
Entrega]]-TODAY()</f>
        <v>23</v>
      </c>
      <c r="O16" s="42" t="str">
        <f t="shared" ca="1" si="0"/>
        <v>NO PRAZO</v>
      </c>
      <c r="P16" s="42">
        <f>WEEKNUM(Tabela1[[#This Row],[Prazo
Entrega]],1)</f>
        <v>29</v>
      </c>
      <c r="R16" s="10" t="s">
        <v>43</v>
      </c>
      <c r="S16" s="43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85</v>
      </c>
      <c r="AB16" s="10" t="s">
        <v>72</v>
      </c>
      <c r="AC16" s="10" t="str">
        <f t="shared" si="1"/>
        <v>EM USINAGEM</v>
      </c>
      <c r="AE16" s="44">
        <v>26</v>
      </c>
      <c r="AF16" s="44">
        <f>Tabela1[[#This Row],[Plainar
Facear]]+1</f>
        <v>27</v>
      </c>
      <c r="AG16" s="44" t="s">
        <v>28</v>
      </c>
      <c r="AH16" s="44">
        <f>Tabela1[[#This Row],[Serrar2]]+1</f>
        <v>28</v>
      </c>
      <c r="AI16" s="44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2">
        <f>WEEKNUM(Tabela1[[#This Row],[Prazo
Fundido]])</f>
        <v>24</v>
      </c>
      <c r="L17" s="11">
        <v>46175</v>
      </c>
      <c r="M17" s="16">
        <v>46220</v>
      </c>
      <c r="N17" s="42">
        <f ca="1">Tabela1[[#This Row],[Prazo
Entrega]]-TODAY()</f>
        <v>23</v>
      </c>
      <c r="O17" s="42" t="str">
        <f t="shared" ca="1" si="0"/>
        <v>NO PRAZO</v>
      </c>
      <c r="P17" s="42">
        <f>WEEKNUM(Tabela1[[#This Row],[Prazo
Entrega]],1)</f>
        <v>29</v>
      </c>
      <c r="R17" s="10" t="s">
        <v>43</v>
      </c>
      <c r="S17" s="43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85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4">
        <v>26</v>
      </c>
      <c r="AF17" s="44">
        <f>Tabela1[[#This Row],[Plainar
Facear]]+1</f>
        <v>27</v>
      </c>
      <c r="AG17" s="44" t="s">
        <v>28</v>
      </c>
      <c r="AH17" s="44">
        <f>Tabela1[[#This Row],[Serrar2]]+1</f>
        <v>28</v>
      </c>
      <c r="AI17" s="44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2">
        <f>WEEKNUM(Tabela1[[#This Row],[Prazo
Fundido]])</f>
        <v>24</v>
      </c>
      <c r="L18" s="11">
        <v>46175</v>
      </c>
      <c r="M18" s="16">
        <v>46220</v>
      </c>
      <c r="N18" s="42">
        <f ca="1">Tabela1[[#This Row],[Prazo
Entrega]]-TODAY()</f>
        <v>23</v>
      </c>
      <c r="O18" s="42" t="str">
        <f t="shared" ca="1" si="0"/>
        <v>NO PRAZO</v>
      </c>
      <c r="P18" s="42">
        <f>WEEKNUM(Tabela1[[#This Row],[Prazo
Entrega]],1)</f>
        <v>29</v>
      </c>
      <c r="R18" s="10" t="s">
        <v>43</v>
      </c>
      <c r="S18" s="43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4">
        <v>26</v>
      </c>
      <c r="AF18" s="44">
        <f>Tabela1[[#This Row],[Plainar
Facear]]+1</f>
        <v>27</v>
      </c>
      <c r="AG18" s="44" t="s">
        <v>28</v>
      </c>
      <c r="AH18" s="44">
        <f>Tabela1[[#This Row],[Serrar2]]+1</f>
        <v>28</v>
      </c>
      <c r="AI18" s="44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2">
        <f>WEEKNUM(Tabela1[[#This Row],[Prazo
Fundido]])</f>
        <v>24</v>
      </c>
      <c r="L19" s="11">
        <v>46175</v>
      </c>
      <c r="M19" s="16">
        <v>46220</v>
      </c>
      <c r="N19" s="42">
        <f ca="1">Tabela1[[#This Row],[Prazo
Entrega]]-TODAY()</f>
        <v>23</v>
      </c>
      <c r="O19" s="42" t="str">
        <f t="shared" ca="1" si="0"/>
        <v>NO PRAZO</v>
      </c>
      <c r="P19" s="42">
        <f>WEEKNUM(Tabela1[[#This Row],[Prazo
Entrega]],1)</f>
        <v>29</v>
      </c>
      <c r="R19" s="10" t="s">
        <v>43</v>
      </c>
      <c r="S19" s="43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4">
        <v>26</v>
      </c>
      <c r="AF19" s="44">
        <f>Tabela1[[#This Row],[Plainar
Facear]]+1</f>
        <v>27</v>
      </c>
      <c r="AG19" s="44" t="s">
        <v>28</v>
      </c>
      <c r="AH19" s="44">
        <f>Tabela1[[#This Row],[Serrar2]]+1</f>
        <v>28</v>
      </c>
      <c r="AI19" s="44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2">
        <f>WEEKNUM(Tabela1[[#This Row],[Prazo
Fundido]])</f>
        <v>24</v>
      </c>
      <c r="M20" s="16">
        <v>46220</v>
      </c>
      <c r="N20" s="42">
        <f ca="1">Tabela1[[#This Row],[Prazo
Entrega]]-TODAY()</f>
        <v>23</v>
      </c>
      <c r="O20" s="42" t="str">
        <f t="shared" ca="1" si="0"/>
        <v>NO PRAZO</v>
      </c>
      <c r="P20" s="42">
        <f>WEEKNUM(Tabela1[[#This Row],[Prazo
Entrega]],1)</f>
        <v>29</v>
      </c>
      <c r="R20" s="10" t="s">
        <v>43</v>
      </c>
      <c r="S20" s="43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4">
        <v>26</v>
      </c>
      <c r="AF20" s="44">
        <f>Tabela1[[#This Row],[Plainar
Facear]]+1</f>
        <v>27</v>
      </c>
      <c r="AG20" s="44" t="s">
        <v>28</v>
      </c>
      <c r="AH20" s="44">
        <f>Tabela1[[#This Row],[Serrar2]]+1</f>
        <v>28</v>
      </c>
      <c r="AI20" s="44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2">
        <f>WEEKNUM(Tabela1[[#This Row],[Prazo
Fundido]])</f>
        <v>24</v>
      </c>
      <c r="M21" s="16">
        <v>46220</v>
      </c>
      <c r="N21" s="42">
        <f ca="1">Tabela1[[#This Row],[Prazo
Entrega]]-TODAY()</f>
        <v>23</v>
      </c>
      <c r="O21" s="42" t="str">
        <f t="shared" ca="1" si="0"/>
        <v>NO PRAZO</v>
      </c>
      <c r="P21" s="42">
        <f>WEEKNUM(Tabela1[[#This Row],[Prazo
Entrega]],1)</f>
        <v>29</v>
      </c>
      <c r="R21" s="10" t="s">
        <v>43</v>
      </c>
      <c r="S21" s="43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4">
        <v>26</v>
      </c>
      <c r="AF21" s="44">
        <f>Tabela1[[#This Row],[Plainar
Facear]]+1</f>
        <v>27</v>
      </c>
      <c r="AG21" s="44" t="s">
        <v>28</v>
      </c>
      <c r="AH21" s="44">
        <f>Tabela1[[#This Row],[Serrar2]]+1</f>
        <v>28</v>
      </c>
      <c r="AI21" s="44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2">
        <f>WEEKNUM(Tabela1[[#This Row],[Prazo
Fundido]])</f>
        <v>24</v>
      </c>
      <c r="L22" s="11">
        <v>46189</v>
      </c>
      <c r="M22" s="16">
        <v>46227</v>
      </c>
      <c r="N22" s="42">
        <f ca="1">Tabela1[[#This Row],[Prazo
Entrega]]-TODAY()</f>
        <v>30</v>
      </c>
      <c r="O22" s="42" t="str">
        <f t="shared" ca="1" si="0"/>
        <v>NO PRAZO</v>
      </c>
      <c r="P22" s="42">
        <f>WEEKNUM(Tabela1[[#This Row],[Prazo
Entrega]],1)</f>
        <v>30</v>
      </c>
      <c r="R22" s="10" t="s">
        <v>43</v>
      </c>
      <c r="S22" s="43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4">
        <v>25</v>
      </c>
      <c r="AF22" s="44">
        <f>Tabela1[[#This Row],[Plainar
Facear]]+1</f>
        <v>26</v>
      </c>
      <c r="AG22" s="44" t="s">
        <v>28</v>
      </c>
      <c r="AH22" s="44">
        <f>Tabela1[[#This Row],[Serrar2]]+1</f>
        <v>27</v>
      </c>
      <c r="AI22" s="44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2">
        <f>WEEKNUM(Tabela1[[#This Row],[Prazo
Fundido]])</f>
        <v>24</v>
      </c>
      <c r="L23" s="11">
        <v>46190</v>
      </c>
      <c r="M23" s="16">
        <v>46227</v>
      </c>
      <c r="N23" s="42">
        <f ca="1">Tabela1[[#This Row],[Prazo
Entrega]]-TODAY()</f>
        <v>30</v>
      </c>
      <c r="O23" s="42" t="str">
        <f t="shared" ca="1" si="0"/>
        <v>NO PRAZO</v>
      </c>
      <c r="P23" s="42">
        <f>WEEKNUM(Tabela1[[#This Row],[Prazo
Entrega]],1)</f>
        <v>30</v>
      </c>
      <c r="Q23" s="11"/>
      <c r="R23" s="10" t="s">
        <v>43</v>
      </c>
      <c r="S23" s="43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4">
        <v>25</v>
      </c>
      <c r="AF23" s="44">
        <f>Tabela1[[#This Row],[Plainar
Facear]]+1</f>
        <v>26</v>
      </c>
      <c r="AG23" s="44" t="s">
        <v>28</v>
      </c>
      <c r="AH23" s="44">
        <f>Tabela1[[#This Row],[Serrar2]]+1</f>
        <v>27</v>
      </c>
      <c r="AI23" s="44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2">
        <f>WEEKNUM(Tabela1[[#This Row],[Prazo
Fundido]])</f>
        <v>25</v>
      </c>
      <c r="L24" s="11">
        <v>46184</v>
      </c>
      <c r="M24" s="16">
        <v>46210</v>
      </c>
      <c r="N24" s="42">
        <f ca="1">Tabela1[[#This Row],[Prazo
Entrega]]-TODAY()</f>
        <v>13</v>
      </c>
      <c r="O24" s="42" t="str">
        <f t="shared" ca="1" si="0"/>
        <v>ATENÇÃO</v>
      </c>
      <c r="P24" s="42">
        <f>WEEKNUM(Tabela1[[#This Row],[Prazo
Entrega]],1)</f>
        <v>28</v>
      </c>
      <c r="R24" s="10" t="s">
        <v>43</v>
      </c>
      <c r="S24" s="43" t="s">
        <v>69</v>
      </c>
      <c r="T24" s="16" t="s">
        <v>69</v>
      </c>
      <c r="U24" s="10" t="s">
        <v>69</v>
      </c>
      <c r="V24" s="10" t="s">
        <v>69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4">
        <v>25</v>
      </c>
      <c r="AF24" s="44">
        <f>Tabela1[[#This Row],[Plainar
Facear]]+1</f>
        <v>26</v>
      </c>
      <c r="AG24" s="44" t="s">
        <v>28</v>
      </c>
      <c r="AH24" s="44">
        <f>Tabela1[[#This Row],[Serrar2]]+1</f>
        <v>27</v>
      </c>
      <c r="AI24" s="44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2">
        <f>WEEKNUM(Tabela1[[#This Row],[Prazo
Fundido]])</f>
        <v>25</v>
      </c>
      <c r="L25" s="11">
        <v>46184</v>
      </c>
      <c r="M25" s="16">
        <v>46210</v>
      </c>
      <c r="N25" s="42">
        <f ca="1">Tabela1[[#This Row],[Prazo
Entrega]]-TODAY()</f>
        <v>13</v>
      </c>
      <c r="O25" s="42" t="str">
        <f t="shared" ca="1" si="0"/>
        <v>ATENÇÃO</v>
      </c>
      <c r="P25" s="42">
        <f>WEEKNUM(Tabela1[[#This Row],[Prazo
Entrega]],1)</f>
        <v>28</v>
      </c>
      <c r="R25" s="10" t="s">
        <v>43</v>
      </c>
      <c r="S25" s="43" t="s">
        <v>69</v>
      </c>
      <c r="T25" s="16" t="s">
        <v>69</v>
      </c>
      <c r="U25" s="10" t="s">
        <v>69</v>
      </c>
      <c r="V25" s="10" t="s">
        <v>69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4">
        <v>25</v>
      </c>
      <c r="AF25" s="44">
        <f>Tabela1[[#This Row],[Plainar
Facear]]+1</f>
        <v>26</v>
      </c>
      <c r="AG25" s="44" t="s">
        <v>28</v>
      </c>
      <c r="AH25" s="44">
        <f>Tabela1[[#This Row],[Serrar2]]+1</f>
        <v>27</v>
      </c>
      <c r="AI25" s="44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2">
        <f>WEEKNUM(Tabela1[[#This Row],[Prazo
Fundido]])</f>
        <v>25</v>
      </c>
      <c r="L26" s="11">
        <v>46184</v>
      </c>
      <c r="M26" s="16">
        <v>46210</v>
      </c>
      <c r="N26" s="42">
        <f ca="1">Tabela1[[#This Row],[Prazo
Entrega]]-TODAY()</f>
        <v>13</v>
      </c>
      <c r="O26" s="42" t="str">
        <f t="shared" ca="1" si="0"/>
        <v>ATENÇÃO</v>
      </c>
      <c r="P26" s="42">
        <f>WEEKNUM(Tabela1[[#This Row],[Prazo
Entrega]],1)</f>
        <v>28</v>
      </c>
      <c r="R26" s="10" t="s">
        <v>43</v>
      </c>
      <c r="S26" s="43" t="s">
        <v>69</v>
      </c>
      <c r="T26" s="16" t="s">
        <v>69</v>
      </c>
      <c r="U26" s="10" t="s">
        <v>69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4">
        <v>25</v>
      </c>
      <c r="AF26" s="44">
        <f>Tabela1[[#This Row],[Plainar
Facear]]+1</f>
        <v>26</v>
      </c>
      <c r="AG26" s="44" t="s">
        <v>28</v>
      </c>
      <c r="AH26" s="44">
        <f>Tabela1[[#This Row],[Serrar2]]+1</f>
        <v>27</v>
      </c>
      <c r="AI26" s="44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2">
        <f>WEEKNUM(Tabela1[[#This Row],[Prazo
Fundido]])</f>
        <v>25</v>
      </c>
      <c r="L27" s="11">
        <v>46184</v>
      </c>
      <c r="M27" s="16">
        <v>46210</v>
      </c>
      <c r="N27" s="42">
        <f ca="1">Tabela1[[#This Row],[Prazo
Entrega]]-TODAY()</f>
        <v>13</v>
      </c>
      <c r="O27" s="42" t="str">
        <f t="shared" ca="1" si="0"/>
        <v>ATENÇÃO</v>
      </c>
      <c r="P27" s="42">
        <f>WEEKNUM(Tabela1[[#This Row],[Prazo
Entrega]],1)</f>
        <v>28</v>
      </c>
      <c r="R27" s="10" t="s">
        <v>43</v>
      </c>
      <c r="S27" s="43" t="s">
        <v>69</v>
      </c>
      <c r="T27" s="16" t="s">
        <v>69</v>
      </c>
      <c r="U27" s="10" t="s">
        <v>69</v>
      </c>
      <c r="V27" s="10" t="s">
        <v>85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4">
        <v>25</v>
      </c>
      <c r="AF27" s="44">
        <f>Tabela1[[#This Row],[Plainar
Facear]]+1</f>
        <v>26</v>
      </c>
      <c r="AG27" s="44" t="s">
        <v>28</v>
      </c>
      <c r="AH27" s="44">
        <f>Tabela1[[#This Row],[Serrar2]]+1</f>
        <v>27</v>
      </c>
      <c r="AI27" s="44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2">
        <f>WEEKNUM(Tabela1[[#This Row],[Prazo
Fundido]])</f>
        <v>25</v>
      </c>
      <c r="L28" s="11">
        <v>46184</v>
      </c>
      <c r="M28" s="16">
        <v>46210</v>
      </c>
      <c r="N28" s="42">
        <f ca="1">Tabela1[[#This Row],[Prazo
Entrega]]-TODAY()</f>
        <v>13</v>
      </c>
      <c r="O28" s="42" t="str">
        <f t="shared" ca="1" si="0"/>
        <v>ATENÇÃO</v>
      </c>
      <c r="P28" s="42">
        <f>WEEKNUM(Tabela1[[#This Row],[Prazo
Entrega]],1)</f>
        <v>28</v>
      </c>
      <c r="R28" s="10" t="s">
        <v>43</v>
      </c>
      <c r="S28" s="43" t="s">
        <v>69</v>
      </c>
      <c r="T28" s="16" t="s">
        <v>69</v>
      </c>
      <c r="U28" s="10" t="s">
        <v>69</v>
      </c>
      <c r="V28" s="10" t="s">
        <v>85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4">
        <v>25</v>
      </c>
      <c r="AF28" s="44">
        <f>Tabela1[[#This Row],[Plainar
Facear]]+1</f>
        <v>26</v>
      </c>
      <c r="AG28" s="44" t="s">
        <v>28</v>
      </c>
      <c r="AH28" s="44">
        <f>Tabela1[[#This Row],[Serrar2]]+1</f>
        <v>27</v>
      </c>
      <c r="AI28" s="44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2">
        <f>WEEKNUM(Tabela1[[#This Row],[Prazo
Fundido]])</f>
        <v>25</v>
      </c>
      <c r="L29" s="11">
        <v>46184</v>
      </c>
      <c r="M29" s="16">
        <v>46210</v>
      </c>
      <c r="N29" s="42">
        <f ca="1">Tabela1[[#This Row],[Prazo
Entrega]]-TODAY()</f>
        <v>13</v>
      </c>
      <c r="O29" s="42" t="str">
        <f t="shared" ca="1" si="0"/>
        <v>ATENÇÃO</v>
      </c>
      <c r="P29" s="42">
        <f>WEEKNUM(Tabela1[[#This Row],[Prazo
Entrega]],1)</f>
        <v>28</v>
      </c>
      <c r="R29" s="10" t="s">
        <v>43</v>
      </c>
      <c r="S29" s="43" t="s">
        <v>69</v>
      </c>
      <c r="T29" s="16" t="s">
        <v>69</v>
      </c>
      <c r="U29" s="10" t="s">
        <v>69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4">
        <v>25</v>
      </c>
      <c r="AF29" s="44">
        <f>Tabela1[[#This Row],[Plainar
Facear]]+1</f>
        <v>26</v>
      </c>
      <c r="AG29" s="44" t="s">
        <v>28</v>
      </c>
      <c r="AH29" s="44">
        <f>Tabela1[[#This Row],[Serrar2]]+1</f>
        <v>27</v>
      </c>
      <c r="AI29" s="44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2">
        <f>WEEKNUM(Tabela1[[#This Row],[Prazo
Fundido]])</f>
        <v>24</v>
      </c>
      <c r="L30" s="11">
        <v>46192</v>
      </c>
      <c r="M30" s="16">
        <v>46227</v>
      </c>
      <c r="N30" s="42">
        <f ca="1">Tabela1[[#This Row],[Prazo
Entrega]]-TODAY()</f>
        <v>30</v>
      </c>
      <c r="O30" s="42" t="str">
        <f t="shared" ca="1" si="0"/>
        <v>NO PRAZO</v>
      </c>
      <c r="P30" s="42">
        <f>WEEKNUM(Tabela1[[#This Row],[Prazo
Entrega]],1)</f>
        <v>30</v>
      </c>
      <c r="R30" s="10" t="s">
        <v>43</v>
      </c>
      <c r="S30" s="43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4">
        <v>27</v>
      </c>
      <c r="AF30" s="44">
        <f>Tabela1[[#This Row],[Plainar
Facear]]+1</f>
        <v>28</v>
      </c>
      <c r="AG30" s="44" t="s">
        <v>28</v>
      </c>
      <c r="AH30" s="44">
        <f>Tabela1[[#This Row],[Serrar2]]+1</f>
        <v>29</v>
      </c>
      <c r="AI30" s="44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2">
        <f>WEEKNUM(Tabela1[[#This Row],[Prazo
Fundido]])</f>
        <v>24</v>
      </c>
      <c r="L31" s="11">
        <v>46175</v>
      </c>
      <c r="M31" s="16">
        <v>46227</v>
      </c>
      <c r="N31" s="42">
        <f ca="1">Tabela1[[#This Row],[Prazo
Entrega]]-TODAY()</f>
        <v>30</v>
      </c>
      <c r="O31" s="42" t="str">
        <f t="shared" ca="1" si="0"/>
        <v>NO PRAZO</v>
      </c>
      <c r="P31" s="42">
        <f>WEEKNUM(Tabela1[[#This Row],[Prazo
Entrega]],1)</f>
        <v>30</v>
      </c>
      <c r="R31" s="10" t="s">
        <v>43</v>
      </c>
      <c r="S31" s="43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85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4">
        <v>27</v>
      </c>
      <c r="AF31" s="44">
        <f>Tabela1[[#This Row],[Plainar
Facear]]+1</f>
        <v>28</v>
      </c>
      <c r="AG31" s="44" t="s">
        <v>28</v>
      </c>
      <c r="AH31" s="44">
        <f>Tabela1[[#This Row],[Serrar2]]+1</f>
        <v>29</v>
      </c>
      <c r="AI31" s="44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2">
        <f>WEEKNUM(Tabela1[[#This Row],[Prazo
Fundido]])</f>
        <v>24</v>
      </c>
      <c r="L32" s="11">
        <v>46175</v>
      </c>
      <c r="M32" s="16">
        <v>46227</v>
      </c>
      <c r="N32" s="42">
        <f ca="1">Tabela1[[#This Row],[Prazo
Entrega]]-TODAY()</f>
        <v>30</v>
      </c>
      <c r="O32" s="42" t="str">
        <f t="shared" ca="1" si="0"/>
        <v>NO PRAZO</v>
      </c>
      <c r="P32" s="42">
        <f>WEEKNUM(Tabela1[[#This Row],[Prazo
Entrega]],1)</f>
        <v>30</v>
      </c>
      <c r="R32" s="10" t="s">
        <v>43</v>
      </c>
      <c r="S32" s="43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4">
        <v>27</v>
      </c>
      <c r="AF32" s="44">
        <f>Tabela1[[#This Row],[Plainar
Facear]]+1</f>
        <v>28</v>
      </c>
      <c r="AG32" s="44" t="s">
        <v>28</v>
      </c>
      <c r="AH32" s="44">
        <f>Tabela1[[#This Row],[Serrar2]]+1</f>
        <v>29</v>
      </c>
      <c r="AI32" s="44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2">
        <f>WEEKNUM(Tabela1[[#This Row],[Prazo
Fundido]])</f>
        <v>24</v>
      </c>
      <c r="L33" s="11">
        <v>46175</v>
      </c>
      <c r="M33" s="16">
        <v>46227</v>
      </c>
      <c r="N33" s="42">
        <f ca="1">Tabela1[[#This Row],[Prazo
Entrega]]-TODAY()</f>
        <v>30</v>
      </c>
      <c r="O33" s="42" t="str">
        <f t="shared" ca="1" si="0"/>
        <v>NO PRAZO</v>
      </c>
      <c r="P33" s="42">
        <f>WEEKNUM(Tabela1[[#This Row],[Prazo
Entrega]],1)</f>
        <v>30</v>
      </c>
      <c r="R33" s="10" t="s">
        <v>43</v>
      </c>
      <c r="S33" s="43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4">
        <v>27</v>
      </c>
      <c r="AF33" s="44">
        <f>Tabela1[[#This Row],[Plainar
Facear]]+1</f>
        <v>28</v>
      </c>
      <c r="AG33" s="44" t="s">
        <v>28</v>
      </c>
      <c r="AH33" s="44">
        <f>Tabela1[[#This Row],[Serrar2]]+1</f>
        <v>29</v>
      </c>
      <c r="AI33" s="44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2">
        <f>WEEKNUM(Tabela1[[#This Row],[Prazo
Fundido]])</f>
        <v>24</v>
      </c>
      <c r="L34" s="11">
        <v>46175</v>
      </c>
      <c r="M34" s="16">
        <v>46227</v>
      </c>
      <c r="N34" s="42">
        <f ca="1">Tabela1[[#This Row],[Prazo
Entrega]]-TODAY()</f>
        <v>30</v>
      </c>
      <c r="O34" s="42" t="str">
        <f t="shared" ref="O34:O65" ca="1" si="2">IF(N34&lt;0,"ATRASADO",IF(N34&lt;=15,"ATENÇÃO","NO PRAZO"))</f>
        <v>NO PRAZO</v>
      </c>
      <c r="P34" s="42">
        <f>WEEKNUM(Tabela1[[#This Row],[Prazo
Entrega]],1)</f>
        <v>30</v>
      </c>
      <c r="R34" s="10" t="s">
        <v>43</v>
      </c>
      <c r="S34" s="43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4">
        <v>27</v>
      </c>
      <c r="AF34" s="44">
        <f>Tabela1[[#This Row],[Plainar
Facear]]+1</f>
        <v>28</v>
      </c>
      <c r="AG34" s="44" t="s">
        <v>28</v>
      </c>
      <c r="AH34" s="44">
        <f>Tabela1[[#This Row],[Serrar2]]+1</f>
        <v>29</v>
      </c>
      <c r="AI34" s="44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2">
        <f>WEEKNUM(Tabela1[[#This Row],[Prazo
Fundido]])</f>
        <v>24</v>
      </c>
      <c r="L35" s="11">
        <v>46175</v>
      </c>
      <c r="M35" s="16">
        <v>46227</v>
      </c>
      <c r="N35" s="42">
        <f ca="1">Tabela1[[#This Row],[Prazo
Entrega]]-TODAY()</f>
        <v>30</v>
      </c>
      <c r="O35" s="42" t="str">
        <f t="shared" ca="1" si="2"/>
        <v>NO PRAZO</v>
      </c>
      <c r="P35" s="42">
        <f>WEEKNUM(Tabela1[[#This Row],[Prazo
Entrega]],1)</f>
        <v>30</v>
      </c>
      <c r="R35" s="10" t="s">
        <v>43</v>
      </c>
      <c r="S35" s="43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4">
        <v>27</v>
      </c>
      <c r="AF35" s="44">
        <f>Tabela1[[#This Row],[Plainar
Facear]]+1</f>
        <v>28</v>
      </c>
      <c r="AG35" s="44" t="s">
        <v>28</v>
      </c>
      <c r="AH35" s="44">
        <f>Tabela1[[#This Row],[Serrar2]]+1</f>
        <v>29</v>
      </c>
      <c r="AI35" s="44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2">
        <f>WEEKNUM(Tabela1[[#This Row],[Prazo
Fundido]])</f>
        <v>24</v>
      </c>
      <c r="L36" s="11">
        <v>46189</v>
      </c>
      <c r="M36" s="16">
        <v>46227</v>
      </c>
      <c r="N36" s="42">
        <f ca="1">Tabela1[[#This Row],[Prazo
Entrega]]-TODAY()</f>
        <v>30</v>
      </c>
      <c r="O36" s="42" t="str">
        <f t="shared" ca="1" si="2"/>
        <v>NO PRAZO</v>
      </c>
      <c r="P36" s="42">
        <f>WEEKNUM(Tabela1[[#This Row],[Prazo
Entrega]],1)</f>
        <v>30</v>
      </c>
      <c r="R36" s="10" t="s">
        <v>43</v>
      </c>
      <c r="S36" s="43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4">
        <v>27</v>
      </c>
      <c r="AF36" s="44">
        <f>Tabela1[[#This Row],[Plainar
Facear]]+1</f>
        <v>28</v>
      </c>
      <c r="AG36" s="44" t="s">
        <v>28</v>
      </c>
      <c r="AH36" s="44">
        <f>Tabela1[[#This Row],[Serrar2]]+1</f>
        <v>29</v>
      </c>
      <c r="AI36" s="44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2">
        <f>WEEKNUM(Tabela1[[#This Row],[Prazo
Fundido]])</f>
        <v>24</v>
      </c>
      <c r="L37" s="16">
        <v>46192</v>
      </c>
      <c r="M37" s="16">
        <v>46227</v>
      </c>
      <c r="N37" s="42">
        <f ca="1">Tabela1[[#This Row],[Prazo
Entrega]]-TODAY()</f>
        <v>30</v>
      </c>
      <c r="O37" s="42" t="str">
        <f t="shared" ca="1" si="2"/>
        <v>NO PRAZO</v>
      </c>
      <c r="P37" s="42">
        <f>WEEKNUM(Tabela1[[#This Row],[Prazo
Entrega]],1)</f>
        <v>30</v>
      </c>
      <c r="R37" s="10" t="s">
        <v>43</v>
      </c>
      <c r="S37" s="43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4">
        <v>27</v>
      </c>
      <c r="AF37" s="44">
        <f>Tabela1[[#This Row],[Plainar
Facear]]+1</f>
        <v>28</v>
      </c>
      <c r="AG37" s="44" t="s">
        <v>28</v>
      </c>
      <c r="AH37" s="44">
        <f>Tabela1[[#This Row],[Serrar2]]+1</f>
        <v>29</v>
      </c>
      <c r="AI37" s="44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2">
        <f>WEEKNUM(Tabela1[[#This Row],[Prazo
Fundido]])</f>
        <v>25</v>
      </c>
      <c r="L38" s="11">
        <v>46175</v>
      </c>
      <c r="M38" s="16">
        <v>46234</v>
      </c>
      <c r="N38" s="42">
        <f ca="1">Tabela1[[#This Row],[Prazo
Entrega]]-TODAY()</f>
        <v>37</v>
      </c>
      <c r="O38" s="42" t="str">
        <f t="shared" ca="1" si="2"/>
        <v>NO PRAZO</v>
      </c>
      <c r="P38" s="42">
        <f>WEEKNUM(Tabela1[[#This Row],[Prazo
Entrega]],1)</f>
        <v>31</v>
      </c>
      <c r="R38" s="10" t="s">
        <v>43</v>
      </c>
      <c r="S38" s="43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4">
        <v>27</v>
      </c>
      <c r="AF38" s="44">
        <f>Tabela1[[#This Row],[Plainar
Facear]]+1</f>
        <v>28</v>
      </c>
      <c r="AG38" s="44" t="s">
        <v>28</v>
      </c>
      <c r="AH38" s="44">
        <f>Tabela1[[#This Row],[Serrar2]]+1</f>
        <v>29</v>
      </c>
      <c r="AI38" s="44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2">
        <f>WEEKNUM(Tabela1[[#This Row],[Prazo
Fundido]])</f>
        <v>25</v>
      </c>
      <c r="M39" s="16">
        <v>46234</v>
      </c>
      <c r="N39" s="42">
        <f ca="1">Tabela1[[#This Row],[Prazo
Entrega]]-TODAY()</f>
        <v>37</v>
      </c>
      <c r="O39" s="42" t="str">
        <f t="shared" ca="1" si="2"/>
        <v>NO PRAZO</v>
      </c>
      <c r="P39" s="42">
        <f>WEEKNUM(Tabela1[[#This Row],[Prazo
Entrega]],1)</f>
        <v>31</v>
      </c>
      <c r="R39" s="10" t="s">
        <v>43</v>
      </c>
      <c r="S39" s="43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4">
        <v>27</v>
      </c>
      <c r="AF39" s="44">
        <f>Tabela1[[#This Row],[Plainar
Facear]]+1</f>
        <v>28</v>
      </c>
      <c r="AG39" s="44" t="s">
        <v>28</v>
      </c>
      <c r="AH39" s="44">
        <f>Tabela1[[#This Row],[Serrar2]]+1</f>
        <v>29</v>
      </c>
      <c r="AI39" s="44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2">
        <f>WEEKNUM(Tabela1[[#This Row],[Prazo
Fundido]])</f>
        <v>25</v>
      </c>
      <c r="M40" s="16">
        <v>46234</v>
      </c>
      <c r="N40" s="42">
        <f ca="1">Tabela1[[#This Row],[Prazo
Entrega]]-TODAY()</f>
        <v>37</v>
      </c>
      <c r="O40" s="42" t="str">
        <f t="shared" ca="1" si="2"/>
        <v>NO PRAZO</v>
      </c>
      <c r="P40" s="42">
        <f>WEEKNUM(Tabela1[[#This Row],[Prazo
Entrega]],1)</f>
        <v>31</v>
      </c>
      <c r="R40" s="10" t="s">
        <v>43</v>
      </c>
      <c r="S40" s="43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4">
        <v>28</v>
      </c>
      <c r="AF40" s="44">
        <f>Tabela1[[#This Row],[Plainar
Facear]]+1</f>
        <v>29</v>
      </c>
      <c r="AG40" s="44" t="s">
        <v>28</v>
      </c>
      <c r="AH40" s="44">
        <f>Tabela1[[#This Row],[Serrar2]]+1</f>
        <v>30</v>
      </c>
      <c r="AI40" s="44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2">
        <f>WEEKNUM(Tabela1[[#This Row],[Prazo
Fundido]])</f>
        <v>25</v>
      </c>
      <c r="L41" s="11">
        <v>46175</v>
      </c>
      <c r="M41" s="16">
        <v>46234</v>
      </c>
      <c r="N41" s="42">
        <f ca="1">Tabela1[[#This Row],[Prazo
Entrega]]-TODAY()</f>
        <v>37</v>
      </c>
      <c r="O41" s="42" t="str">
        <f t="shared" ca="1" si="2"/>
        <v>NO PRAZO</v>
      </c>
      <c r="P41" s="42">
        <f>WEEKNUM(Tabela1[[#This Row],[Prazo
Entrega]],1)</f>
        <v>31</v>
      </c>
      <c r="R41" s="10" t="s">
        <v>43</v>
      </c>
      <c r="S41" s="43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4">
        <v>28</v>
      </c>
      <c r="AF41" s="44">
        <f>Tabela1[[#This Row],[Plainar
Facear]]+1</f>
        <v>29</v>
      </c>
      <c r="AG41" s="44" t="s">
        <v>28</v>
      </c>
      <c r="AH41" s="44">
        <f>Tabela1[[#This Row],[Serrar2]]+1</f>
        <v>30</v>
      </c>
      <c r="AI41" s="44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2">
        <f>WEEKNUM(Tabela1[[#This Row],[Prazo
Fundido]])</f>
        <v>25</v>
      </c>
      <c r="L42" s="11">
        <v>46175</v>
      </c>
      <c r="M42" s="16">
        <v>46234</v>
      </c>
      <c r="N42" s="42">
        <f ca="1">Tabela1[[#This Row],[Prazo
Entrega]]-TODAY()</f>
        <v>37</v>
      </c>
      <c r="O42" s="42" t="str">
        <f t="shared" ca="1" si="2"/>
        <v>NO PRAZO</v>
      </c>
      <c r="P42" s="42">
        <f>WEEKNUM(Tabela1[[#This Row],[Prazo
Entrega]],1)</f>
        <v>31</v>
      </c>
      <c r="R42" s="10" t="s">
        <v>43</v>
      </c>
      <c r="S42" s="43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4">
        <v>28</v>
      </c>
      <c r="AF42" s="44">
        <f>Tabela1[[#This Row],[Plainar
Facear]]+1</f>
        <v>29</v>
      </c>
      <c r="AG42" s="44" t="s">
        <v>28</v>
      </c>
      <c r="AH42" s="44">
        <f>Tabela1[[#This Row],[Serrar2]]+1</f>
        <v>30</v>
      </c>
      <c r="AI42" s="44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2">
        <f>WEEKNUM(Tabela1[[#This Row],[Prazo
Fundido]])</f>
        <v>25</v>
      </c>
      <c r="L43" s="11">
        <v>46192</v>
      </c>
      <c r="M43" s="16">
        <v>46234</v>
      </c>
      <c r="N43" s="42">
        <f ca="1">Tabela1[[#This Row],[Prazo
Entrega]]-TODAY()</f>
        <v>37</v>
      </c>
      <c r="O43" s="42" t="str">
        <f t="shared" ca="1" si="2"/>
        <v>NO PRAZO</v>
      </c>
      <c r="P43" s="42">
        <f>WEEKNUM(Tabela1[[#This Row],[Prazo
Entrega]],1)</f>
        <v>31</v>
      </c>
      <c r="R43" s="10" t="s">
        <v>43</v>
      </c>
      <c r="S43" s="43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4">
        <v>28</v>
      </c>
      <c r="AF43" s="44">
        <f>Tabela1[[#This Row],[Plainar
Facear]]+1</f>
        <v>29</v>
      </c>
      <c r="AG43" s="44" t="s">
        <v>28</v>
      </c>
      <c r="AH43" s="44">
        <f>Tabela1[[#This Row],[Serrar2]]+1</f>
        <v>30</v>
      </c>
      <c r="AI43" s="44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2">
        <f>WEEKNUM(Tabela1[[#This Row],[Prazo
Fundido]])</f>
        <v>25</v>
      </c>
      <c r="M44" s="16">
        <v>46234</v>
      </c>
      <c r="N44" s="42">
        <f ca="1">Tabela1[[#This Row],[Prazo
Entrega]]-TODAY()</f>
        <v>37</v>
      </c>
      <c r="O44" s="42" t="str">
        <f t="shared" ca="1" si="2"/>
        <v>NO PRAZO</v>
      </c>
      <c r="P44" s="42">
        <f>WEEKNUM(Tabela1[[#This Row],[Prazo
Entrega]],1)</f>
        <v>31</v>
      </c>
      <c r="R44" s="10" t="s">
        <v>43</v>
      </c>
      <c r="S44" s="43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4">
        <v>28</v>
      </c>
      <c r="AF44" s="44">
        <f>Tabela1[[#This Row],[Plainar
Facear]]+1</f>
        <v>29</v>
      </c>
      <c r="AG44" s="44" t="s">
        <v>28</v>
      </c>
      <c r="AH44" s="44">
        <f>Tabela1[[#This Row],[Serrar2]]+1</f>
        <v>30</v>
      </c>
      <c r="AI44" s="44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2">
        <f>WEEKNUM(Tabela1[[#This Row],[Prazo
Fundido]])</f>
        <v>25</v>
      </c>
      <c r="L45" s="11">
        <v>46188</v>
      </c>
      <c r="M45" s="16">
        <v>46234</v>
      </c>
      <c r="N45" s="42">
        <f ca="1">Tabela1[[#This Row],[Prazo
Entrega]]-TODAY()</f>
        <v>37</v>
      </c>
      <c r="O45" s="42" t="str">
        <f t="shared" ca="1" si="2"/>
        <v>NO PRAZO</v>
      </c>
      <c r="P45" s="42">
        <f>WEEKNUM(Tabela1[[#This Row],[Prazo
Entrega]],1)</f>
        <v>31</v>
      </c>
      <c r="R45" s="10" t="s">
        <v>43</v>
      </c>
      <c r="S45" s="43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4">
        <v>28</v>
      </c>
      <c r="AF45" s="44">
        <f>Tabela1[[#This Row],[Plainar
Facear]]+1</f>
        <v>29</v>
      </c>
      <c r="AG45" s="44" t="s">
        <v>28</v>
      </c>
      <c r="AH45" s="44">
        <f>Tabela1[[#This Row],[Serrar2]]+1</f>
        <v>30</v>
      </c>
      <c r="AI45" s="44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2">
        <f>WEEKNUM(Tabela1[[#This Row],[Prazo
Fundido]])</f>
        <v>25</v>
      </c>
      <c r="L46" s="11">
        <v>46189</v>
      </c>
      <c r="M46" s="16">
        <v>46234</v>
      </c>
      <c r="N46" s="42">
        <f ca="1">Tabela1[[#This Row],[Prazo
Entrega]]-TODAY()</f>
        <v>37</v>
      </c>
      <c r="O46" s="42" t="str">
        <f t="shared" ca="1" si="2"/>
        <v>NO PRAZO</v>
      </c>
      <c r="P46" s="42">
        <f>WEEKNUM(Tabela1[[#This Row],[Prazo
Entrega]],1)</f>
        <v>31</v>
      </c>
      <c r="R46" s="10" t="s">
        <v>43</v>
      </c>
      <c r="S46" s="43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4">
        <v>28</v>
      </c>
      <c r="AF46" s="44">
        <f>Tabela1[[#This Row],[Plainar
Facear]]+1</f>
        <v>29</v>
      </c>
      <c r="AG46" s="44" t="s">
        <v>28</v>
      </c>
      <c r="AH46" s="44">
        <f>Tabela1[[#This Row],[Serrar2]]+1</f>
        <v>30</v>
      </c>
      <c r="AI46" s="44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2">
        <f>WEEKNUM(Tabela1[[#This Row],[Prazo
Fundido]])</f>
        <v>25</v>
      </c>
      <c r="L47" s="10" t="s">
        <v>64</v>
      </c>
      <c r="M47" s="16">
        <v>46234</v>
      </c>
      <c r="N47" s="42">
        <f ca="1">Tabela1[[#This Row],[Prazo
Entrega]]-TODAY()</f>
        <v>37</v>
      </c>
      <c r="O47" s="42" t="str">
        <f t="shared" ca="1" si="2"/>
        <v>NO PRAZO</v>
      </c>
      <c r="P47" s="42">
        <f>WEEKNUM(Tabela1[[#This Row],[Prazo
Entrega]],1)</f>
        <v>31</v>
      </c>
      <c r="R47" s="10" t="s">
        <v>43</v>
      </c>
      <c r="S47" s="43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4">
        <v>28</v>
      </c>
      <c r="AF47" s="44">
        <f>Tabela1[[#This Row],[Plainar
Facear]]+1</f>
        <v>29</v>
      </c>
      <c r="AG47" s="44" t="s">
        <v>28</v>
      </c>
      <c r="AH47" s="44">
        <f>Tabela1[[#This Row],[Serrar2]]+1</f>
        <v>30</v>
      </c>
      <c r="AI47" s="44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2">
        <f>WEEKNUM(Tabela1[[#This Row],[Prazo
Fundido]])</f>
        <v>25</v>
      </c>
      <c r="M48" s="16">
        <v>46241</v>
      </c>
      <c r="N48" s="42">
        <f ca="1">Tabela1[[#This Row],[Prazo
Entrega]]-TODAY()</f>
        <v>44</v>
      </c>
      <c r="O48" s="42" t="str">
        <f t="shared" ca="1" si="2"/>
        <v>NO PRAZO</v>
      </c>
      <c r="P48" s="42">
        <f>WEEKNUM(Tabela1[[#This Row],[Prazo
Entrega]],1)</f>
        <v>32</v>
      </c>
      <c r="R48" s="10" t="s">
        <v>43</v>
      </c>
      <c r="S48" s="43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4">
        <v>28</v>
      </c>
      <c r="AF48" s="44">
        <f>Tabela1[[#This Row],[Plainar
Facear]]+1</f>
        <v>29</v>
      </c>
      <c r="AG48" s="44" t="s">
        <v>28</v>
      </c>
      <c r="AH48" s="44">
        <f>Tabela1[[#This Row],[Serrar2]]+1</f>
        <v>30</v>
      </c>
      <c r="AI48" s="44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2">
        <f>WEEKNUM(Tabela1[[#This Row],[Prazo
Fundido]])</f>
        <v>25</v>
      </c>
      <c r="L49" s="11">
        <v>46175</v>
      </c>
      <c r="M49" s="16">
        <v>46241</v>
      </c>
      <c r="N49" s="42">
        <f ca="1">Tabela1[[#This Row],[Prazo
Entrega]]-TODAY()</f>
        <v>44</v>
      </c>
      <c r="O49" s="42" t="str">
        <f t="shared" ca="1" si="2"/>
        <v>NO PRAZO</v>
      </c>
      <c r="P49" s="42">
        <f>WEEKNUM(Tabela1[[#This Row],[Prazo
Entrega]],1)</f>
        <v>32</v>
      </c>
      <c r="R49" s="10" t="s">
        <v>43</v>
      </c>
      <c r="S49" s="43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4">
        <v>28</v>
      </c>
      <c r="AF49" s="44">
        <f>Tabela1[[#This Row],[Plainar
Facear]]+1</f>
        <v>29</v>
      </c>
      <c r="AG49" s="44" t="s">
        <v>28</v>
      </c>
      <c r="AH49" s="44">
        <f>Tabela1[[#This Row],[Serrar2]]+1</f>
        <v>30</v>
      </c>
      <c r="AI49" s="44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2">
        <f>WEEKNUM(Tabela1[[#This Row],[Prazo
Fundido]])</f>
        <v>25</v>
      </c>
      <c r="L50" s="11">
        <v>46175</v>
      </c>
      <c r="M50" s="16">
        <v>46241</v>
      </c>
      <c r="N50" s="42">
        <f ca="1">Tabela1[[#This Row],[Prazo
Entrega]]-TODAY()</f>
        <v>44</v>
      </c>
      <c r="O50" s="42" t="str">
        <f t="shared" ca="1" si="2"/>
        <v>NO PRAZO</v>
      </c>
      <c r="P50" s="42">
        <f>WEEKNUM(Tabela1[[#This Row],[Prazo
Entrega]],1)</f>
        <v>32</v>
      </c>
      <c r="R50" s="10" t="s">
        <v>43</v>
      </c>
      <c r="S50" s="43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4">
        <v>29</v>
      </c>
      <c r="AF50" s="44">
        <f>Tabela1[[#This Row],[Plainar
Facear]]+1</f>
        <v>30</v>
      </c>
      <c r="AG50" s="44" t="s">
        <v>28</v>
      </c>
      <c r="AH50" s="44">
        <f>Tabela1[[#This Row],[Serrar2]]+1</f>
        <v>31</v>
      </c>
      <c r="AI50" s="44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2">
        <f>WEEKNUM(Tabela1[[#This Row],[Prazo
Fundido]])</f>
        <v>25</v>
      </c>
      <c r="L51" s="11">
        <v>46192</v>
      </c>
      <c r="M51" s="16">
        <v>46241</v>
      </c>
      <c r="N51" s="42">
        <f ca="1">Tabela1[[#This Row],[Prazo
Entrega]]-TODAY()</f>
        <v>44</v>
      </c>
      <c r="O51" s="42" t="str">
        <f t="shared" ca="1" si="2"/>
        <v>NO PRAZO</v>
      </c>
      <c r="P51" s="42">
        <f>WEEKNUM(Tabela1[[#This Row],[Prazo
Entrega]],1)</f>
        <v>32</v>
      </c>
      <c r="R51" s="10" t="s">
        <v>43</v>
      </c>
      <c r="S51" s="43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4">
        <v>29</v>
      </c>
      <c r="AF51" s="44">
        <f>Tabela1[[#This Row],[Plainar
Facear]]+1</f>
        <v>30</v>
      </c>
      <c r="AG51" s="44" t="s">
        <v>28</v>
      </c>
      <c r="AH51" s="44">
        <f>Tabela1[[#This Row],[Serrar2]]+1</f>
        <v>31</v>
      </c>
      <c r="AI51" s="44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2">
        <f>WEEKNUM(Tabela1[[#This Row],[Prazo
Fundido]])</f>
        <v>25</v>
      </c>
      <c r="L52" s="11">
        <v>46183</v>
      </c>
      <c r="M52" s="16">
        <v>46241</v>
      </c>
      <c r="N52" s="42">
        <f ca="1">Tabela1[[#This Row],[Prazo
Entrega]]-TODAY()</f>
        <v>44</v>
      </c>
      <c r="O52" s="42" t="str">
        <f t="shared" ca="1" si="2"/>
        <v>NO PRAZO</v>
      </c>
      <c r="P52" s="42">
        <f>WEEKNUM(Tabela1[[#This Row],[Prazo
Entrega]],1)</f>
        <v>32</v>
      </c>
      <c r="R52" s="10" t="s">
        <v>43</v>
      </c>
      <c r="S52" s="43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4">
        <v>29</v>
      </c>
      <c r="AF52" s="44">
        <f>Tabela1[[#This Row],[Plainar
Facear]]+1</f>
        <v>30</v>
      </c>
      <c r="AG52" s="44" t="s">
        <v>28</v>
      </c>
      <c r="AH52" s="44">
        <f>Tabela1[[#This Row],[Serrar2]]+1</f>
        <v>31</v>
      </c>
      <c r="AI52" s="44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2">
        <f>WEEKNUM(Tabela1[[#This Row],[Prazo
Fundido]])</f>
        <v>26</v>
      </c>
      <c r="L53" s="11">
        <v>46189</v>
      </c>
      <c r="M53" s="16">
        <v>46241</v>
      </c>
      <c r="N53" s="42">
        <f ca="1">Tabela1[[#This Row],[Prazo
Entrega]]-TODAY()</f>
        <v>44</v>
      </c>
      <c r="O53" s="42" t="str">
        <f t="shared" ca="1" si="2"/>
        <v>NO PRAZO</v>
      </c>
      <c r="P53" s="42">
        <f>WEEKNUM(Tabela1[[#This Row],[Prazo
Entrega]],1)</f>
        <v>32</v>
      </c>
      <c r="R53" s="10" t="s">
        <v>43</v>
      </c>
      <c r="S53" s="43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4">
        <v>29</v>
      </c>
      <c r="AF53" s="44">
        <f>Tabela1[[#This Row],[Plainar
Facear]]+1</f>
        <v>30</v>
      </c>
      <c r="AG53" s="44" t="s">
        <v>28</v>
      </c>
      <c r="AH53" s="44">
        <f>Tabela1[[#This Row],[Serrar2]]+1</f>
        <v>31</v>
      </c>
      <c r="AI53" s="44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2">
        <f>WEEKNUM(Tabela1[[#This Row],[Prazo
Fundido]])</f>
        <v>26</v>
      </c>
      <c r="M54" s="16">
        <v>46241</v>
      </c>
      <c r="N54" s="42">
        <f ca="1">Tabela1[[#This Row],[Prazo
Entrega]]-TODAY()</f>
        <v>44</v>
      </c>
      <c r="O54" s="42" t="str">
        <f t="shared" ca="1" si="2"/>
        <v>NO PRAZO</v>
      </c>
      <c r="P54" s="42">
        <f>WEEKNUM(Tabela1[[#This Row],[Prazo
Entrega]],1)</f>
        <v>32</v>
      </c>
      <c r="R54" s="10" t="s">
        <v>43</v>
      </c>
      <c r="S54" s="43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4">
        <v>29</v>
      </c>
      <c r="AF54" s="44">
        <f>Tabela1[[#This Row],[Plainar
Facear]]+1</f>
        <v>30</v>
      </c>
      <c r="AG54" s="44" t="s">
        <v>28</v>
      </c>
      <c r="AH54" s="44">
        <f>Tabela1[[#This Row],[Serrar2]]+1</f>
        <v>31</v>
      </c>
      <c r="AI54" s="44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2">
        <f>WEEKNUM(Tabela1[[#This Row],[Prazo
Fundido]])</f>
        <v>26</v>
      </c>
      <c r="M55" s="16">
        <v>46241</v>
      </c>
      <c r="N55" s="42">
        <f ca="1">Tabela1[[#This Row],[Prazo
Entrega]]-TODAY()</f>
        <v>44</v>
      </c>
      <c r="O55" s="42" t="str">
        <f t="shared" ca="1" si="2"/>
        <v>NO PRAZO</v>
      </c>
      <c r="P55" s="42">
        <f>WEEKNUM(Tabela1[[#This Row],[Prazo
Entrega]],1)</f>
        <v>32</v>
      </c>
      <c r="R55" s="10" t="s">
        <v>43</v>
      </c>
      <c r="S55" s="43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4">
        <v>29</v>
      </c>
      <c r="AF55" s="44">
        <f>Tabela1[[#This Row],[Plainar
Facear]]+1</f>
        <v>30</v>
      </c>
      <c r="AG55" s="44" t="s">
        <v>28</v>
      </c>
      <c r="AH55" s="44">
        <f>Tabela1[[#This Row],[Serrar2]]+1</f>
        <v>31</v>
      </c>
      <c r="AI55" s="44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2">
        <f>WEEKNUM(Tabela1[[#This Row],[Prazo
Fundido]])</f>
        <v>26</v>
      </c>
      <c r="M56" s="16">
        <v>46241</v>
      </c>
      <c r="N56" s="42">
        <f ca="1">Tabela1[[#This Row],[Prazo
Entrega]]-TODAY()</f>
        <v>44</v>
      </c>
      <c r="O56" s="42" t="str">
        <f t="shared" ca="1" si="2"/>
        <v>NO PRAZO</v>
      </c>
      <c r="P56" s="42">
        <f>WEEKNUM(Tabela1[[#This Row],[Prazo
Entrega]],1)</f>
        <v>32</v>
      </c>
      <c r="R56" s="10" t="s">
        <v>43</v>
      </c>
      <c r="S56" s="43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4">
        <v>29</v>
      </c>
      <c r="AF56" s="44">
        <f>Tabela1[[#This Row],[Plainar
Facear]]+1</f>
        <v>30</v>
      </c>
      <c r="AG56" s="44" t="s">
        <v>28</v>
      </c>
      <c r="AH56" s="44">
        <f>Tabela1[[#This Row],[Serrar2]]+1</f>
        <v>31</v>
      </c>
      <c r="AI56" s="44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2">
        <f>WEEKNUM(Tabela1[[#This Row],[Prazo
Fundido]])</f>
        <v>26</v>
      </c>
      <c r="M57" s="16">
        <v>46241</v>
      </c>
      <c r="N57" s="42">
        <f ca="1">Tabela1[[#This Row],[Prazo
Entrega]]-TODAY()</f>
        <v>44</v>
      </c>
      <c r="O57" s="42" t="str">
        <f t="shared" ca="1" si="2"/>
        <v>NO PRAZO</v>
      </c>
      <c r="P57" s="42">
        <f>WEEKNUM(Tabela1[[#This Row],[Prazo
Entrega]],1)</f>
        <v>32</v>
      </c>
      <c r="R57" s="10" t="s">
        <v>43</v>
      </c>
      <c r="S57" s="43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4">
        <v>29</v>
      </c>
      <c r="AF57" s="44">
        <f>Tabela1[[#This Row],[Plainar
Facear]]+1</f>
        <v>30</v>
      </c>
      <c r="AG57" s="44" t="s">
        <v>28</v>
      </c>
      <c r="AH57" s="44">
        <f>Tabela1[[#This Row],[Serrar2]]+1</f>
        <v>31</v>
      </c>
      <c r="AI57" s="44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2">
        <f>WEEKNUM(Tabela1[[#This Row],[Prazo
Fundido]])</f>
        <v>26</v>
      </c>
      <c r="L58" s="11">
        <v>46190</v>
      </c>
      <c r="M58" s="16">
        <v>46248</v>
      </c>
      <c r="N58" s="42">
        <f ca="1">Tabela1[[#This Row],[Prazo
Entrega]]-TODAY()</f>
        <v>51</v>
      </c>
      <c r="O58" s="42" t="str">
        <f t="shared" ca="1" si="2"/>
        <v>NO PRAZO</v>
      </c>
      <c r="P58" s="42">
        <f>WEEKNUM(Tabela1[[#This Row],[Prazo
Entrega]],1)</f>
        <v>33</v>
      </c>
      <c r="Q58" s="11"/>
      <c r="R58" s="10" t="s">
        <v>43</v>
      </c>
      <c r="S58" s="43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4">
        <v>29</v>
      </c>
      <c r="AF58" s="44">
        <f>Tabela1[[#This Row],[Plainar
Facear]]+1</f>
        <v>30</v>
      </c>
      <c r="AG58" s="44" t="s">
        <v>28</v>
      </c>
      <c r="AH58" s="44">
        <f>Tabela1[[#This Row],[Serrar2]]+1</f>
        <v>31</v>
      </c>
      <c r="AI58" s="44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2">
        <f>WEEKNUM(Tabela1[[#This Row],[Prazo
Fundido]])</f>
        <v>26</v>
      </c>
      <c r="L59" s="11">
        <v>46188</v>
      </c>
      <c r="M59" s="16">
        <v>46248</v>
      </c>
      <c r="N59" s="42">
        <f ca="1">Tabela1[[#This Row],[Prazo
Entrega]]-TODAY()</f>
        <v>51</v>
      </c>
      <c r="O59" s="42" t="str">
        <f t="shared" ca="1" si="2"/>
        <v>NO PRAZO</v>
      </c>
      <c r="P59" s="42">
        <f>WEEKNUM(Tabela1[[#This Row],[Prazo
Entrega]],1)</f>
        <v>33</v>
      </c>
      <c r="R59" s="10" t="s">
        <v>43</v>
      </c>
      <c r="S59" s="43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4">
        <v>29</v>
      </c>
      <c r="AF59" s="44">
        <f>Tabela1[[#This Row],[Plainar
Facear]]+1</f>
        <v>30</v>
      </c>
      <c r="AG59" s="44" t="s">
        <v>28</v>
      </c>
      <c r="AH59" s="44">
        <f>Tabela1[[#This Row],[Serrar2]]+1</f>
        <v>31</v>
      </c>
      <c r="AI59" s="44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2">
        <f>WEEKNUM(Tabela1[[#This Row],[Prazo
Fundido]])</f>
        <v>25</v>
      </c>
      <c r="M60" s="16">
        <v>46234</v>
      </c>
      <c r="N60" s="42">
        <f ca="1">Tabela1[[#This Row],[Prazo
Entrega]]-TODAY()</f>
        <v>37</v>
      </c>
      <c r="O60" s="42" t="str">
        <f t="shared" ca="1" si="2"/>
        <v>NO PRAZO</v>
      </c>
      <c r="P60" s="42">
        <f>WEEKNUM(Tabela1[[#This Row],[Prazo
Entrega]],1)</f>
        <v>31</v>
      </c>
      <c r="R60" s="10" t="s">
        <v>43</v>
      </c>
      <c r="S60" s="43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4">
        <v>30</v>
      </c>
      <c r="AF60" s="44" t="s">
        <v>28</v>
      </c>
      <c r="AG60" s="44" t="s">
        <v>28</v>
      </c>
      <c r="AH60" s="44" t="s">
        <v>28</v>
      </c>
      <c r="AI60" s="44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2">
        <f>WEEKNUM(Tabela1[[#This Row],[Prazo
Fundido]])</f>
        <v>25</v>
      </c>
      <c r="M61" s="16">
        <v>46234</v>
      </c>
      <c r="N61" s="42">
        <f ca="1">Tabela1[[#This Row],[Prazo
Entrega]]-TODAY()</f>
        <v>37</v>
      </c>
      <c r="O61" s="42" t="str">
        <f t="shared" ca="1" si="2"/>
        <v>NO PRAZO</v>
      </c>
      <c r="P61" s="42">
        <f>WEEKNUM(Tabela1[[#This Row],[Prazo
Entrega]],1)</f>
        <v>31</v>
      </c>
      <c r="R61" s="10" t="s">
        <v>43</v>
      </c>
      <c r="S61" s="43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4">
        <v>30</v>
      </c>
      <c r="AF61" s="44" t="s">
        <v>28</v>
      </c>
      <c r="AG61" s="44" t="s">
        <v>28</v>
      </c>
      <c r="AH61" s="44" t="s">
        <v>28</v>
      </c>
      <c r="AI61" s="44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2">
        <f>WEEKNUM(Tabela1[[#This Row],[Prazo
Fundido]])</f>
        <v>25</v>
      </c>
      <c r="L62" s="11">
        <v>46197</v>
      </c>
      <c r="M62" s="16">
        <v>46234</v>
      </c>
      <c r="N62" s="42">
        <f ca="1">Tabela1[[#This Row],[Prazo
Entrega]]-TODAY()</f>
        <v>37</v>
      </c>
      <c r="O62" s="42" t="str">
        <f t="shared" ca="1" si="2"/>
        <v>NO PRAZO</v>
      </c>
      <c r="P62" s="42">
        <f>WEEKNUM(Tabela1[[#This Row],[Prazo
Entrega]],1)</f>
        <v>31</v>
      </c>
      <c r="R62" s="10" t="s">
        <v>43</v>
      </c>
      <c r="S62" s="43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4">
        <v>30</v>
      </c>
      <c r="AF62" s="44" t="s">
        <v>28</v>
      </c>
      <c r="AG62" s="44" t="s">
        <v>28</v>
      </c>
      <c r="AH62" s="44" t="s">
        <v>28</v>
      </c>
      <c r="AI62" s="44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2">
        <f>WEEKNUM(Tabela1[[#This Row],[Prazo
Fundido]])</f>
        <v>25</v>
      </c>
      <c r="L63" s="11">
        <v>46197</v>
      </c>
      <c r="M63" s="16">
        <v>46234</v>
      </c>
      <c r="N63" s="42">
        <f ca="1">Tabela1[[#This Row],[Prazo
Entrega]]-TODAY()</f>
        <v>37</v>
      </c>
      <c r="O63" s="42" t="str">
        <f t="shared" ca="1" si="2"/>
        <v>NO PRAZO</v>
      </c>
      <c r="P63" s="42">
        <f>WEEKNUM(Tabela1[[#This Row],[Prazo
Entrega]],1)</f>
        <v>31</v>
      </c>
      <c r="R63" s="10" t="s">
        <v>43</v>
      </c>
      <c r="S63" s="43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4">
        <v>30</v>
      </c>
      <c r="AF63" s="44" t="s">
        <v>28</v>
      </c>
      <c r="AG63" s="44" t="s">
        <v>28</v>
      </c>
      <c r="AH63" s="44" t="s">
        <v>28</v>
      </c>
      <c r="AI63" s="44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2">
        <f>WEEKNUM(Tabela1[[#This Row],[Prazo
Fundido]])</f>
        <v>25</v>
      </c>
      <c r="L64" s="11">
        <v>46197</v>
      </c>
      <c r="M64" s="16">
        <v>46234</v>
      </c>
      <c r="N64" s="42">
        <f ca="1">Tabela1[[#This Row],[Prazo
Entrega]]-TODAY()</f>
        <v>37</v>
      </c>
      <c r="O64" s="42" t="str">
        <f t="shared" ca="1" si="2"/>
        <v>NO PRAZO</v>
      </c>
      <c r="P64" s="42">
        <f>WEEKNUM(Tabela1[[#This Row],[Prazo
Entrega]],1)</f>
        <v>31</v>
      </c>
      <c r="R64" s="10" t="s">
        <v>43</v>
      </c>
      <c r="S64" s="43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4">
        <v>30</v>
      </c>
      <c r="AF64" s="44" t="s">
        <v>28</v>
      </c>
      <c r="AG64" s="44" t="s">
        <v>28</v>
      </c>
      <c r="AH64" s="44" t="s">
        <v>28</v>
      </c>
      <c r="AI64" s="44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2">
        <f>WEEKNUM(Tabela1[[#This Row],[Prazo
Fundido]])</f>
        <v>25</v>
      </c>
      <c r="M65" s="16">
        <v>46234</v>
      </c>
      <c r="N65" s="42">
        <f ca="1">Tabela1[[#This Row],[Prazo
Entrega]]-TODAY()</f>
        <v>37</v>
      </c>
      <c r="O65" s="42" t="str">
        <f t="shared" ca="1" si="2"/>
        <v>NO PRAZO</v>
      </c>
      <c r="P65" s="42">
        <f>WEEKNUM(Tabela1[[#This Row],[Prazo
Entrega]],1)</f>
        <v>31</v>
      </c>
      <c r="R65" s="10" t="s">
        <v>43</v>
      </c>
      <c r="S65" s="43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4">
        <v>30</v>
      </c>
      <c r="AF65" s="44" t="s">
        <v>28</v>
      </c>
      <c r="AG65" s="44" t="s">
        <v>28</v>
      </c>
      <c r="AH65" s="44" t="s">
        <v>28</v>
      </c>
      <c r="AI65" s="44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2">
        <f>WEEKNUM(Tabela1[[#This Row],[Prazo
Fundido]])</f>
        <v>25</v>
      </c>
      <c r="L66" s="11">
        <v>46197</v>
      </c>
      <c r="M66" s="16">
        <v>46234</v>
      </c>
      <c r="N66" s="42">
        <f ca="1">Tabela1[[#This Row],[Prazo
Entrega]]-TODAY()</f>
        <v>37</v>
      </c>
      <c r="O66" s="42" t="str">
        <f t="shared" ref="O66:O89" ca="1" si="4">IF(N66&lt;0,"ATRASADO",IF(N66&lt;=15,"ATENÇÃO","NO PRAZO"))</f>
        <v>NO PRAZO</v>
      </c>
      <c r="P66" s="42">
        <f>WEEKNUM(Tabela1[[#This Row],[Prazo
Entrega]],1)</f>
        <v>31</v>
      </c>
      <c r="R66" s="10" t="s">
        <v>43</v>
      </c>
      <c r="S66" s="43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89" si="5">IF(L66="","AG. FUNDIDO",IF(U66="AG","AG. USINAGEM","EM USINAGEM"))</f>
        <v>AG. USINAGEM</v>
      </c>
      <c r="AE66" s="44">
        <v>30</v>
      </c>
      <c r="AF66" s="44" t="s">
        <v>28</v>
      </c>
      <c r="AG66" s="44" t="s">
        <v>28</v>
      </c>
      <c r="AH66" s="44" t="s">
        <v>28</v>
      </c>
      <c r="AI66" s="44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2">
        <f>WEEKNUM(Tabela1[[#This Row],[Prazo
Fundido]])</f>
        <v>26</v>
      </c>
      <c r="M67" s="16">
        <v>46248</v>
      </c>
      <c r="N67" s="42">
        <f ca="1">Tabela1[[#This Row],[Prazo
Entrega]]-TODAY()</f>
        <v>51</v>
      </c>
      <c r="O67" s="42" t="str">
        <f t="shared" ca="1" si="4"/>
        <v>NO PRAZO</v>
      </c>
      <c r="P67" s="42">
        <f>WEEKNUM(Tabela1[[#This Row],[Prazo
Entrega]],1)</f>
        <v>33</v>
      </c>
      <c r="R67" s="10" t="s">
        <v>43</v>
      </c>
      <c r="S67" s="43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4">
        <v>30</v>
      </c>
      <c r="AF67" s="44">
        <f>Tabela1[[#This Row],[Plainar
Facear]]+1</f>
        <v>31</v>
      </c>
      <c r="AG67" s="44" t="s">
        <v>28</v>
      </c>
      <c r="AH67" s="44">
        <f>Tabela1[[#This Row],[Serrar2]]+1</f>
        <v>32</v>
      </c>
      <c r="AI67" s="44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2">
        <f>WEEKNUM(Tabela1[[#This Row],[Prazo
Fundido]])</f>
        <v>26</v>
      </c>
      <c r="L68" s="11">
        <v>46189</v>
      </c>
      <c r="M68" s="16">
        <v>46248</v>
      </c>
      <c r="N68" s="42">
        <f ca="1">Tabela1[[#This Row],[Prazo
Entrega]]-TODAY()</f>
        <v>51</v>
      </c>
      <c r="O68" s="42" t="str">
        <f t="shared" ca="1" si="4"/>
        <v>NO PRAZO</v>
      </c>
      <c r="P68" s="42">
        <f>WEEKNUM(Tabela1[[#This Row],[Prazo
Entrega]],1)</f>
        <v>33</v>
      </c>
      <c r="R68" s="10" t="s">
        <v>43</v>
      </c>
      <c r="S68" s="43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4">
        <v>30</v>
      </c>
      <c r="AF68" s="44">
        <f>Tabela1[[#This Row],[Plainar
Facear]]+1</f>
        <v>31</v>
      </c>
      <c r="AG68" s="44" t="s">
        <v>28</v>
      </c>
      <c r="AH68" s="44">
        <f>Tabela1[[#This Row],[Serrar2]]+1</f>
        <v>32</v>
      </c>
      <c r="AI68" s="44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2">
        <f>WEEKNUM(Tabela1[[#This Row],[Prazo
Fundido]])</f>
        <v>28</v>
      </c>
      <c r="M69" s="16">
        <v>46255</v>
      </c>
      <c r="N69" s="42">
        <f ca="1">Tabela1[[#This Row],[Prazo
Entrega]]-TODAY()</f>
        <v>58</v>
      </c>
      <c r="O69" s="42" t="str">
        <f t="shared" ca="1" si="4"/>
        <v>NO PRAZO</v>
      </c>
      <c r="P69" s="42">
        <f>WEEKNUM(Tabela1[[#This Row],[Prazo
Entrega]],1)</f>
        <v>34</v>
      </c>
      <c r="R69" s="10" t="s">
        <v>43</v>
      </c>
      <c r="S69" s="43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4">
        <v>30</v>
      </c>
      <c r="AF69" s="44">
        <f>Tabela1[[#This Row],[Plainar
Facear]]+1</f>
        <v>31</v>
      </c>
      <c r="AG69" s="44" t="s">
        <v>28</v>
      </c>
      <c r="AH69" s="44">
        <f>Tabela1[[#This Row],[Serrar2]]+1</f>
        <v>32</v>
      </c>
      <c r="AI69" s="44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2">
        <f>WEEKNUM(Tabela1[[#This Row],[Prazo
Fundido]])</f>
        <v>28</v>
      </c>
      <c r="M70" s="16">
        <v>46255</v>
      </c>
      <c r="N70" s="42">
        <f ca="1">Tabela1[[#This Row],[Prazo
Entrega]]-TODAY()</f>
        <v>58</v>
      </c>
      <c r="O70" s="42" t="str">
        <f t="shared" ca="1" si="4"/>
        <v>NO PRAZO</v>
      </c>
      <c r="P70" s="42">
        <f>WEEKNUM(Tabela1[[#This Row],[Prazo
Entrega]],1)</f>
        <v>34</v>
      </c>
      <c r="R70" s="10" t="s">
        <v>43</v>
      </c>
      <c r="S70" s="43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4">
        <v>31</v>
      </c>
      <c r="AF70" s="44">
        <f>Tabela1[[#This Row],[Plainar
Facear]]+1</f>
        <v>32</v>
      </c>
      <c r="AG70" s="44" t="s">
        <v>28</v>
      </c>
      <c r="AH70" s="44">
        <f>Tabela1[[#This Row],[Serrar2]]+1</f>
        <v>33</v>
      </c>
      <c r="AI70" s="44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2">
        <f>WEEKNUM(Tabela1[[#This Row],[Prazo
Fundido]])</f>
        <v>28</v>
      </c>
      <c r="M71" s="16">
        <v>46255</v>
      </c>
      <c r="N71" s="42">
        <f ca="1">Tabela1[[#This Row],[Prazo
Entrega]]-TODAY()</f>
        <v>58</v>
      </c>
      <c r="O71" s="42" t="str">
        <f t="shared" ca="1" si="4"/>
        <v>NO PRAZO</v>
      </c>
      <c r="P71" s="42">
        <f>WEEKNUM(Tabela1[[#This Row],[Prazo
Entrega]],1)</f>
        <v>34</v>
      </c>
      <c r="R71" s="10" t="s">
        <v>43</v>
      </c>
      <c r="S71" s="43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4">
        <v>31</v>
      </c>
      <c r="AF71" s="44">
        <f>Tabela1[[#This Row],[Plainar
Facear]]+1</f>
        <v>32</v>
      </c>
      <c r="AG71" s="44" t="s">
        <v>28</v>
      </c>
      <c r="AH71" s="44">
        <f>Tabela1[[#This Row],[Serrar2]]+1</f>
        <v>33</v>
      </c>
      <c r="AI71" s="44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2">
        <f>WEEKNUM(Tabela1[[#This Row],[Prazo
Fundido]])</f>
        <v>28</v>
      </c>
      <c r="M72" s="16">
        <v>46255</v>
      </c>
      <c r="N72" s="42">
        <f ca="1">Tabela1[[#This Row],[Prazo
Entrega]]-TODAY()</f>
        <v>58</v>
      </c>
      <c r="O72" s="42" t="str">
        <f t="shared" ca="1" si="4"/>
        <v>NO PRAZO</v>
      </c>
      <c r="P72" s="42">
        <f>WEEKNUM(Tabela1[[#This Row],[Prazo
Entrega]],1)</f>
        <v>34</v>
      </c>
      <c r="R72" s="10" t="s">
        <v>43</v>
      </c>
      <c r="S72" s="43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4">
        <v>31</v>
      </c>
      <c r="AF72" s="44">
        <f>Tabela1[[#This Row],[Plainar
Facear]]+1</f>
        <v>32</v>
      </c>
      <c r="AG72" s="44" t="s">
        <v>28</v>
      </c>
      <c r="AH72" s="44">
        <f>Tabela1[[#This Row],[Serrar2]]+1</f>
        <v>33</v>
      </c>
      <c r="AI72" s="44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2">
        <f>WEEKNUM(Tabela1[[#This Row],[Prazo
Fundido]])</f>
        <v>28</v>
      </c>
      <c r="M73" s="16">
        <v>46255</v>
      </c>
      <c r="N73" s="42">
        <f ca="1">Tabela1[[#This Row],[Prazo
Entrega]]-TODAY()</f>
        <v>58</v>
      </c>
      <c r="O73" s="42" t="str">
        <f t="shared" ca="1" si="4"/>
        <v>NO PRAZO</v>
      </c>
      <c r="P73" s="42">
        <f>WEEKNUM(Tabela1[[#This Row],[Prazo
Entrega]],1)</f>
        <v>34</v>
      </c>
      <c r="R73" s="10" t="s">
        <v>43</v>
      </c>
      <c r="S73" s="43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4">
        <v>31</v>
      </c>
      <c r="AF73" s="44">
        <f>Tabela1[[#This Row],[Plainar
Facear]]+1</f>
        <v>32</v>
      </c>
      <c r="AG73" s="44" t="s">
        <v>28</v>
      </c>
      <c r="AH73" s="44">
        <f>Tabela1[[#This Row],[Serrar2]]+1</f>
        <v>33</v>
      </c>
      <c r="AI73" s="44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2">
        <f>WEEKNUM(Tabela1[[#This Row],[Prazo
Fundido]])</f>
        <v>28</v>
      </c>
      <c r="M74" s="16">
        <v>46255</v>
      </c>
      <c r="N74" s="42">
        <f ca="1">Tabela1[[#This Row],[Prazo
Entrega]]-TODAY()</f>
        <v>58</v>
      </c>
      <c r="O74" s="42" t="str">
        <f t="shared" ca="1" si="4"/>
        <v>NO PRAZO</v>
      </c>
      <c r="P74" s="42">
        <f>WEEKNUM(Tabela1[[#This Row],[Prazo
Entrega]],1)</f>
        <v>34</v>
      </c>
      <c r="R74" s="10" t="s">
        <v>43</v>
      </c>
      <c r="S74" s="43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4">
        <v>31</v>
      </c>
      <c r="AF74" s="44">
        <f>Tabela1[[#This Row],[Plainar
Facear]]+1</f>
        <v>32</v>
      </c>
      <c r="AG74" s="44" t="s">
        <v>28</v>
      </c>
      <c r="AH74" s="44">
        <f>Tabela1[[#This Row],[Serrar2]]+1</f>
        <v>33</v>
      </c>
      <c r="AI74" s="44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2">
        <f>WEEKNUM(Tabela1[[#This Row],[Prazo
Fundido]])</f>
        <v>31</v>
      </c>
      <c r="M75" s="16">
        <v>46259</v>
      </c>
      <c r="N75" s="42">
        <f ca="1">Tabela1[[#This Row],[Prazo
Entrega]]-TODAY()</f>
        <v>62</v>
      </c>
      <c r="O75" s="42" t="str">
        <f t="shared" ca="1" si="4"/>
        <v>NO PRAZO</v>
      </c>
      <c r="P75" s="42">
        <f>WEEKNUM(Tabela1[[#This Row],[Prazo
Entrega]],1)</f>
        <v>35</v>
      </c>
      <c r="R75" s="10" t="s">
        <v>43</v>
      </c>
      <c r="S75" s="43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4">
        <v>31</v>
      </c>
      <c r="AF75" s="44">
        <f>Tabela1[[#This Row],[Plainar
Facear]]+1</f>
        <v>32</v>
      </c>
      <c r="AG75" s="44" t="s">
        <v>28</v>
      </c>
      <c r="AH75" s="44">
        <f>Tabela1[[#This Row],[Serrar2]]+1</f>
        <v>33</v>
      </c>
      <c r="AI75" s="44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2">
        <f>WEEKNUM(Tabela1[[#This Row],[Prazo
Fundido]])</f>
        <v>31</v>
      </c>
      <c r="M76" s="16">
        <v>46259</v>
      </c>
      <c r="N76" s="42">
        <f ca="1">Tabela1[[#This Row],[Prazo
Entrega]]-TODAY()</f>
        <v>62</v>
      </c>
      <c r="O76" s="42" t="str">
        <f t="shared" ca="1" si="4"/>
        <v>NO PRAZO</v>
      </c>
      <c r="P76" s="42">
        <f>WEEKNUM(Tabela1[[#This Row],[Prazo
Entrega]],1)</f>
        <v>35</v>
      </c>
      <c r="R76" s="10" t="s">
        <v>43</v>
      </c>
      <c r="S76" s="43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4">
        <v>31</v>
      </c>
      <c r="AF76" s="44">
        <f>Tabela1[[#This Row],[Plainar
Facear]]+1</f>
        <v>32</v>
      </c>
      <c r="AG76" s="44" t="s">
        <v>28</v>
      </c>
      <c r="AH76" s="44">
        <f>Tabela1[[#This Row],[Serrar2]]+1</f>
        <v>33</v>
      </c>
      <c r="AI76" s="44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2">
        <f>WEEKNUM(Tabela1[[#This Row],[Prazo
Fundido]])</f>
        <v>31</v>
      </c>
      <c r="M77" s="16">
        <v>46259</v>
      </c>
      <c r="N77" s="42">
        <f ca="1">Tabela1[[#This Row],[Prazo
Entrega]]-TODAY()</f>
        <v>62</v>
      </c>
      <c r="O77" s="42" t="str">
        <f t="shared" ca="1" si="4"/>
        <v>NO PRAZO</v>
      </c>
      <c r="P77" s="42">
        <f>WEEKNUM(Tabela1[[#This Row],[Prazo
Entrega]],1)</f>
        <v>35</v>
      </c>
      <c r="R77" s="10" t="s">
        <v>43</v>
      </c>
      <c r="S77" s="43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4">
        <v>31</v>
      </c>
      <c r="AF77" s="44">
        <f>Tabela1[[#This Row],[Plainar
Facear]]+1</f>
        <v>32</v>
      </c>
      <c r="AG77" s="44" t="s">
        <v>28</v>
      </c>
      <c r="AH77" s="44">
        <f>Tabela1[[#This Row],[Serrar2]]+1</f>
        <v>33</v>
      </c>
      <c r="AI77" s="44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2">
        <f>WEEKNUM(Tabela1[[#This Row],[Prazo
Fundido]])</f>
        <v>31</v>
      </c>
      <c r="M78" s="16">
        <v>46235</v>
      </c>
      <c r="N78" s="42">
        <f ca="1">Tabela1[[#This Row],[Prazo
Entrega]]-TODAY()</f>
        <v>38</v>
      </c>
      <c r="O78" s="42" t="str">
        <f t="shared" ca="1" si="4"/>
        <v>NO PRAZO</v>
      </c>
      <c r="P78" s="42">
        <f>WEEKNUM(Tabela1[[#This Row],[Prazo
Entrega]],1)</f>
        <v>31</v>
      </c>
      <c r="R78" s="10" t="s">
        <v>45</v>
      </c>
      <c r="S78" s="43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5">
        <v>0</v>
      </c>
      <c r="AF78" s="46">
        <v>0</v>
      </c>
      <c r="AG78" s="46">
        <v>0</v>
      </c>
      <c r="AH78" s="46">
        <v>0</v>
      </c>
      <c r="AI78" s="47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2">
        <f>WEEKNUM(Tabela1[[#This Row],[Prazo
Fundido]])</f>
        <v>40</v>
      </c>
      <c r="M79" s="16">
        <v>46295</v>
      </c>
      <c r="N79" s="42">
        <f ca="1">Tabela1[[#This Row],[Prazo
Entrega]]-TODAY()</f>
        <v>98</v>
      </c>
      <c r="O79" s="42" t="str">
        <f t="shared" ca="1" si="4"/>
        <v>NO PRAZO</v>
      </c>
      <c r="P79" s="42">
        <f>WEEKNUM(Tabela1[[#This Row],[Prazo
Entrega]],1)</f>
        <v>40</v>
      </c>
      <c r="R79" s="10" t="s">
        <v>45</v>
      </c>
      <c r="S79" s="43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5">
        <v>0</v>
      </c>
      <c r="AF79" s="46">
        <v>0</v>
      </c>
      <c r="AG79" s="46">
        <v>0</v>
      </c>
      <c r="AH79" s="46">
        <v>0</v>
      </c>
      <c r="AI79" s="47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2">
        <f>WEEKNUM(Tabela1[[#This Row],[Prazo
Fundido]])</f>
        <v>31</v>
      </c>
      <c r="M80" s="16">
        <v>46235</v>
      </c>
      <c r="N80" s="42">
        <f ca="1">Tabela1[[#This Row],[Prazo
Entrega]]-TODAY()</f>
        <v>38</v>
      </c>
      <c r="O80" s="42" t="str">
        <f t="shared" ca="1" si="4"/>
        <v>NO PRAZO</v>
      </c>
      <c r="P80" s="42">
        <f>WEEKNUM(Tabela1[[#This Row],[Prazo
Entrega]],1)</f>
        <v>31</v>
      </c>
      <c r="R80" s="10" t="s">
        <v>45</v>
      </c>
      <c r="S80" s="43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5">
        <v>0</v>
      </c>
      <c r="AF80" s="46">
        <v>0</v>
      </c>
      <c r="AG80" s="46">
        <v>0</v>
      </c>
      <c r="AH80" s="46">
        <v>0</v>
      </c>
      <c r="AI80" s="47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2">
        <f>WEEKNUM(Tabela1[[#This Row],[Prazo
Fundido]])</f>
        <v>36</v>
      </c>
      <c r="M81" s="16">
        <v>46266</v>
      </c>
      <c r="N81" s="42">
        <f ca="1">Tabela1[[#This Row],[Prazo
Entrega]]-TODAY()</f>
        <v>69</v>
      </c>
      <c r="O81" s="42" t="str">
        <f t="shared" ca="1" si="4"/>
        <v>NO PRAZO</v>
      </c>
      <c r="P81" s="42">
        <f>WEEKNUM(Tabela1[[#This Row],[Prazo
Entrega]],1)</f>
        <v>36</v>
      </c>
      <c r="R81" s="10" t="s">
        <v>45</v>
      </c>
      <c r="S81" s="43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5">
        <v>0</v>
      </c>
      <c r="AF81" s="46">
        <v>0</v>
      </c>
      <c r="AG81" s="46">
        <v>0</v>
      </c>
      <c r="AH81" s="46">
        <v>0</v>
      </c>
      <c r="AI81" s="47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2">
        <f>WEEKNUM(Tabela1[[#This Row],[Prazo
Fundido]])</f>
        <v>36</v>
      </c>
      <c r="M82" s="16">
        <v>46266</v>
      </c>
      <c r="N82" s="42">
        <f ca="1">Tabela1[[#This Row],[Prazo
Entrega]]-TODAY()</f>
        <v>69</v>
      </c>
      <c r="O82" s="42" t="str">
        <f t="shared" ca="1" si="4"/>
        <v>NO PRAZO</v>
      </c>
      <c r="P82" s="42">
        <f>WEEKNUM(Tabela1[[#This Row],[Prazo
Entrega]],1)</f>
        <v>36</v>
      </c>
      <c r="R82" s="10" t="s">
        <v>45</v>
      </c>
      <c r="S82" s="43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5">
        <v>0</v>
      </c>
      <c r="AF82" s="46">
        <v>0</v>
      </c>
      <c r="AG82" s="46">
        <v>0</v>
      </c>
      <c r="AH82" s="46">
        <v>0</v>
      </c>
      <c r="AI82" s="47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2">
        <f>WEEKNUM(Tabela1[[#This Row],[Prazo
Fundido]])</f>
        <v>40</v>
      </c>
      <c r="M83" s="16">
        <v>46295</v>
      </c>
      <c r="N83" s="42">
        <f ca="1">Tabela1[[#This Row],[Prazo
Entrega]]-TODAY()</f>
        <v>98</v>
      </c>
      <c r="O83" s="42" t="str">
        <f t="shared" ca="1" si="4"/>
        <v>NO PRAZO</v>
      </c>
      <c r="P83" s="42">
        <f>WEEKNUM(Tabela1[[#This Row],[Prazo
Entrega]],1)</f>
        <v>40</v>
      </c>
      <c r="R83" s="10" t="s">
        <v>45</v>
      </c>
      <c r="S83" s="43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5">
        <v>0</v>
      </c>
      <c r="AF83" s="46">
        <v>0</v>
      </c>
      <c r="AG83" s="46">
        <v>0</v>
      </c>
      <c r="AH83" s="46">
        <v>0</v>
      </c>
      <c r="AI83" s="47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2">
        <f>WEEKNUM(Tabela1[[#This Row],[Prazo
Fundido]])</f>
        <v>30</v>
      </c>
      <c r="M84" s="16">
        <v>46310</v>
      </c>
      <c r="N84" s="42">
        <f ca="1">Tabela1[[#This Row],[Prazo
Entrega]]-TODAY()</f>
        <v>113</v>
      </c>
      <c r="O84" s="42" t="str">
        <f t="shared" ca="1" si="4"/>
        <v>NO PRAZO</v>
      </c>
      <c r="P84" s="42">
        <f>WEEKNUM(Tabela1[[#This Row],[Prazo
Entrega]],1)</f>
        <v>42</v>
      </c>
      <c r="R84" s="10" t="s">
        <v>43</v>
      </c>
      <c r="S84" s="43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4">
        <v>32</v>
      </c>
      <c r="AF84" s="44">
        <f>Tabela1[[#This Row],[Plainar
Facear]]+1</f>
        <v>33</v>
      </c>
      <c r="AG84" s="44">
        <f>Tabela1[[#This Row],[Serrar2]]+1</f>
        <v>34</v>
      </c>
      <c r="AH84" s="44">
        <f>Tabela1[[#This Row],[Solda
Dura2]]+1</f>
        <v>35</v>
      </c>
      <c r="AI84" s="44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2">
        <f>WEEKNUM(Tabela1[[#This Row],[Prazo
Fundido]])</f>
        <v>30</v>
      </c>
      <c r="M85" s="16">
        <v>46310</v>
      </c>
      <c r="N85" s="42">
        <f ca="1">Tabela1[[#This Row],[Prazo
Entrega]]-TODAY()</f>
        <v>113</v>
      </c>
      <c r="O85" s="42" t="str">
        <f t="shared" ca="1" si="4"/>
        <v>NO PRAZO</v>
      </c>
      <c r="P85" s="42">
        <f>WEEKNUM(Tabela1[[#This Row],[Prazo
Entrega]],1)</f>
        <v>42</v>
      </c>
      <c r="R85" s="10" t="s">
        <v>43</v>
      </c>
      <c r="S85" s="43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4">
        <v>32</v>
      </c>
      <c r="AF85" s="44">
        <f>Tabela1[[#This Row],[Plainar
Facear]]+1</f>
        <v>33</v>
      </c>
      <c r="AG85" s="44">
        <f>Tabela1[[#This Row],[Serrar2]]+1</f>
        <v>34</v>
      </c>
      <c r="AH85" s="44">
        <f>Tabela1[[#This Row],[Solda
Dura2]]+1</f>
        <v>35</v>
      </c>
      <c r="AI85" s="44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2">
        <f>WEEKNUM(Tabela1[[#This Row],[Prazo
Fundido]])</f>
        <v>30</v>
      </c>
      <c r="M86" s="16">
        <v>46310</v>
      </c>
      <c r="N86" s="42">
        <f ca="1">Tabela1[[#This Row],[Prazo
Entrega]]-TODAY()</f>
        <v>113</v>
      </c>
      <c r="O86" s="42" t="str">
        <f t="shared" ca="1" si="4"/>
        <v>NO PRAZO</v>
      </c>
      <c r="P86" s="42">
        <f>WEEKNUM(Tabela1[[#This Row],[Prazo
Entrega]],1)</f>
        <v>42</v>
      </c>
      <c r="R86" s="10" t="s">
        <v>43</v>
      </c>
      <c r="S86" s="43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4">
        <v>32</v>
      </c>
      <c r="AF86" s="44">
        <f>Tabela1[[#This Row],[Plainar
Facear]]+1</f>
        <v>33</v>
      </c>
      <c r="AG86" s="44">
        <f>Tabela1[[#This Row],[Serrar2]]+1</f>
        <v>34</v>
      </c>
      <c r="AH86" s="44">
        <f>Tabela1[[#This Row],[Solda
Dura2]]+1</f>
        <v>35</v>
      </c>
      <c r="AI86" s="44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2">
        <f>WEEKNUM(Tabela1[[#This Row],[Prazo
Fundido]])</f>
        <v>30</v>
      </c>
      <c r="M87" s="16">
        <v>46310</v>
      </c>
      <c r="N87" s="42">
        <f ca="1">Tabela1[[#This Row],[Prazo
Entrega]]-TODAY()</f>
        <v>113</v>
      </c>
      <c r="O87" s="42" t="str">
        <f t="shared" ca="1" si="4"/>
        <v>NO PRAZO</v>
      </c>
      <c r="P87" s="42">
        <f>WEEKNUM(Tabela1[[#This Row],[Prazo
Entrega]],1)</f>
        <v>42</v>
      </c>
      <c r="R87" s="10" t="s">
        <v>43</v>
      </c>
      <c r="S87" s="43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4">
        <v>32</v>
      </c>
      <c r="AF87" s="44">
        <f>Tabela1[[#This Row],[Plainar
Facear]]+1</f>
        <v>33</v>
      </c>
      <c r="AG87" s="44">
        <f>Tabela1[[#This Row],[Serrar2]]+1</f>
        <v>34</v>
      </c>
      <c r="AH87" s="44">
        <f>Tabela1[[#This Row],[Solda
Dura2]]+1</f>
        <v>35</v>
      </c>
      <c r="AI87" s="44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2">
        <f>WEEKNUM(Tabela1[[#This Row],[Prazo
Fundido]])</f>
        <v>30</v>
      </c>
      <c r="M88" s="16">
        <v>46310</v>
      </c>
      <c r="N88" s="42">
        <f ca="1">Tabela1[[#This Row],[Prazo
Entrega]]-TODAY()</f>
        <v>113</v>
      </c>
      <c r="O88" s="42" t="str">
        <f t="shared" ca="1" si="4"/>
        <v>NO PRAZO</v>
      </c>
      <c r="P88" s="42">
        <f>WEEKNUM(Tabela1[[#This Row],[Prazo
Entrega]],1)</f>
        <v>42</v>
      </c>
      <c r="R88" s="10" t="s">
        <v>43</v>
      </c>
      <c r="S88" s="43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4">
        <v>32</v>
      </c>
      <c r="AF88" s="44">
        <f>Tabela1[[#This Row],[Plainar
Facear]]+1</f>
        <v>33</v>
      </c>
      <c r="AG88" s="44">
        <f>Tabela1[[#This Row],[Serrar2]]+1</f>
        <v>34</v>
      </c>
      <c r="AH88" s="44">
        <f>Tabela1[[#This Row],[Solda
Dura2]]+1</f>
        <v>35</v>
      </c>
      <c r="AI88" s="44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2">
        <f>WEEKNUM(Tabela1[[#This Row],[Prazo
Fundido]])</f>
        <v>30</v>
      </c>
      <c r="M89" s="16">
        <v>46310</v>
      </c>
      <c r="N89" s="42">
        <f ca="1">Tabela1[[#This Row],[Prazo
Entrega]]-TODAY()</f>
        <v>113</v>
      </c>
      <c r="O89" s="42" t="str">
        <f t="shared" ca="1" si="4"/>
        <v>NO PRAZO</v>
      </c>
      <c r="P89" s="42">
        <f>WEEKNUM(Tabela1[[#This Row],[Prazo
Entrega]],1)</f>
        <v>42</v>
      </c>
      <c r="R89" s="10" t="s">
        <v>43</v>
      </c>
      <c r="S89" s="43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4">
        <v>32</v>
      </c>
      <c r="AF89" s="44">
        <f>Tabela1[[#This Row],[Plainar
Facear]]+1</f>
        <v>33</v>
      </c>
      <c r="AG89" s="44">
        <f>Tabela1[[#This Row],[Serrar2]]+1</f>
        <v>34</v>
      </c>
      <c r="AH89" s="44">
        <f>Tabela1[[#This Row],[Solda
Dura2]]+1</f>
        <v>35</v>
      </c>
      <c r="AI89" s="44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2">
        <f>WEEKNUM(Tabela1[[#This Row],[Prazo
Fundido]])</f>
        <v>34</v>
      </c>
      <c r="M90" s="16">
        <v>46281</v>
      </c>
      <c r="N90" s="42">
        <f ca="1">Tabela1[[#This Row],[Prazo
Entrega]]-TODAY()</f>
        <v>84</v>
      </c>
      <c r="O90" s="42" t="str">
        <f t="shared" ref="O90:O94" ca="1" si="6">IF(N90&lt;0,"ATRASADO",IF(N90&lt;=15,"ATENÇÃO","NO PRAZO"))</f>
        <v>NO PRAZO</v>
      </c>
      <c r="P90" s="42">
        <f>WEEKNUM(Tabela1[[#This Row],[Prazo
Entrega]],1)</f>
        <v>38</v>
      </c>
      <c r="R90" s="10" t="s">
        <v>43</v>
      </c>
      <c r="S90" s="43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ref="AC90" si="7">IF(L90="","AG. FUNDIDO",IF(U90="AG","AG. USINAGEM","EM USINAGEM"))</f>
        <v>AG. FUNDIDO</v>
      </c>
      <c r="AE90" s="45">
        <v>33</v>
      </c>
      <c r="AF90" s="46">
        <v>34</v>
      </c>
      <c r="AG90" s="46">
        <v>35</v>
      </c>
      <c r="AH90" s="46">
        <v>36</v>
      </c>
      <c r="AI90" s="47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2">
        <f>WEEKNUM(Tabela1[[#This Row],[Prazo
Fundido]])</f>
        <v>34</v>
      </c>
      <c r="M91" s="16">
        <v>46281</v>
      </c>
      <c r="N91" s="42">
        <f ca="1">Tabela1[[#This Row],[Prazo
Entrega]]-TODAY()</f>
        <v>84</v>
      </c>
      <c r="O91" s="42" t="str">
        <f t="shared" ca="1" si="6"/>
        <v>NO PRAZO</v>
      </c>
      <c r="P91" s="42">
        <f>WEEKNUM(Tabela1[[#This Row],[Prazo
Entrega]],1)</f>
        <v>38</v>
      </c>
      <c r="R91" s="10" t="s">
        <v>43</v>
      </c>
      <c r="S91" s="43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ref="AC91:AC95" si="8">IF(L91="","AG. FUNDIDO",IF(U91="AG","AG. USINAGEM","EM USINAGEM"))</f>
        <v>AG. FUNDIDO</v>
      </c>
      <c r="AE91" s="45">
        <v>33</v>
      </c>
      <c r="AF91" s="46">
        <v>34</v>
      </c>
      <c r="AG91" s="46">
        <v>35</v>
      </c>
      <c r="AH91" s="46">
        <v>36</v>
      </c>
      <c r="AI91" s="47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2">
        <f>WEEKNUM(Tabela1[[#This Row],[Prazo
Fundido]])</f>
        <v>34</v>
      </c>
      <c r="M92" s="16">
        <v>46281</v>
      </c>
      <c r="N92" s="42">
        <f ca="1">Tabela1[[#This Row],[Prazo
Entrega]]-TODAY()</f>
        <v>84</v>
      </c>
      <c r="O92" s="42" t="str">
        <f t="shared" ca="1" si="6"/>
        <v>NO PRAZO</v>
      </c>
      <c r="P92" s="42">
        <f>WEEKNUM(Tabela1[[#This Row],[Prazo
Entrega]],1)</f>
        <v>38</v>
      </c>
      <c r="R92" s="10" t="s">
        <v>43</v>
      </c>
      <c r="S92" s="43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8"/>
        <v>AG. FUNDIDO</v>
      </c>
      <c r="AE92" s="45">
        <v>33</v>
      </c>
      <c r="AF92" s="46">
        <v>34</v>
      </c>
      <c r="AG92" s="46">
        <v>35</v>
      </c>
      <c r="AH92" s="46">
        <v>36</v>
      </c>
      <c r="AI92" s="47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2">
        <f>WEEKNUM(Tabela1[[#This Row],[Prazo
Fundido]])</f>
        <v>34</v>
      </c>
      <c r="M93" s="16">
        <v>46281</v>
      </c>
      <c r="N93" s="42">
        <f ca="1">Tabela1[[#This Row],[Prazo
Entrega]]-TODAY()</f>
        <v>84</v>
      </c>
      <c r="O93" s="42" t="str">
        <f t="shared" ca="1" si="6"/>
        <v>NO PRAZO</v>
      </c>
      <c r="P93" s="42">
        <f>WEEKNUM(Tabela1[[#This Row],[Prazo
Entrega]],1)</f>
        <v>38</v>
      </c>
      <c r="R93" s="10" t="s">
        <v>43</v>
      </c>
      <c r="S93" s="43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8"/>
        <v>AG. FUNDIDO</v>
      </c>
      <c r="AE93" s="45">
        <v>33</v>
      </c>
      <c r="AF93" s="46">
        <v>34</v>
      </c>
      <c r="AG93" s="46">
        <v>35</v>
      </c>
      <c r="AH93" s="46">
        <v>36</v>
      </c>
      <c r="AI93" s="47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2">
        <f>WEEKNUM(Tabela1[[#This Row],[Prazo
Fundido]])</f>
        <v>34</v>
      </c>
      <c r="M94" s="16">
        <v>46281</v>
      </c>
      <c r="N94" s="42">
        <f ca="1">Tabela1[[#This Row],[Prazo
Entrega]]-TODAY()</f>
        <v>84</v>
      </c>
      <c r="O94" s="42" t="str">
        <f t="shared" ca="1" si="6"/>
        <v>NO PRAZO</v>
      </c>
      <c r="P94" s="42">
        <f>WEEKNUM(Tabela1[[#This Row],[Prazo
Entrega]],1)</f>
        <v>38</v>
      </c>
      <c r="R94" s="10" t="s">
        <v>43</v>
      </c>
      <c r="S94" s="43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8"/>
        <v>AG. FUNDIDO</v>
      </c>
      <c r="AE94" s="45">
        <v>33</v>
      </c>
      <c r="AF94" s="46">
        <v>34</v>
      </c>
      <c r="AG94" s="46">
        <v>35</v>
      </c>
      <c r="AH94" s="46">
        <v>36</v>
      </c>
      <c r="AI94" s="47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2">
        <f>WEEKNUM(Tabela1[[#This Row],[Prazo
Fundido]])</f>
        <v>40</v>
      </c>
      <c r="M95" s="16">
        <v>46356</v>
      </c>
      <c r="N95" s="42">
        <f ca="1">Tabela1[[#This Row],[Prazo
Entrega]]-TODAY()</f>
        <v>159</v>
      </c>
      <c r="O95" s="42" t="str">
        <f t="shared" ref="O95:O99" ca="1" si="9">IF(N95&lt;0,"ATRASADO",IF(N95&lt;=15,"ATENÇÃO","NO PRAZO"))</f>
        <v>NO PRAZO</v>
      </c>
      <c r="P95" s="42">
        <f>WEEKNUM(Tabela1[[#This Row],[Prazo
Entrega]],1)</f>
        <v>49</v>
      </c>
      <c r="R95" s="10" t="s">
        <v>43</v>
      </c>
      <c r="S95" s="43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8"/>
        <v>AG. FUNDIDO</v>
      </c>
      <c r="AE95" s="45"/>
      <c r="AF95" s="46"/>
      <c r="AG95" s="46"/>
      <c r="AH95" s="46"/>
      <c r="AI95" s="47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2">
        <f>WEEKNUM(Tabela1[[#This Row],[Prazo
Fundido]])</f>
        <v>40</v>
      </c>
      <c r="M96" s="16">
        <v>46356</v>
      </c>
      <c r="N96" s="42">
        <f ca="1">Tabela1[[#This Row],[Prazo
Entrega]]-TODAY()</f>
        <v>159</v>
      </c>
      <c r="O96" s="42" t="str">
        <f t="shared" ca="1" si="9"/>
        <v>NO PRAZO</v>
      </c>
      <c r="P96" s="42">
        <f>WEEKNUM(Tabela1[[#This Row],[Prazo
Entrega]],1)</f>
        <v>49</v>
      </c>
      <c r="R96" s="10" t="s">
        <v>43</v>
      </c>
      <c r="S96" s="43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ref="AC96:AC109" si="10">IF(L96="","AG. FUNDIDO",IF(U96="AG","AG. USINAGEM","EM USINAGEM"))</f>
        <v>AG. FUNDIDO</v>
      </c>
      <c r="AE96" s="45"/>
      <c r="AF96" s="46"/>
      <c r="AG96" s="46"/>
      <c r="AH96" s="46"/>
      <c r="AI96" s="47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2">
        <f>WEEKNUM(Tabela1[[#This Row],[Prazo
Fundido]])</f>
        <v>40</v>
      </c>
      <c r="M97" s="16">
        <v>46356</v>
      </c>
      <c r="N97" s="42">
        <f ca="1">Tabela1[[#This Row],[Prazo
Entrega]]-TODAY()</f>
        <v>159</v>
      </c>
      <c r="O97" s="42" t="str">
        <f t="shared" ca="1" si="9"/>
        <v>NO PRAZO</v>
      </c>
      <c r="P97" s="42">
        <f>WEEKNUM(Tabela1[[#This Row],[Prazo
Entrega]],1)</f>
        <v>49</v>
      </c>
      <c r="R97" s="10" t="s">
        <v>43</v>
      </c>
      <c r="S97" s="43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10"/>
        <v>AG. FUNDIDO</v>
      </c>
      <c r="AE97" s="45"/>
      <c r="AF97" s="46"/>
      <c r="AG97" s="46"/>
      <c r="AH97" s="46"/>
      <c r="AI97" s="47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2">
        <f>WEEKNUM(Tabela1[[#This Row],[Prazo
Fundido]])</f>
        <v>40</v>
      </c>
      <c r="M98" s="16">
        <v>46356</v>
      </c>
      <c r="N98" s="42">
        <f ca="1">Tabela1[[#This Row],[Prazo
Entrega]]-TODAY()</f>
        <v>159</v>
      </c>
      <c r="O98" s="42" t="str">
        <f t="shared" ca="1" si="9"/>
        <v>NO PRAZO</v>
      </c>
      <c r="P98" s="42">
        <f>WEEKNUM(Tabela1[[#This Row],[Prazo
Entrega]],1)</f>
        <v>49</v>
      </c>
      <c r="R98" s="10" t="s">
        <v>43</v>
      </c>
      <c r="S98" s="43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si="10"/>
        <v>AG. FUNDIDO</v>
      </c>
      <c r="AE98" s="45"/>
      <c r="AF98" s="46"/>
      <c r="AG98" s="46"/>
      <c r="AH98" s="46"/>
      <c r="AI98" s="47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2">
        <f>WEEKNUM(Tabela1[[#This Row],[Prazo
Fundido]])</f>
        <v>40</v>
      </c>
      <c r="M99" s="16">
        <v>46356</v>
      </c>
      <c r="N99" s="42">
        <f ca="1">Tabela1[[#This Row],[Prazo
Entrega]]-TODAY()</f>
        <v>159</v>
      </c>
      <c r="O99" s="42" t="str">
        <f t="shared" ca="1" si="9"/>
        <v>NO PRAZO</v>
      </c>
      <c r="P99" s="42">
        <f>WEEKNUM(Tabela1[[#This Row],[Prazo
Entrega]],1)</f>
        <v>49</v>
      </c>
      <c r="R99" s="10" t="s">
        <v>43</v>
      </c>
      <c r="S99" s="43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10"/>
        <v>AG. FUNDIDO</v>
      </c>
      <c r="AE99" s="45"/>
      <c r="AF99" s="46"/>
      <c r="AG99" s="46"/>
      <c r="AH99" s="46"/>
      <c r="AI99" s="47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180</v>
      </c>
      <c r="F100" s="15" t="s">
        <v>77</v>
      </c>
      <c r="G100" s="15" t="s">
        <v>77</v>
      </c>
      <c r="H100" s="15" t="s">
        <v>187</v>
      </c>
      <c r="I100" s="15">
        <v>1</v>
      </c>
      <c r="J100" s="16">
        <v>46295</v>
      </c>
      <c r="K100" s="42">
        <f>WEEKNUM(Tabela1[[#This Row],[Prazo
Fundido]])</f>
        <v>40</v>
      </c>
      <c r="M100" s="16">
        <v>46356</v>
      </c>
      <c r="N100" s="42">
        <f ca="1">Tabela1[[#This Row],[Prazo
Entrega]]-TODAY()</f>
        <v>159</v>
      </c>
      <c r="O100" s="42" t="str">
        <f ca="1">IF(N100&lt;0,"ATRASADO",IF(N100&lt;=15,"ATENÇÃO","NO PRAZO"))</f>
        <v>NO PRAZO</v>
      </c>
      <c r="P100" s="42">
        <f>WEEKNUM(Tabela1[[#This Row],[Prazo
Entrega]],1)</f>
        <v>49</v>
      </c>
      <c r="R100" s="10" t="s">
        <v>43</v>
      </c>
      <c r="S100" s="43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10"/>
        <v>AG. FUNDIDO</v>
      </c>
      <c r="AE100" s="45"/>
      <c r="AF100" s="46"/>
      <c r="AG100" s="46"/>
      <c r="AH100" s="46"/>
      <c r="AI100" s="47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180</v>
      </c>
      <c r="F101" s="15" t="s">
        <v>77</v>
      </c>
      <c r="G101" s="15" t="s">
        <v>77</v>
      </c>
      <c r="H101" s="15" t="s">
        <v>188</v>
      </c>
      <c r="I101" s="15">
        <v>1</v>
      </c>
      <c r="J101" s="16">
        <v>46295</v>
      </c>
      <c r="K101" s="42">
        <f>WEEKNUM(Tabela1[[#This Row],[Prazo
Fundido]])</f>
        <v>40</v>
      </c>
      <c r="M101" s="16">
        <v>46356</v>
      </c>
      <c r="N101" s="42">
        <f ca="1">Tabela1[[#This Row],[Prazo
Entrega]]-TODAY()</f>
        <v>159</v>
      </c>
      <c r="O101" s="42" t="str">
        <f t="shared" ref="O101:O109" ca="1" si="11">IF(N101&lt;0,"ATRASADO",IF(N101&lt;=15,"ATENÇÃO","NO PRAZO"))</f>
        <v>NO PRAZO</v>
      </c>
      <c r="P101" s="42">
        <f>WEEKNUM(Tabela1[[#This Row],[Prazo
Entrega]],1)</f>
        <v>49</v>
      </c>
      <c r="R101" s="10" t="s">
        <v>43</v>
      </c>
      <c r="S101" s="43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10"/>
        <v>AG. FUNDIDO</v>
      </c>
      <c r="AE101" s="45"/>
      <c r="AF101" s="46"/>
      <c r="AG101" s="46"/>
      <c r="AH101" s="46"/>
      <c r="AI101" s="47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180</v>
      </c>
      <c r="F102" s="15" t="s">
        <v>77</v>
      </c>
      <c r="G102" s="15" t="s">
        <v>77</v>
      </c>
      <c r="H102" s="15" t="s">
        <v>188</v>
      </c>
      <c r="I102" s="15">
        <v>1</v>
      </c>
      <c r="J102" s="16">
        <v>46295</v>
      </c>
      <c r="K102" s="42">
        <f>WEEKNUM(Tabela1[[#This Row],[Prazo
Fundido]])</f>
        <v>40</v>
      </c>
      <c r="M102" s="16">
        <v>46356</v>
      </c>
      <c r="N102" s="42">
        <f ca="1">Tabela1[[#This Row],[Prazo
Entrega]]-TODAY()</f>
        <v>159</v>
      </c>
      <c r="O102" s="42" t="str">
        <f t="shared" ca="1" si="11"/>
        <v>NO PRAZO</v>
      </c>
      <c r="P102" s="42">
        <f>WEEKNUM(Tabela1[[#This Row],[Prazo
Entrega]],1)</f>
        <v>49</v>
      </c>
      <c r="R102" s="10" t="s">
        <v>43</v>
      </c>
      <c r="S102" s="43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10"/>
        <v>AG. FUNDIDO</v>
      </c>
      <c r="AE102" s="45"/>
      <c r="AF102" s="46"/>
      <c r="AG102" s="46"/>
      <c r="AH102" s="46"/>
      <c r="AI102" s="47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180</v>
      </c>
      <c r="F103" s="15" t="s">
        <v>77</v>
      </c>
      <c r="G103" s="15" t="s">
        <v>77</v>
      </c>
      <c r="H103" s="15" t="s">
        <v>188</v>
      </c>
      <c r="I103" s="15">
        <v>1</v>
      </c>
      <c r="J103" s="16">
        <v>46295</v>
      </c>
      <c r="K103" s="42">
        <f>WEEKNUM(Tabela1[[#This Row],[Prazo
Fundido]])</f>
        <v>40</v>
      </c>
      <c r="M103" s="16">
        <v>46356</v>
      </c>
      <c r="N103" s="42">
        <f ca="1">Tabela1[[#This Row],[Prazo
Entrega]]-TODAY()</f>
        <v>159</v>
      </c>
      <c r="O103" s="42" t="str">
        <f t="shared" ca="1" si="11"/>
        <v>NO PRAZO</v>
      </c>
      <c r="P103" s="42">
        <f>WEEKNUM(Tabela1[[#This Row],[Prazo
Entrega]],1)</f>
        <v>49</v>
      </c>
      <c r="R103" s="10" t="s">
        <v>43</v>
      </c>
      <c r="S103" s="43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10"/>
        <v>AG. FUNDIDO</v>
      </c>
      <c r="AE103" s="45"/>
      <c r="AF103" s="46"/>
      <c r="AG103" s="46"/>
      <c r="AH103" s="46"/>
      <c r="AI103" s="47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180</v>
      </c>
      <c r="F104" s="15" t="s">
        <v>77</v>
      </c>
      <c r="G104" s="15" t="s">
        <v>77</v>
      </c>
      <c r="H104" s="15" t="s">
        <v>188</v>
      </c>
      <c r="I104" s="15">
        <v>1</v>
      </c>
      <c r="J104" s="16">
        <v>46295</v>
      </c>
      <c r="K104" s="42">
        <f>WEEKNUM(Tabela1[[#This Row],[Prazo
Fundido]])</f>
        <v>40</v>
      </c>
      <c r="M104" s="16">
        <v>46356</v>
      </c>
      <c r="N104" s="42">
        <f ca="1">Tabela1[[#This Row],[Prazo
Entrega]]-TODAY()</f>
        <v>159</v>
      </c>
      <c r="O104" s="42" t="str">
        <f t="shared" ca="1" si="11"/>
        <v>NO PRAZO</v>
      </c>
      <c r="P104" s="42">
        <f>WEEKNUM(Tabela1[[#This Row],[Prazo
Entrega]],1)</f>
        <v>49</v>
      </c>
      <c r="R104" s="10" t="s">
        <v>43</v>
      </c>
      <c r="S104" s="43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10"/>
        <v>AG. FUNDIDO</v>
      </c>
      <c r="AE104" s="45"/>
      <c r="AF104" s="46"/>
      <c r="AG104" s="46"/>
      <c r="AH104" s="46"/>
      <c r="AI104" s="47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180</v>
      </c>
      <c r="F105" s="15" t="s">
        <v>77</v>
      </c>
      <c r="G105" s="15" t="s">
        <v>77</v>
      </c>
      <c r="H105" s="15" t="s">
        <v>187</v>
      </c>
      <c r="I105" s="15">
        <v>1</v>
      </c>
      <c r="J105" s="16">
        <v>46295</v>
      </c>
      <c r="K105" s="42">
        <f>WEEKNUM(Tabela1[[#This Row],[Prazo
Fundido]])</f>
        <v>40</v>
      </c>
      <c r="M105" s="16">
        <v>46356</v>
      </c>
      <c r="N105" s="42">
        <f ca="1">Tabela1[[#This Row],[Prazo
Entrega]]-TODAY()</f>
        <v>159</v>
      </c>
      <c r="O105" s="42" t="str">
        <f t="shared" ca="1" si="11"/>
        <v>NO PRAZO</v>
      </c>
      <c r="P105" s="42">
        <f>WEEKNUM(Tabela1[[#This Row],[Prazo
Entrega]],1)</f>
        <v>49</v>
      </c>
      <c r="R105" s="10" t="s">
        <v>43</v>
      </c>
      <c r="S105" s="43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10"/>
        <v>AG. FUNDIDO</v>
      </c>
      <c r="AE105" s="45"/>
      <c r="AF105" s="46"/>
      <c r="AG105" s="46"/>
      <c r="AH105" s="46"/>
      <c r="AI105" s="47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180</v>
      </c>
      <c r="F106" s="15" t="s">
        <v>77</v>
      </c>
      <c r="G106" s="15" t="s">
        <v>77</v>
      </c>
      <c r="H106" s="15" t="s">
        <v>188</v>
      </c>
      <c r="I106" s="15">
        <v>1</v>
      </c>
      <c r="J106" s="16">
        <v>46295</v>
      </c>
      <c r="K106" s="42">
        <f>WEEKNUM(Tabela1[[#This Row],[Prazo
Fundido]])</f>
        <v>40</v>
      </c>
      <c r="M106" s="16">
        <v>46356</v>
      </c>
      <c r="N106" s="42">
        <f ca="1">Tabela1[[#This Row],[Prazo
Entrega]]-TODAY()</f>
        <v>159</v>
      </c>
      <c r="O106" s="42" t="str">
        <f t="shared" ca="1" si="11"/>
        <v>NO PRAZO</v>
      </c>
      <c r="P106" s="42">
        <f>WEEKNUM(Tabela1[[#This Row],[Prazo
Entrega]],1)</f>
        <v>49</v>
      </c>
      <c r="R106" s="10" t="s">
        <v>43</v>
      </c>
      <c r="S106" s="43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10"/>
        <v>AG. FUNDIDO</v>
      </c>
      <c r="AE106" s="45"/>
      <c r="AF106" s="46"/>
      <c r="AG106" s="46"/>
      <c r="AH106" s="46"/>
      <c r="AI106" s="47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180</v>
      </c>
      <c r="F107" s="15" t="s">
        <v>77</v>
      </c>
      <c r="G107" s="15" t="s">
        <v>77</v>
      </c>
      <c r="H107" s="15" t="s">
        <v>188</v>
      </c>
      <c r="I107" s="15">
        <v>1</v>
      </c>
      <c r="J107" s="16">
        <v>46295</v>
      </c>
      <c r="K107" s="42">
        <f>WEEKNUM(Tabela1[[#This Row],[Prazo
Fundido]])</f>
        <v>40</v>
      </c>
      <c r="M107" s="16">
        <v>46356</v>
      </c>
      <c r="N107" s="42">
        <f ca="1">Tabela1[[#This Row],[Prazo
Entrega]]-TODAY()</f>
        <v>159</v>
      </c>
      <c r="O107" s="42" t="str">
        <f t="shared" ca="1" si="11"/>
        <v>NO PRAZO</v>
      </c>
      <c r="P107" s="42">
        <f>WEEKNUM(Tabela1[[#This Row],[Prazo
Entrega]],1)</f>
        <v>49</v>
      </c>
      <c r="R107" s="10" t="s">
        <v>43</v>
      </c>
      <c r="S107" s="43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10"/>
        <v>AG. FUNDIDO</v>
      </c>
      <c r="AE107" s="45"/>
      <c r="AF107" s="46"/>
      <c r="AG107" s="46"/>
      <c r="AH107" s="46"/>
      <c r="AI107" s="47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180</v>
      </c>
      <c r="F108" s="15" t="s">
        <v>77</v>
      </c>
      <c r="G108" s="15" t="s">
        <v>77</v>
      </c>
      <c r="H108" s="15" t="s">
        <v>188</v>
      </c>
      <c r="I108" s="15">
        <v>1</v>
      </c>
      <c r="J108" s="16">
        <v>46295</v>
      </c>
      <c r="K108" s="42">
        <f>WEEKNUM(Tabela1[[#This Row],[Prazo
Fundido]])</f>
        <v>40</v>
      </c>
      <c r="M108" s="16">
        <v>46356</v>
      </c>
      <c r="N108" s="42">
        <f ca="1">Tabela1[[#This Row],[Prazo
Entrega]]-TODAY()</f>
        <v>159</v>
      </c>
      <c r="O108" s="42" t="str">
        <f t="shared" ca="1" si="11"/>
        <v>NO PRAZO</v>
      </c>
      <c r="P108" s="42">
        <f>WEEKNUM(Tabela1[[#This Row],[Prazo
Entrega]],1)</f>
        <v>49</v>
      </c>
      <c r="R108" s="10" t="s">
        <v>43</v>
      </c>
      <c r="S108" s="43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10"/>
        <v>AG. FUNDIDO</v>
      </c>
      <c r="AE108" s="45"/>
      <c r="AF108" s="46"/>
      <c r="AG108" s="46"/>
      <c r="AH108" s="46"/>
      <c r="AI108" s="47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180</v>
      </c>
      <c r="F109" s="15" t="s">
        <v>77</v>
      </c>
      <c r="G109" s="15" t="s">
        <v>77</v>
      </c>
      <c r="H109" s="15" t="s">
        <v>188</v>
      </c>
      <c r="I109" s="15">
        <v>1</v>
      </c>
      <c r="J109" s="16">
        <v>46295</v>
      </c>
      <c r="K109" s="42">
        <f>WEEKNUM(Tabela1[[#This Row],[Prazo
Fundido]])</f>
        <v>40</v>
      </c>
      <c r="M109" s="16">
        <v>46356</v>
      </c>
      <c r="N109" s="42">
        <f ca="1">Tabela1[[#This Row],[Prazo
Entrega]]-TODAY()</f>
        <v>159</v>
      </c>
      <c r="O109" s="42" t="str">
        <f t="shared" ca="1" si="11"/>
        <v>NO PRAZO</v>
      </c>
      <c r="P109" s="42">
        <f>WEEKNUM(Tabela1[[#This Row],[Prazo
Entrega]],1)</f>
        <v>49</v>
      </c>
      <c r="R109" s="10" t="s">
        <v>43</v>
      </c>
      <c r="S109" s="43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10"/>
        <v>AG. FUNDIDO</v>
      </c>
      <c r="AE109" s="45"/>
      <c r="AF109" s="46"/>
      <c r="AG109" s="46"/>
      <c r="AH109" s="46"/>
      <c r="AI109" s="47"/>
    </row>
    <row r="110" spans="1:35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202</v>
      </c>
      <c r="F110" s="15" t="s">
        <v>77</v>
      </c>
      <c r="G110" s="15" t="s">
        <v>77</v>
      </c>
      <c r="H110" s="15" t="s">
        <v>203</v>
      </c>
      <c r="I110" s="15">
        <v>1</v>
      </c>
      <c r="J110" s="16">
        <v>46295</v>
      </c>
      <c r="K110" s="42">
        <f>WEEKNUM(Tabela1[[#This Row],[Prazo
Fundido]])</f>
        <v>40</v>
      </c>
      <c r="L110" s="52"/>
      <c r="M110" s="16">
        <v>46356</v>
      </c>
      <c r="N110" s="42">
        <f ca="1">Tabela1[[#This Row],[Prazo
Entrega]]-TODAY()</f>
        <v>159</v>
      </c>
      <c r="O110" s="42" t="str">
        <f ca="1">IF(N110&lt;0,"ATRASADO",IF(N110&lt;=15,"ATENÇÃO","NO PRAZO"))</f>
        <v>NO PRAZO</v>
      </c>
      <c r="P110" s="42">
        <f>WEEKNUM(Tabela1[[#This Row],[Prazo
Entrega]],1)</f>
        <v>49</v>
      </c>
      <c r="Q110" s="52"/>
      <c r="R110" s="10" t="s">
        <v>43</v>
      </c>
      <c r="S110" s="43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55" t="str">
        <f>IF(L110="","AG. FUNDIDO",IF(U110="AG","AG. USINAGEM","EM USINAGEM"))</f>
        <v>AG. FUNDIDO</v>
      </c>
      <c r="AD110" s="52"/>
      <c r="AE110" s="56"/>
      <c r="AF110" s="57"/>
      <c r="AG110" s="57"/>
      <c r="AH110" s="57"/>
      <c r="AI110" s="58"/>
    </row>
    <row r="111" spans="1:35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202</v>
      </c>
      <c r="F111" s="15" t="s">
        <v>77</v>
      </c>
      <c r="G111" s="15" t="s">
        <v>77</v>
      </c>
      <c r="H111" s="15" t="s">
        <v>203</v>
      </c>
      <c r="I111" s="15">
        <v>1</v>
      </c>
      <c r="J111" s="16">
        <v>46295</v>
      </c>
      <c r="K111" s="42">
        <f>WEEKNUM(Tabela1[[#This Row],[Prazo
Fundido]])</f>
        <v>40</v>
      </c>
      <c r="L111" s="52"/>
      <c r="M111" s="16">
        <v>46356</v>
      </c>
      <c r="N111" s="42">
        <f ca="1">Tabela1[[#This Row],[Prazo
Entrega]]-TODAY()</f>
        <v>159</v>
      </c>
      <c r="O111" s="42" t="str">
        <f t="shared" ref="O111:O114" ca="1" si="12">IF(N111&lt;0,"ATRASADO",IF(N111&lt;=15,"ATENÇÃO","NO PRAZO"))</f>
        <v>NO PRAZO</v>
      </c>
      <c r="P111" s="42">
        <f>WEEKNUM(Tabela1[[#This Row],[Prazo
Entrega]],1)</f>
        <v>49</v>
      </c>
      <c r="Q111" s="52"/>
      <c r="R111" s="10" t="s">
        <v>43</v>
      </c>
      <c r="S111" s="43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55" t="str">
        <f t="shared" ref="AC111:AC114" si="13">IF(L111="","AG. FUNDIDO",IF(U111="AG","AG. USINAGEM","EM USINAGEM"))</f>
        <v>AG. FUNDIDO</v>
      </c>
      <c r="AD111" s="52"/>
      <c r="AE111" s="56"/>
      <c r="AF111" s="57"/>
      <c r="AG111" s="57"/>
      <c r="AH111" s="57"/>
      <c r="AI111" s="58"/>
    </row>
    <row r="112" spans="1:35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202</v>
      </c>
      <c r="F112" s="15" t="s">
        <v>77</v>
      </c>
      <c r="G112" s="15" t="s">
        <v>77</v>
      </c>
      <c r="H112" s="15" t="s">
        <v>203</v>
      </c>
      <c r="I112" s="15">
        <v>1</v>
      </c>
      <c r="J112" s="16">
        <v>46295</v>
      </c>
      <c r="K112" s="42">
        <f>WEEKNUM(Tabela1[[#This Row],[Prazo
Fundido]])</f>
        <v>40</v>
      </c>
      <c r="L112" s="52"/>
      <c r="M112" s="16">
        <v>46356</v>
      </c>
      <c r="N112" s="42">
        <f ca="1">Tabela1[[#This Row],[Prazo
Entrega]]-TODAY()</f>
        <v>159</v>
      </c>
      <c r="O112" s="42" t="str">
        <f t="shared" ca="1" si="12"/>
        <v>NO PRAZO</v>
      </c>
      <c r="P112" s="42">
        <f>WEEKNUM(Tabela1[[#This Row],[Prazo
Entrega]],1)</f>
        <v>49</v>
      </c>
      <c r="Q112" s="52"/>
      <c r="R112" s="10" t="s">
        <v>43</v>
      </c>
      <c r="S112" s="43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55" t="str">
        <f t="shared" si="13"/>
        <v>AG. FUNDIDO</v>
      </c>
      <c r="AD112" s="52"/>
      <c r="AE112" s="56"/>
      <c r="AF112" s="57"/>
      <c r="AG112" s="57"/>
      <c r="AH112" s="57"/>
      <c r="AI112" s="58"/>
    </row>
    <row r="113" spans="1:35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202</v>
      </c>
      <c r="F113" s="15" t="s">
        <v>77</v>
      </c>
      <c r="G113" s="15" t="s">
        <v>77</v>
      </c>
      <c r="H113" s="15" t="s">
        <v>203</v>
      </c>
      <c r="I113" s="15">
        <v>1</v>
      </c>
      <c r="J113" s="16">
        <v>46295</v>
      </c>
      <c r="K113" s="42">
        <f>WEEKNUM(Tabela1[[#This Row],[Prazo
Fundido]])</f>
        <v>40</v>
      </c>
      <c r="L113" s="52"/>
      <c r="M113" s="16">
        <v>46356</v>
      </c>
      <c r="N113" s="42">
        <f ca="1">Tabela1[[#This Row],[Prazo
Entrega]]-TODAY()</f>
        <v>159</v>
      </c>
      <c r="O113" s="42" t="str">
        <f t="shared" ca="1" si="12"/>
        <v>NO PRAZO</v>
      </c>
      <c r="P113" s="42">
        <f>WEEKNUM(Tabela1[[#This Row],[Prazo
Entrega]],1)</f>
        <v>49</v>
      </c>
      <c r="Q113" s="52"/>
      <c r="R113" s="10" t="s">
        <v>43</v>
      </c>
      <c r="S113" s="43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55" t="str">
        <f t="shared" si="13"/>
        <v>AG. FUNDIDO</v>
      </c>
      <c r="AD113" s="52"/>
      <c r="AE113" s="56"/>
      <c r="AF113" s="57"/>
      <c r="AG113" s="57"/>
      <c r="AH113" s="57"/>
      <c r="AI113" s="58"/>
    </row>
    <row r="114" spans="1:35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202</v>
      </c>
      <c r="F114" s="15" t="s">
        <v>77</v>
      </c>
      <c r="G114" s="15" t="s">
        <v>77</v>
      </c>
      <c r="H114" s="15" t="s">
        <v>203</v>
      </c>
      <c r="I114" s="15">
        <v>1</v>
      </c>
      <c r="J114" s="16">
        <v>46295</v>
      </c>
      <c r="K114" s="42">
        <f>WEEKNUM(Tabela1[[#This Row],[Prazo
Fundido]])</f>
        <v>40</v>
      </c>
      <c r="L114" s="52"/>
      <c r="M114" s="16">
        <v>46356</v>
      </c>
      <c r="N114" s="42">
        <f ca="1">Tabela1[[#This Row],[Prazo
Entrega]]-TODAY()</f>
        <v>159</v>
      </c>
      <c r="O114" s="42" t="str">
        <f t="shared" ca="1" si="12"/>
        <v>NO PRAZO</v>
      </c>
      <c r="P114" s="42">
        <f>WEEKNUM(Tabela1[[#This Row],[Prazo
Entrega]],1)</f>
        <v>49</v>
      </c>
      <c r="Q114" s="52"/>
      <c r="R114" s="10" t="s">
        <v>43</v>
      </c>
      <c r="S114" s="43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55" t="str">
        <f t="shared" si="13"/>
        <v>AG. FUNDIDO</v>
      </c>
      <c r="AD114" s="52"/>
      <c r="AE114" s="56"/>
      <c r="AF114" s="57"/>
      <c r="AG114" s="57"/>
      <c r="AH114" s="57"/>
      <c r="AI114" s="58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31"/>
  <sheetViews>
    <sheetView topLeftCell="A109" workbookViewId="0">
      <selection activeCell="E127" sqref="E12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14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71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14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71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14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71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14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71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14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71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14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71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14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71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14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71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14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71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14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217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14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217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14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217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14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14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14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14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14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14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14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14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14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14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14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14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14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14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14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14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14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14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14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170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36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170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36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170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36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170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36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170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36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69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69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69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69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69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69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69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69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69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69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69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69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79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79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79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79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79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79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79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79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79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79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79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79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79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79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79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89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89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89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89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89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89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89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89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89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89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89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89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89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89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89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69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69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69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99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99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99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99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99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99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99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99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99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202</v>
      </c>
      <c r="F92" s="10" t="s">
        <v>77</v>
      </c>
      <c r="G92" s="10" t="s">
        <v>77</v>
      </c>
      <c r="H92" s="10" t="s">
        <v>218</v>
      </c>
      <c r="I92" s="10">
        <v>1</v>
      </c>
      <c r="J92" s="11">
        <v>46266</v>
      </c>
      <c r="K92" s="6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128</v>
      </c>
      <c r="R92" s="60" t="str">
        <f ca="1">IF(Q92&lt;0,"ATRASADO",IF(Q92&lt;=15,"ATENÇÃO","NO PRAZO"))</f>
        <v>NO PRAZO</v>
      </c>
      <c r="S92" s="60">
        <f>WEEKNUM(Tabela3[[#This Row],[Prazo
Entrega]])</f>
        <v>44</v>
      </c>
      <c r="T92" s="10" t="s">
        <v>43</v>
      </c>
      <c r="U92" s="10" t="s">
        <v>61</v>
      </c>
      <c r="V92" s="6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202</v>
      </c>
      <c r="F93" s="10" t="s">
        <v>77</v>
      </c>
      <c r="G93" s="10" t="s">
        <v>77</v>
      </c>
      <c r="H93" s="10" t="s">
        <v>218</v>
      </c>
      <c r="I93" s="10">
        <v>1</v>
      </c>
      <c r="J93" s="11">
        <v>46266</v>
      </c>
      <c r="K93" s="6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128</v>
      </c>
      <c r="R93" s="60" t="str">
        <f ca="1">IF(Q93&lt;0,"ATRASADO",IF(Q93&lt;=15,"ATENÇÃO","NO PRAZO"))</f>
        <v>NO PRAZO</v>
      </c>
      <c r="S93" s="60">
        <f>WEEKNUM(Tabela3[[#This Row],[Prazo
Entrega]])</f>
        <v>44</v>
      </c>
      <c r="T93" s="10" t="s">
        <v>43</v>
      </c>
      <c r="U93" s="10" t="s">
        <v>61</v>
      </c>
      <c r="V93" s="6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202</v>
      </c>
      <c r="F94" s="10" t="s">
        <v>77</v>
      </c>
      <c r="G94" s="10" t="s">
        <v>77</v>
      </c>
      <c r="H94" s="10" t="s">
        <v>218</v>
      </c>
      <c r="I94" s="10">
        <v>1</v>
      </c>
      <c r="J94" s="11">
        <v>46266</v>
      </c>
      <c r="K94" s="6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128</v>
      </c>
      <c r="R94" s="60" t="str">
        <f t="shared" ref="R94:R131" ca="1" si="3">IF(Q94&lt;0,"ATRASADO",IF(Q94&lt;=15,"ATENÇÃO","NO PRAZO"))</f>
        <v>NO PRAZO</v>
      </c>
      <c r="S94" s="60">
        <f>WEEKNUM(Tabela3[[#This Row],[Prazo
Entrega]])</f>
        <v>44</v>
      </c>
      <c r="T94" s="10" t="s">
        <v>43</v>
      </c>
      <c r="U94" s="10" t="s">
        <v>61</v>
      </c>
      <c r="V94" s="6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202</v>
      </c>
      <c r="F95" s="10" t="s">
        <v>77</v>
      </c>
      <c r="G95" s="10" t="s">
        <v>77</v>
      </c>
      <c r="H95" s="10" t="s">
        <v>218</v>
      </c>
      <c r="I95" s="10">
        <v>1</v>
      </c>
      <c r="J95" s="11">
        <v>46266</v>
      </c>
      <c r="K95" s="6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128</v>
      </c>
      <c r="R95" s="60" t="str">
        <f t="shared" ca="1" si="3"/>
        <v>NO PRAZO</v>
      </c>
      <c r="S95" s="60">
        <f>WEEKNUM(Tabela3[[#This Row],[Prazo
Entrega]])</f>
        <v>44</v>
      </c>
      <c r="T95" s="10" t="s">
        <v>43</v>
      </c>
      <c r="U95" s="10" t="s">
        <v>61</v>
      </c>
      <c r="V95" s="6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202</v>
      </c>
      <c r="F96" s="10" t="s">
        <v>77</v>
      </c>
      <c r="G96" s="10" t="s">
        <v>77</v>
      </c>
      <c r="H96" s="10" t="s">
        <v>218</v>
      </c>
      <c r="I96" s="10">
        <v>1</v>
      </c>
      <c r="J96" s="11">
        <v>46266</v>
      </c>
      <c r="K96" s="6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128</v>
      </c>
      <c r="R96" s="60" t="str">
        <f t="shared" ca="1" si="3"/>
        <v>NO PRAZO</v>
      </c>
      <c r="S96" s="60">
        <f>WEEKNUM(Tabela3[[#This Row],[Prazo
Entrega]])</f>
        <v>44</v>
      </c>
      <c r="T96" s="10" t="s">
        <v>43</v>
      </c>
      <c r="U96" s="10" t="s">
        <v>61</v>
      </c>
      <c r="V96" s="6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202</v>
      </c>
      <c r="F97" s="10" t="s">
        <v>77</v>
      </c>
      <c r="G97" s="10" t="s">
        <v>77</v>
      </c>
      <c r="H97" s="10" t="s">
        <v>218</v>
      </c>
      <c r="I97" s="10">
        <v>1</v>
      </c>
      <c r="J97" s="11">
        <v>46266</v>
      </c>
      <c r="K97" s="6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128</v>
      </c>
      <c r="R97" s="60" t="str">
        <f t="shared" ca="1" si="3"/>
        <v>NO PRAZO</v>
      </c>
      <c r="S97" s="60">
        <f>WEEKNUM(Tabela3[[#This Row],[Prazo
Entrega]])</f>
        <v>44</v>
      </c>
      <c r="T97" s="10" t="s">
        <v>43</v>
      </c>
      <c r="U97" s="10" t="s">
        <v>61</v>
      </c>
      <c r="V97" s="6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202</v>
      </c>
      <c r="F98" s="10" t="s">
        <v>77</v>
      </c>
      <c r="G98" s="10" t="s">
        <v>77</v>
      </c>
      <c r="H98" s="10" t="s">
        <v>218</v>
      </c>
      <c r="I98" s="10">
        <v>1</v>
      </c>
      <c r="J98" s="11">
        <v>46266</v>
      </c>
      <c r="K98" s="6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128</v>
      </c>
      <c r="R98" s="60" t="str">
        <f t="shared" ca="1" si="3"/>
        <v>NO PRAZO</v>
      </c>
      <c r="S98" s="60">
        <f>WEEKNUM(Tabela3[[#This Row],[Prazo
Entrega]])</f>
        <v>44</v>
      </c>
      <c r="T98" s="10" t="s">
        <v>43</v>
      </c>
      <c r="U98" s="10" t="s">
        <v>61</v>
      </c>
      <c r="V98" s="6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202</v>
      </c>
      <c r="F99" s="10" t="s">
        <v>77</v>
      </c>
      <c r="G99" s="10" t="s">
        <v>77</v>
      </c>
      <c r="H99" s="10" t="s">
        <v>218</v>
      </c>
      <c r="I99" s="10">
        <v>1</v>
      </c>
      <c r="J99" s="11">
        <v>46266</v>
      </c>
      <c r="K99" s="6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128</v>
      </c>
      <c r="R99" s="60" t="str">
        <f t="shared" ca="1" si="3"/>
        <v>NO PRAZO</v>
      </c>
      <c r="S99" s="60">
        <f>WEEKNUM(Tabela3[[#This Row],[Prazo
Entrega]])</f>
        <v>44</v>
      </c>
      <c r="T99" s="10" t="s">
        <v>43</v>
      </c>
      <c r="U99" s="10" t="s">
        <v>61</v>
      </c>
      <c r="V99" s="6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202</v>
      </c>
      <c r="F100" s="10" t="s">
        <v>77</v>
      </c>
      <c r="G100" s="10" t="s">
        <v>77</v>
      </c>
      <c r="H100" s="10" t="s">
        <v>218</v>
      </c>
      <c r="I100" s="10">
        <v>1</v>
      </c>
      <c r="J100" s="11">
        <v>46266</v>
      </c>
      <c r="K100" s="6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128</v>
      </c>
      <c r="R100" s="60" t="str">
        <f t="shared" ca="1" si="3"/>
        <v>NO PRAZO</v>
      </c>
      <c r="S100" s="60">
        <f>WEEKNUM(Tabela3[[#This Row],[Prazo
Entrega]])</f>
        <v>44</v>
      </c>
      <c r="T100" s="10" t="s">
        <v>43</v>
      </c>
      <c r="U100" s="10" t="s">
        <v>61</v>
      </c>
      <c r="V100" s="6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202</v>
      </c>
      <c r="F101" s="10" t="s">
        <v>77</v>
      </c>
      <c r="G101" s="10" t="s">
        <v>77</v>
      </c>
      <c r="H101" s="10" t="s">
        <v>218</v>
      </c>
      <c r="I101" s="10">
        <v>1</v>
      </c>
      <c r="J101" s="11">
        <v>46266</v>
      </c>
      <c r="K101" s="6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128</v>
      </c>
      <c r="R101" s="60" t="str">
        <f t="shared" ca="1" si="3"/>
        <v>NO PRAZO</v>
      </c>
      <c r="S101" s="60">
        <f>WEEKNUM(Tabela3[[#This Row],[Prazo
Entrega]])</f>
        <v>44</v>
      </c>
      <c r="T101" s="10" t="s">
        <v>43</v>
      </c>
      <c r="U101" s="10" t="s">
        <v>61</v>
      </c>
      <c r="V101" s="6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202</v>
      </c>
      <c r="F102" s="10" t="s">
        <v>77</v>
      </c>
      <c r="G102" s="10" t="s">
        <v>77</v>
      </c>
      <c r="H102" s="10" t="s">
        <v>218</v>
      </c>
      <c r="I102" s="10">
        <v>1</v>
      </c>
      <c r="J102" s="11">
        <v>46266</v>
      </c>
      <c r="K102" s="6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128</v>
      </c>
      <c r="R102" s="60" t="str">
        <f t="shared" ca="1" si="3"/>
        <v>NO PRAZO</v>
      </c>
      <c r="S102" s="60">
        <f>WEEKNUM(Tabela3[[#This Row],[Prazo
Entrega]])</f>
        <v>44</v>
      </c>
      <c r="T102" s="10" t="s">
        <v>43</v>
      </c>
      <c r="U102" s="10" t="s">
        <v>61</v>
      </c>
      <c r="V102" s="6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202</v>
      </c>
      <c r="F103" s="10" t="s">
        <v>77</v>
      </c>
      <c r="G103" s="10" t="s">
        <v>77</v>
      </c>
      <c r="H103" s="10" t="s">
        <v>218</v>
      </c>
      <c r="I103" s="10">
        <v>1</v>
      </c>
      <c r="J103" s="11">
        <v>46266</v>
      </c>
      <c r="K103" s="6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128</v>
      </c>
      <c r="R103" s="60" t="str">
        <f t="shared" ca="1" si="3"/>
        <v>NO PRAZO</v>
      </c>
      <c r="S103" s="60">
        <f>WEEKNUM(Tabela3[[#This Row],[Prazo
Entrega]])</f>
        <v>44</v>
      </c>
      <c r="T103" s="10" t="s">
        <v>43</v>
      </c>
      <c r="U103" s="10" t="s">
        <v>61</v>
      </c>
      <c r="V103" s="6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202</v>
      </c>
      <c r="F104" s="10" t="s">
        <v>77</v>
      </c>
      <c r="G104" s="10" t="s">
        <v>77</v>
      </c>
      <c r="H104" s="10" t="s">
        <v>218</v>
      </c>
      <c r="I104" s="10">
        <v>1</v>
      </c>
      <c r="J104" s="11">
        <v>46266</v>
      </c>
      <c r="K104" s="6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128</v>
      </c>
      <c r="R104" s="60" t="str">
        <f t="shared" ca="1" si="3"/>
        <v>NO PRAZO</v>
      </c>
      <c r="S104" s="60">
        <f>WEEKNUM(Tabela3[[#This Row],[Prazo
Entrega]])</f>
        <v>44</v>
      </c>
      <c r="T104" s="10" t="s">
        <v>43</v>
      </c>
      <c r="U104" s="10" t="s">
        <v>61</v>
      </c>
      <c r="V104" s="6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202</v>
      </c>
      <c r="F105" s="10" t="s">
        <v>77</v>
      </c>
      <c r="G105" s="10" t="s">
        <v>77</v>
      </c>
      <c r="H105" s="10" t="s">
        <v>219</v>
      </c>
      <c r="I105" s="10">
        <v>1</v>
      </c>
      <c r="J105" s="11">
        <v>46266</v>
      </c>
      <c r="K105" s="6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128</v>
      </c>
      <c r="R105" s="60" t="str">
        <f t="shared" ca="1" si="3"/>
        <v>NO PRAZO</v>
      </c>
      <c r="S105" s="60">
        <f>WEEKNUM(Tabela3[[#This Row],[Prazo
Entrega]])</f>
        <v>44</v>
      </c>
      <c r="T105" s="10" t="s">
        <v>43</v>
      </c>
      <c r="U105" s="10" t="s">
        <v>61</v>
      </c>
      <c r="V105" s="6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202</v>
      </c>
      <c r="F106" s="10" t="s">
        <v>77</v>
      </c>
      <c r="G106" s="10" t="s">
        <v>77</v>
      </c>
      <c r="H106" s="10" t="s">
        <v>219</v>
      </c>
      <c r="I106" s="10">
        <v>1</v>
      </c>
      <c r="J106" s="11">
        <v>46266</v>
      </c>
      <c r="K106" s="6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128</v>
      </c>
      <c r="R106" s="60" t="str">
        <f t="shared" ca="1" si="3"/>
        <v>NO PRAZO</v>
      </c>
      <c r="S106" s="60">
        <f>WEEKNUM(Tabela3[[#This Row],[Prazo
Entrega]])</f>
        <v>44</v>
      </c>
      <c r="T106" s="10" t="s">
        <v>43</v>
      </c>
      <c r="U106" s="10" t="s">
        <v>61</v>
      </c>
      <c r="V106" s="6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202</v>
      </c>
      <c r="F107" s="10" t="s">
        <v>77</v>
      </c>
      <c r="G107" s="10" t="s">
        <v>77</v>
      </c>
      <c r="H107" s="10" t="s">
        <v>219</v>
      </c>
      <c r="I107" s="10">
        <v>1</v>
      </c>
      <c r="J107" s="11">
        <v>46266</v>
      </c>
      <c r="K107" s="6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128</v>
      </c>
      <c r="R107" s="60" t="str">
        <f t="shared" ca="1" si="3"/>
        <v>NO PRAZO</v>
      </c>
      <c r="S107" s="60">
        <f>WEEKNUM(Tabela3[[#This Row],[Prazo
Entrega]])</f>
        <v>44</v>
      </c>
      <c r="T107" s="10" t="s">
        <v>43</v>
      </c>
      <c r="U107" s="10" t="s">
        <v>61</v>
      </c>
      <c r="V107" s="6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202</v>
      </c>
      <c r="F108" s="10" t="s">
        <v>77</v>
      </c>
      <c r="G108" s="10" t="s">
        <v>77</v>
      </c>
      <c r="H108" s="10" t="s">
        <v>219</v>
      </c>
      <c r="I108" s="10">
        <v>1</v>
      </c>
      <c r="J108" s="11">
        <v>46266</v>
      </c>
      <c r="K108" s="6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128</v>
      </c>
      <c r="R108" s="60" t="str">
        <f t="shared" ca="1" si="3"/>
        <v>NO PRAZO</v>
      </c>
      <c r="S108" s="60">
        <f>WEEKNUM(Tabela3[[#This Row],[Prazo
Entrega]])</f>
        <v>44</v>
      </c>
      <c r="T108" s="10" t="s">
        <v>43</v>
      </c>
      <c r="U108" s="10" t="s">
        <v>61</v>
      </c>
      <c r="V108" s="6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202</v>
      </c>
      <c r="F109" s="10" t="s">
        <v>77</v>
      </c>
      <c r="G109" s="10" t="s">
        <v>77</v>
      </c>
      <c r="H109" s="10" t="s">
        <v>219</v>
      </c>
      <c r="I109" s="10">
        <v>1</v>
      </c>
      <c r="J109" s="11">
        <v>46266</v>
      </c>
      <c r="K109" s="6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128</v>
      </c>
      <c r="R109" s="60" t="str">
        <f t="shared" ca="1" si="3"/>
        <v>NO PRAZO</v>
      </c>
      <c r="S109" s="60">
        <f>WEEKNUM(Tabela3[[#This Row],[Prazo
Entrega]])</f>
        <v>44</v>
      </c>
      <c r="T109" s="10" t="s">
        <v>43</v>
      </c>
      <c r="U109" s="10" t="s">
        <v>61</v>
      </c>
      <c r="V109" s="6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202</v>
      </c>
      <c r="F110" s="10" t="s">
        <v>77</v>
      </c>
      <c r="G110" s="10" t="s">
        <v>77</v>
      </c>
      <c r="H110" s="10" t="s">
        <v>219</v>
      </c>
      <c r="I110" s="10">
        <v>1</v>
      </c>
      <c r="J110" s="11">
        <v>46266</v>
      </c>
      <c r="K110" s="6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128</v>
      </c>
      <c r="R110" s="60" t="str">
        <f t="shared" ca="1" si="3"/>
        <v>NO PRAZO</v>
      </c>
      <c r="S110" s="60">
        <f>WEEKNUM(Tabela3[[#This Row],[Prazo
Entrega]])</f>
        <v>44</v>
      </c>
      <c r="T110" s="10" t="s">
        <v>43</v>
      </c>
      <c r="U110" s="10" t="s">
        <v>61</v>
      </c>
      <c r="V110" s="6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202</v>
      </c>
      <c r="F111" s="10" t="s">
        <v>77</v>
      </c>
      <c r="G111" s="10" t="s">
        <v>77</v>
      </c>
      <c r="H111" s="10" t="s">
        <v>219</v>
      </c>
      <c r="I111" s="10">
        <v>1</v>
      </c>
      <c r="J111" s="11">
        <v>46266</v>
      </c>
      <c r="K111" s="6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128</v>
      </c>
      <c r="R111" s="60" t="str">
        <f t="shared" ca="1" si="3"/>
        <v>NO PRAZO</v>
      </c>
      <c r="S111" s="60">
        <f>WEEKNUM(Tabela3[[#This Row],[Prazo
Entrega]])</f>
        <v>44</v>
      </c>
      <c r="T111" s="10" t="s">
        <v>43</v>
      </c>
      <c r="U111" s="10" t="s">
        <v>61</v>
      </c>
      <c r="V111" s="6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202</v>
      </c>
      <c r="F112" s="10" t="s">
        <v>77</v>
      </c>
      <c r="G112" s="10" t="s">
        <v>77</v>
      </c>
      <c r="H112" s="10" t="s">
        <v>219</v>
      </c>
      <c r="I112" s="10">
        <v>1</v>
      </c>
      <c r="J112" s="11">
        <v>46266</v>
      </c>
      <c r="K112" s="6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128</v>
      </c>
      <c r="R112" s="60" t="str">
        <f t="shared" ca="1" si="3"/>
        <v>NO PRAZO</v>
      </c>
      <c r="S112" s="60">
        <f>WEEKNUM(Tabela3[[#This Row],[Prazo
Entrega]])</f>
        <v>44</v>
      </c>
      <c r="T112" s="10" t="s">
        <v>43</v>
      </c>
      <c r="U112" s="10" t="s">
        <v>61</v>
      </c>
      <c r="V112" s="6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202</v>
      </c>
      <c r="F113" s="10" t="s">
        <v>77</v>
      </c>
      <c r="G113" s="10" t="s">
        <v>77</v>
      </c>
      <c r="H113" s="10" t="s">
        <v>219</v>
      </c>
      <c r="I113" s="10">
        <v>1</v>
      </c>
      <c r="J113" s="11">
        <v>46266</v>
      </c>
      <c r="K113" s="6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128</v>
      </c>
      <c r="R113" s="60" t="str">
        <f t="shared" ca="1" si="3"/>
        <v>NO PRAZO</v>
      </c>
      <c r="S113" s="60">
        <f>WEEKNUM(Tabela3[[#This Row],[Prazo
Entrega]])</f>
        <v>44</v>
      </c>
      <c r="T113" s="10" t="s">
        <v>43</v>
      </c>
      <c r="U113" s="10" t="s">
        <v>61</v>
      </c>
      <c r="V113" s="6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202</v>
      </c>
      <c r="F114" s="10" t="s">
        <v>77</v>
      </c>
      <c r="G114" s="10" t="s">
        <v>77</v>
      </c>
      <c r="H114" s="10" t="s">
        <v>219</v>
      </c>
      <c r="I114" s="10">
        <v>1</v>
      </c>
      <c r="J114" s="11">
        <v>46266</v>
      </c>
      <c r="K114" s="6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128</v>
      </c>
      <c r="R114" s="60" t="str">
        <f t="shared" ca="1" si="3"/>
        <v>NO PRAZO</v>
      </c>
      <c r="S114" s="60">
        <f>WEEKNUM(Tabela3[[#This Row],[Prazo
Entrega]])</f>
        <v>44</v>
      </c>
      <c r="T114" s="10" t="s">
        <v>43</v>
      </c>
      <c r="U114" s="10" t="s">
        <v>61</v>
      </c>
      <c r="V114" s="6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202</v>
      </c>
      <c r="F115" s="10" t="s">
        <v>77</v>
      </c>
      <c r="G115" s="10" t="s">
        <v>77</v>
      </c>
      <c r="H115" s="10" t="s">
        <v>219</v>
      </c>
      <c r="I115" s="10">
        <v>1</v>
      </c>
      <c r="J115" s="11">
        <v>46266</v>
      </c>
      <c r="K115" s="6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128</v>
      </c>
      <c r="R115" s="60" t="str">
        <f t="shared" ca="1" si="3"/>
        <v>NO PRAZO</v>
      </c>
      <c r="S115" s="60">
        <f>WEEKNUM(Tabela3[[#This Row],[Prazo
Entrega]])</f>
        <v>44</v>
      </c>
      <c r="T115" s="10" t="s">
        <v>43</v>
      </c>
      <c r="U115" s="10" t="s">
        <v>61</v>
      </c>
      <c r="V115" s="6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202</v>
      </c>
      <c r="F116" s="10" t="s">
        <v>77</v>
      </c>
      <c r="G116" s="10" t="s">
        <v>77</v>
      </c>
      <c r="H116" s="10" t="s">
        <v>220</v>
      </c>
      <c r="I116" s="10">
        <v>1</v>
      </c>
      <c r="J116" s="11">
        <v>46266</v>
      </c>
      <c r="K116" s="6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128</v>
      </c>
      <c r="R116" s="60" t="str">
        <f t="shared" ca="1" si="3"/>
        <v>NO PRAZO</v>
      </c>
      <c r="S116" s="60">
        <f>WEEKNUM(Tabela3[[#This Row],[Prazo
Entrega]])</f>
        <v>44</v>
      </c>
      <c r="T116" s="10" t="s">
        <v>43</v>
      </c>
      <c r="U116" s="10" t="s">
        <v>61</v>
      </c>
      <c r="V116" s="6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202</v>
      </c>
      <c r="F117" s="10" t="s">
        <v>77</v>
      </c>
      <c r="G117" s="10" t="s">
        <v>77</v>
      </c>
      <c r="H117" s="10" t="s">
        <v>220</v>
      </c>
      <c r="I117" s="10">
        <v>1</v>
      </c>
      <c r="J117" s="11">
        <v>46266</v>
      </c>
      <c r="K117" s="6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128</v>
      </c>
      <c r="R117" s="60" t="str">
        <f t="shared" ca="1" si="3"/>
        <v>NO PRAZO</v>
      </c>
      <c r="S117" s="60">
        <f>WEEKNUM(Tabela3[[#This Row],[Prazo
Entrega]])</f>
        <v>44</v>
      </c>
      <c r="T117" s="10" t="s">
        <v>43</v>
      </c>
      <c r="U117" s="10" t="s">
        <v>61</v>
      </c>
      <c r="V117" s="6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202</v>
      </c>
      <c r="F118" s="10" t="s">
        <v>77</v>
      </c>
      <c r="G118" s="10" t="s">
        <v>77</v>
      </c>
      <c r="H118" s="10" t="s">
        <v>220</v>
      </c>
      <c r="I118" s="10">
        <v>1</v>
      </c>
      <c r="J118" s="11">
        <v>46266</v>
      </c>
      <c r="K118" s="6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128</v>
      </c>
      <c r="R118" s="60" t="str">
        <f t="shared" ca="1" si="3"/>
        <v>NO PRAZO</v>
      </c>
      <c r="S118" s="60">
        <f>WEEKNUM(Tabela3[[#This Row],[Prazo
Entrega]])</f>
        <v>44</v>
      </c>
      <c r="T118" s="10" t="s">
        <v>43</v>
      </c>
      <c r="U118" s="10" t="s">
        <v>61</v>
      </c>
      <c r="V118" s="6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202</v>
      </c>
      <c r="F119" s="10" t="s">
        <v>77</v>
      </c>
      <c r="G119" s="10" t="s">
        <v>77</v>
      </c>
      <c r="H119" s="10" t="s">
        <v>220</v>
      </c>
      <c r="I119" s="10">
        <v>1</v>
      </c>
      <c r="J119" s="11">
        <v>46266</v>
      </c>
      <c r="K119" s="6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128</v>
      </c>
      <c r="R119" s="60" t="str">
        <f t="shared" ca="1" si="3"/>
        <v>NO PRAZO</v>
      </c>
      <c r="S119" s="60">
        <f>WEEKNUM(Tabela3[[#This Row],[Prazo
Entrega]])</f>
        <v>44</v>
      </c>
      <c r="T119" s="10" t="s">
        <v>43</v>
      </c>
      <c r="U119" s="10" t="s">
        <v>61</v>
      </c>
      <c r="V119" s="6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202</v>
      </c>
      <c r="F120" s="10" t="s">
        <v>77</v>
      </c>
      <c r="G120" s="10" t="s">
        <v>77</v>
      </c>
      <c r="H120" s="10" t="s">
        <v>220</v>
      </c>
      <c r="I120" s="10">
        <v>1</v>
      </c>
      <c r="J120" s="11">
        <v>46266</v>
      </c>
      <c r="K120" s="6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128</v>
      </c>
      <c r="R120" s="60" t="str">
        <f t="shared" ca="1" si="3"/>
        <v>NO PRAZO</v>
      </c>
      <c r="S120" s="60">
        <f>WEEKNUM(Tabela3[[#This Row],[Prazo
Entrega]])</f>
        <v>44</v>
      </c>
      <c r="T120" s="10" t="s">
        <v>43</v>
      </c>
      <c r="U120" s="10" t="s">
        <v>61</v>
      </c>
      <c r="V120" s="6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202</v>
      </c>
      <c r="F121" s="10" t="s">
        <v>77</v>
      </c>
      <c r="G121" s="10" t="s">
        <v>77</v>
      </c>
      <c r="H121" s="10" t="s">
        <v>220</v>
      </c>
      <c r="I121" s="10">
        <v>1</v>
      </c>
      <c r="J121" s="11">
        <v>46266</v>
      </c>
      <c r="K121" s="6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128</v>
      </c>
      <c r="R121" s="60" t="str">
        <f t="shared" ca="1" si="3"/>
        <v>NO PRAZO</v>
      </c>
      <c r="S121" s="60">
        <f>WEEKNUM(Tabela3[[#This Row],[Prazo
Entrega]])</f>
        <v>44</v>
      </c>
      <c r="T121" s="10" t="s">
        <v>43</v>
      </c>
      <c r="U121" s="10" t="s">
        <v>61</v>
      </c>
      <c r="V121" s="6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202</v>
      </c>
      <c r="F122" s="10" t="s">
        <v>77</v>
      </c>
      <c r="G122" s="10" t="s">
        <v>77</v>
      </c>
      <c r="H122" s="10" t="s">
        <v>220</v>
      </c>
      <c r="I122" s="10">
        <v>1</v>
      </c>
      <c r="J122" s="11">
        <v>46266</v>
      </c>
      <c r="K122" s="6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128</v>
      </c>
      <c r="R122" s="60" t="str">
        <f t="shared" ca="1" si="3"/>
        <v>NO PRAZO</v>
      </c>
      <c r="S122" s="60">
        <f>WEEKNUM(Tabela3[[#This Row],[Prazo
Entrega]])</f>
        <v>44</v>
      </c>
      <c r="T122" s="10" t="s">
        <v>43</v>
      </c>
      <c r="U122" s="10" t="s">
        <v>61</v>
      </c>
      <c r="V122" s="6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202</v>
      </c>
      <c r="F123" s="10" t="s">
        <v>77</v>
      </c>
      <c r="G123" s="10" t="s">
        <v>77</v>
      </c>
      <c r="H123" s="10" t="s">
        <v>220</v>
      </c>
      <c r="I123" s="10">
        <v>1</v>
      </c>
      <c r="J123" s="11">
        <v>46266</v>
      </c>
      <c r="K123" s="6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128</v>
      </c>
      <c r="R123" s="60" t="str">
        <f t="shared" ca="1" si="3"/>
        <v>NO PRAZO</v>
      </c>
      <c r="S123" s="60">
        <f>WEEKNUM(Tabela3[[#This Row],[Prazo
Entrega]])</f>
        <v>44</v>
      </c>
      <c r="T123" s="10" t="s">
        <v>43</v>
      </c>
      <c r="U123" s="10" t="s">
        <v>61</v>
      </c>
      <c r="V123" s="6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202</v>
      </c>
      <c r="F124" s="10" t="s">
        <v>77</v>
      </c>
      <c r="G124" s="10" t="s">
        <v>77</v>
      </c>
      <c r="H124" s="10" t="s">
        <v>221</v>
      </c>
      <c r="I124" s="10">
        <v>1</v>
      </c>
      <c r="J124" s="11">
        <v>46266</v>
      </c>
      <c r="K124" s="6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128</v>
      </c>
      <c r="R124" s="60" t="str">
        <f t="shared" ca="1" si="3"/>
        <v>NO PRAZO</v>
      </c>
      <c r="S124" s="60">
        <f>WEEKNUM(Tabela3[[#This Row],[Prazo
Entrega]])</f>
        <v>44</v>
      </c>
      <c r="T124" s="10" t="s">
        <v>43</v>
      </c>
      <c r="U124" s="10" t="s">
        <v>61</v>
      </c>
      <c r="V124" s="6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202</v>
      </c>
      <c r="F125" s="10" t="s">
        <v>77</v>
      </c>
      <c r="G125" s="10" t="s">
        <v>77</v>
      </c>
      <c r="H125" s="10" t="s">
        <v>221</v>
      </c>
      <c r="I125" s="10">
        <v>1</v>
      </c>
      <c r="J125" s="11">
        <v>46266</v>
      </c>
      <c r="K125" s="6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128</v>
      </c>
      <c r="R125" s="60" t="str">
        <f t="shared" ca="1" si="3"/>
        <v>NO PRAZO</v>
      </c>
      <c r="S125" s="60">
        <f>WEEKNUM(Tabela3[[#This Row],[Prazo
Entrega]])</f>
        <v>44</v>
      </c>
      <c r="T125" s="10" t="s">
        <v>43</v>
      </c>
      <c r="U125" s="10" t="s">
        <v>61</v>
      </c>
      <c r="V125" s="6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202</v>
      </c>
      <c r="F126" s="10" t="s">
        <v>77</v>
      </c>
      <c r="G126" s="10" t="s">
        <v>77</v>
      </c>
      <c r="H126" s="10" t="s">
        <v>221</v>
      </c>
      <c r="I126" s="10">
        <v>1</v>
      </c>
      <c r="J126" s="11">
        <v>46266</v>
      </c>
      <c r="K126" s="6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128</v>
      </c>
      <c r="R126" s="60" t="str">
        <f t="shared" ca="1" si="3"/>
        <v>NO PRAZO</v>
      </c>
      <c r="S126" s="60">
        <f>WEEKNUM(Tabela3[[#This Row],[Prazo
Entrega]])</f>
        <v>44</v>
      </c>
      <c r="T126" s="10" t="s">
        <v>43</v>
      </c>
      <c r="U126" s="10" t="s">
        <v>61</v>
      </c>
      <c r="V126" s="6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202</v>
      </c>
      <c r="F127" s="10" t="s">
        <v>77</v>
      </c>
      <c r="G127" s="10" t="s">
        <v>77</v>
      </c>
      <c r="H127" s="10" t="s">
        <v>221</v>
      </c>
      <c r="I127" s="10">
        <v>1</v>
      </c>
      <c r="J127" s="11">
        <v>46266</v>
      </c>
      <c r="K127" s="6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128</v>
      </c>
      <c r="R127" s="60" t="str">
        <f t="shared" ca="1" si="3"/>
        <v>NO PRAZO</v>
      </c>
      <c r="S127" s="60">
        <f>WEEKNUM(Tabela3[[#This Row],[Prazo
Entrega]])</f>
        <v>44</v>
      </c>
      <c r="T127" s="10" t="s">
        <v>43</v>
      </c>
      <c r="U127" s="10" t="s">
        <v>61</v>
      </c>
      <c r="V127" s="6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202</v>
      </c>
      <c r="F128" s="10" t="s">
        <v>77</v>
      </c>
      <c r="G128" s="10" t="s">
        <v>77</v>
      </c>
      <c r="H128" s="10" t="s">
        <v>221</v>
      </c>
      <c r="I128" s="10">
        <v>1</v>
      </c>
      <c r="J128" s="11">
        <v>46266</v>
      </c>
      <c r="K128" s="6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128</v>
      </c>
      <c r="R128" s="60" t="str">
        <f t="shared" ca="1" si="3"/>
        <v>NO PRAZO</v>
      </c>
      <c r="S128" s="60">
        <f>WEEKNUM(Tabela3[[#This Row],[Prazo
Entrega]])</f>
        <v>44</v>
      </c>
      <c r="T128" s="10" t="s">
        <v>43</v>
      </c>
      <c r="U128" s="10" t="s">
        <v>61</v>
      </c>
      <c r="V128" s="6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202</v>
      </c>
      <c r="F129" s="10" t="s">
        <v>77</v>
      </c>
      <c r="G129" s="10" t="s">
        <v>77</v>
      </c>
      <c r="H129" s="10" t="s">
        <v>221</v>
      </c>
      <c r="I129" s="10">
        <v>1</v>
      </c>
      <c r="J129" s="11">
        <v>46266</v>
      </c>
      <c r="K129" s="6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128</v>
      </c>
      <c r="R129" s="60" t="str">
        <f t="shared" ca="1" si="3"/>
        <v>NO PRAZO</v>
      </c>
      <c r="S129" s="60">
        <f>WEEKNUM(Tabela3[[#This Row],[Prazo
Entrega]])</f>
        <v>44</v>
      </c>
      <c r="T129" s="10" t="s">
        <v>43</v>
      </c>
      <c r="U129" s="10" t="s">
        <v>61</v>
      </c>
      <c r="V129" s="6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202</v>
      </c>
      <c r="F130" s="10" t="s">
        <v>77</v>
      </c>
      <c r="G130" s="10" t="s">
        <v>77</v>
      </c>
      <c r="H130" s="10" t="s">
        <v>221</v>
      </c>
      <c r="I130" s="10">
        <v>1</v>
      </c>
      <c r="J130" s="11">
        <v>46266</v>
      </c>
      <c r="K130" s="6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128</v>
      </c>
      <c r="R130" s="60" t="str">
        <f t="shared" ca="1" si="3"/>
        <v>NO PRAZO</v>
      </c>
      <c r="S130" s="60">
        <f>WEEKNUM(Tabela3[[#This Row],[Prazo
Entrega]])</f>
        <v>44</v>
      </c>
      <c r="T130" s="10" t="s">
        <v>43</v>
      </c>
      <c r="U130" s="10" t="s">
        <v>61</v>
      </c>
      <c r="V130" s="6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202</v>
      </c>
      <c r="F131" s="10" t="s">
        <v>77</v>
      </c>
      <c r="G131" s="10" t="s">
        <v>77</v>
      </c>
      <c r="H131" s="10" t="s">
        <v>221</v>
      </c>
      <c r="I131" s="10">
        <v>1</v>
      </c>
      <c r="J131" s="11">
        <v>46266</v>
      </c>
      <c r="K131" s="6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128</v>
      </c>
      <c r="R131" s="60" t="str">
        <f t="shared" ca="1" si="3"/>
        <v>NO PRAZO</v>
      </c>
      <c r="S131" s="60">
        <f>WEEKNUM(Tabela3[[#This Row],[Prazo
Entrega]])</f>
        <v>44</v>
      </c>
      <c r="T131" s="10" t="s">
        <v>43</v>
      </c>
      <c r="U131" s="10" t="s">
        <v>61</v>
      </c>
      <c r="V131" s="6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31" t="s">
        <v>52</v>
      </c>
      <c r="K1" s="31" t="s">
        <v>53</v>
      </c>
      <c r="L1" s="31" t="s">
        <v>54</v>
      </c>
      <c r="M1" s="31" t="s">
        <v>55</v>
      </c>
      <c r="N1" s="31" t="s">
        <v>95</v>
      </c>
      <c r="O1" s="31" t="s">
        <v>65</v>
      </c>
      <c r="P1" s="31" t="s">
        <v>59</v>
      </c>
      <c r="Q1" s="32" t="s">
        <v>109</v>
      </c>
      <c r="R1" s="32" t="s">
        <v>84</v>
      </c>
      <c r="S1" s="32" t="s">
        <v>91</v>
      </c>
      <c r="T1" s="32" t="s">
        <v>92</v>
      </c>
      <c r="U1" s="32" t="s">
        <v>93</v>
      </c>
      <c r="V1" s="32" t="s">
        <v>94</v>
      </c>
      <c r="W1" s="32" t="s">
        <v>88</v>
      </c>
      <c r="X1" s="32" t="s">
        <v>89</v>
      </c>
      <c r="Y1" s="32" t="s">
        <v>60</v>
      </c>
      <c r="Z1" s="31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3"/>
      <c r="L2" s="18">
        <v>46269</v>
      </c>
      <c r="M2" s="33"/>
      <c r="N2" s="13">
        <f ca="1">Tabela13[[#This Row],[Data Prev.
Entrega]]-TODAY()</f>
        <v>72</v>
      </c>
      <c r="O2" s="13" t="str">
        <f t="shared" ref="O2:O16" ca="1" si="0">IF(N2&lt;0,"ATRASADO",IF(N2&lt;=15,"ATENÇÃO","NO PRAZO"))</f>
        <v>NO PRAZO</v>
      </c>
      <c r="P2" t="s">
        <v>43</v>
      </c>
      <c r="Q2" s="34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3"/>
      <c r="N3" s="13">
        <f ca="1">Tabela13[[#This Row],[Data Prev.
Entrega]]-TODAY()</f>
        <v>72</v>
      </c>
      <c r="O3" s="13" t="str">
        <f t="shared" ca="1" si="0"/>
        <v>NO PRAZO</v>
      </c>
      <c r="P3" t="s">
        <v>43</v>
      </c>
      <c r="Q3" s="34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42</v>
      </c>
      <c r="O4" s="13" t="str">
        <f t="shared" ca="1" si="0"/>
        <v>NO PRAZO</v>
      </c>
      <c r="P4" t="s">
        <v>90</v>
      </c>
      <c r="Q4" s="34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42</v>
      </c>
      <c r="O5" s="13" t="str">
        <f t="shared" ca="1" si="0"/>
        <v>NO PRAZO</v>
      </c>
      <c r="P5" t="s">
        <v>90</v>
      </c>
      <c r="Q5" s="34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42</v>
      </c>
      <c r="O6" s="13" t="str">
        <f t="shared" ca="1" si="0"/>
        <v>NO PRAZO</v>
      </c>
      <c r="P6" t="s">
        <v>90</v>
      </c>
      <c r="Q6" s="34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98</v>
      </c>
      <c r="O7" s="13" t="str">
        <f t="shared" ca="1" si="0"/>
        <v>NO PRAZO</v>
      </c>
      <c r="P7" t="s">
        <v>90</v>
      </c>
      <c r="Q7" s="34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42</v>
      </c>
      <c r="O8" s="13" t="str">
        <f t="shared" ca="1" si="0"/>
        <v>NO PRAZO</v>
      </c>
      <c r="P8" t="s">
        <v>90</v>
      </c>
      <c r="Q8" s="34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69</v>
      </c>
      <c r="O9" s="13" t="str">
        <f t="shared" ca="1" si="0"/>
        <v>NO PRAZO</v>
      </c>
      <c r="P9" t="s">
        <v>90</v>
      </c>
      <c r="Q9" s="34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69</v>
      </c>
      <c r="O10" s="13" t="str">
        <f t="shared" ca="1" si="0"/>
        <v>NO PRAZO</v>
      </c>
      <c r="P10" t="s">
        <v>90</v>
      </c>
      <c r="Q10" s="34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69</v>
      </c>
      <c r="O11" s="13" t="str">
        <f t="shared" ca="1" si="0"/>
        <v>NO PRAZO</v>
      </c>
      <c r="P11" t="s">
        <v>90</v>
      </c>
      <c r="Q11" s="34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69</v>
      </c>
      <c r="O12" s="13" t="str">
        <f t="shared" ca="1" si="0"/>
        <v>NO PRAZO</v>
      </c>
      <c r="P12" t="s">
        <v>90</v>
      </c>
      <c r="Q12" s="34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69</v>
      </c>
      <c r="O13" s="13" t="str">
        <f t="shared" ca="1" si="0"/>
        <v>NO PRAZO</v>
      </c>
      <c r="P13" t="s">
        <v>90</v>
      </c>
      <c r="Q13" s="34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98</v>
      </c>
      <c r="O14" s="13" t="str">
        <f t="shared" ca="1" si="0"/>
        <v>NO PRAZO</v>
      </c>
      <c r="P14" t="s">
        <v>90</v>
      </c>
      <c r="Q14" s="34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98</v>
      </c>
      <c r="O15" s="13" t="str">
        <f t="shared" ca="1" si="0"/>
        <v>NO PRAZO</v>
      </c>
      <c r="P15" t="s">
        <v>90</v>
      </c>
      <c r="Q15" s="34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98</v>
      </c>
      <c r="O16" s="13" t="str">
        <f t="shared" ca="1" si="0"/>
        <v>NO PRAZO</v>
      </c>
      <c r="P16" t="s">
        <v>90</v>
      </c>
      <c r="Q16" s="34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3"/>
      <c r="N17" s="13">
        <f ca="1">Tabela13[[#This Row],[Data Prev.
Entrega]]-TODAY()</f>
        <v>83</v>
      </c>
      <c r="O17" s="13" t="str">
        <f ca="1">IF(N17&lt;0,"ATRASADO",IF(N17&lt;=15,"ATENÇÃO","NO PRAZO"))</f>
        <v>NO PRAZO</v>
      </c>
      <c r="P17" t="s">
        <v>43</v>
      </c>
      <c r="Q17" s="34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3"/>
      <c r="N18" s="13">
        <f ca="1">Tabela13[[#This Row],[Data Prev.
Entrega]]-TODAY()</f>
        <v>83</v>
      </c>
      <c r="O18" s="13" t="str">
        <f t="shared" ref="O18:O25" ca="1" si="2">IF(N18&lt;0,"ATRASADO",IF(N18&lt;=15,"ATENÇÃO","NO PRAZO"))</f>
        <v>NO PRAZO</v>
      </c>
      <c r="P18" t="s">
        <v>43</v>
      </c>
      <c r="Q18" s="34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3"/>
      <c r="N19" s="13">
        <f ca="1">Tabela13[[#This Row],[Data Prev.
Entrega]]-TODAY()</f>
        <v>83</v>
      </c>
      <c r="O19" s="13" t="str">
        <f t="shared" ca="1" si="2"/>
        <v>NO PRAZO</v>
      </c>
      <c r="P19" t="s">
        <v>43</v>
      </c>
      <c r="Q19" s="34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3"/>
      <c r="N20" s="13">
        <f ca="1">Tabela13[[#This Row],[Data Prev.
Entrega]]-TODAY()</f>
        <v>83</v>
      </c>
      <c r="O20" s="13" t="str">
        <f t="shared" ca="1" si="2"/>
        <v>NO PRAZO</v>
      </c>
      <c r="P20" t="s">
        <v>43</v>
      </c>
      <c r="Q20" s="34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3"/>
      <c r="N21" s="13">
        <f ca="1">Tabela13[[#This Row],[Data Prev.
Entrega]]-TODAY()</f>
        <v>83</v>
      </c>
      <c r="O21" s="13" t="str">
        <f t="shared" ca="1" si="2"/>
        <v>NO PRAZO</v>
      </c>
      <c r="P21" t="s">
        <v>43</v>
      </c>
      <c r="Q21" s="34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3"/>
      <c r="N22" s="13">
        <f ca="1">Tabela13[[#This Row],[Data Prev.
Entrega]]-TODAY()</f>
        <v>83</v>
      </c>
      <c r="O22" s="13" t="str">
        <f t="shared" ca="1" si="2"/>
        <v>NO PRAZO</v>
      </c>
      <c r="P22" t="s">
        <v>43</v>
      </c>
      <c r="Q22" s="34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3"/>
      <c r="N23" s="13">
        <f ca="1">Tabela13[[#This Row],[Data Prev.
Entrega]]-TODAY()</f>
        <v>83</v>
      </c>
      <c r="O23" s="13" t="str">
        <f t="shared" ca="1" si="2"/>
        <v>NO PRAZO</v>
      </c>
      <c r="P23" t="s">
        <v>43</v>
      </c>
      <c r="Q23" s="34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3"/>
      <c r="N24" s="13">
        <f ca="1">Tabela13[[#This Row],[Data Prev.
Entrega]]-TODAY()</f>
        <v>83</v>
      </c>
      <c r="O24" s="13" t="str">
        <f t="shared" ca="1" si="2"/>
        <v>NO PRAZO</v>
      </c>
      <c r="P24" t="s">
        <v>43</v>
      </c>
      <c r="Q24" s="34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3"/>
      <c r="N25" s="13">
        <f ca="1">Tabela13[[#This Row],[Data Prev.
Entrega]]-TODAY()</f>
        <v>83</v>
      </c>
      <c r="O25" s="13" t="str">
        <f t="shared" ca="1" si="2"/>
        <v>NO PRAZO</v>
      </c>
      <c r="P25" t="s">
        <v>43</v>
      </c>
      <c r="Q25" s="34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3"/>
      <c r="N26" s="13">
        <f ca="1">Tabela13[[#This Row],[Data Prev.
Entrega]]-TODAY()</f>
        <v>177</v>
      </c>
      <c r="O26" s="13" t="str">
        <f ca="1">IF(N26&lt;0,"ATRASADO",IF(N26&lt;=15,"ATENÇÃO","NO PRAZO"))</f>
        <v>NO PRAZO</v>
      </c>
      <c r="P26" t="s">
        <v>43</v>
      </c>
      <c r="Q26" s="34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3"/>
      <c r="N27" s="13">
        <f ca="1">Tabela13[[#This Row],[Data Prev.
Entrega]]-TODAY()</f>
        <v>177</v>
      </c>
      <c r="O27" s="13" t="str">
        <f t="shared" ref="O27:O28" ca="1" si="4">IF(N27&lt;0,"ATRASADO",IF(N27&lt;=15,"ATENÇÃO","NO PRAZO"))</f>
        <v>NO PRAZO</v>
      </c>
      <c r="P27" t="s">
        <v>43</v>
      </c>
      <c r="Q27" s="34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3"/>
      <c r="N28" s="13">
        <f ca="1">Tabela13[[#This Row],[Data Prev.
Entrega]]-TODAY()</f>
        <v>177</v>
      </c>
      <c r="O28" s="13" t="str">
        <f t="shared" ca="1" si="4"/>
        <v>NO PRAZO</v>
      </c>
      <c r="P28" t="s">
        <v>43</v>
      </c>
      <c r="Q28" s="34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3"/>
      <c r="N29" s="13">
        <f ca="1">Tabela13[[#This Row],[Data Prev.
Entrega]]-TODAY()</f>
        <v>89</v>
      </c>
      <c r="O29" s="13" t="str">
        <f t="shared" ref="O29:O31" ca="1" si="5">IF(N29&lt;0,"ATRASADO",IF(N29&lt;=15,"ATENÇÃO","NO PRAZO"))</f>
        <v>NO PRAZO</v>
      </c>
      <c r="P29" t="s">
        <v>43</v>
      </c>
      <c r="Q29" s="34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3"/>
      <c r="N30" s="13">
        <f ca="1">Tabela13[[#This Row],[Data Prev.
Entrega]]-TODAY()</f>
        <v>89</v>
      </c>
      <c r="O30" s="13" t="str">
        <f t="shared" ca="1" si="5"/>
        <v>NO PRAZO</v>
      </c>
      <c r="P30" t="s">
        <v>43</v>
      </c>
      <c r="Q30" s="34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3"/>
      <c r="N31" s="13">
        <f ca="1">Tabela13[[#This Row],[Data Prev.
Entrega]]-TODAY()</f>
        <v>89</v>
      </c>
      <c r="O31" s="13" t="str">
        <f t="shared" ca="1" si="5"/>
        <v>NO PRAZO</v>
      </c>
      <c r="P31" t="s">
        <v>43</v>
      </c>
      <c r="Q31" s="34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180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177</v>
      </c>
      <c r="O32" s="13" t="str">
        <f ca="1">IF(N32&lt;0,"ATRASADO",IF(N32&lt;=15,"ATENÇÃO","NO PRAZO"))</f>
        <v>NO PRAZO</v>
      </c>
      <c r="P32" t="s">
        <v>43</v>
      </c>
      <c r="Q32" s="34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180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177</v>
      </c>
      <c r="O33" s="13" t="str">
        <f t="shared" ref="O33:O35" ca="1" si="7">IF(N33&lt;0,"ATRASADO",IF(N33&lt;=15,"ATENÇÃO","NO PRAZO"))</f>
        <v>NO PRAZO</v>
      </c>
      <c r="P33" t="s">
        <v>43</v>
      </c>
      <c r="Q33" s="34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180</v>
      </c>
      <c r="F34" s="14" t="s">
        <v>77</v>
      </c>
      <c r="G34" s="14" t="s">
        <v>77</v>
      </c>
      <c r="H34" s="6" t="s">
        <v>181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177</v>
      </c>
      <c r="O34" s="13" t="str">
        <f t="shared" ca="1" si="7"/>
        <v>NO PRAZO</v>
      </c>
      <c r="P34" t="s">
        <v>43</v>
      </c>
      <c r="Q34" s="34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180</v>
      </c>
      <c r="F35" s="14" t="s">
        <v>77</v>
      </c>
      <c r="G35" s="14" t="s">
        <v>77</v>
      </c>
      <c r="H35" s="6" t="s">
        <v>181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177</v>
      </c>
      <c r="O35" s="13" t="str">
        <f t="shared" ca="1" si="7"/>
        <v>NO PRAZO</v>
      </c>
      <c r="P35" t="s">
        <v>43</v>
      </c>
      <c r="Q35" s="34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8"/>
  <sheetViews>
    <sheetView topLeftCell="A53" workbookViewId="0">
      <selection activeCell="I73" sqref="I73"/>
    </sheetView>
  </sheetViews>
  <sheetFormatPr defaultRowHeight="15" x14ac:dyDescent="0.25"/>
  <cols>
    <col min="3" max="4" width="9.140625" style="1"/>
    <col min="5" max="5" width="22.7109375" style="35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8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5" t="s">
        <v>3</v>
      </c>
      <c r="F1" s="1" t="s">
        <v>51</v>
      </c>
      <c r="G1" t="s">
        <v>4</v>
      </c>
      <c r="H1" t="s">
        <v>5</v>
      </c>
      <c r="I1" t="s">
        <v>6</v>
      </c>
      <c r="J1" s="36" t="s">
        <v>67</v>
      </c>
      <c r="K1" s="36" t="s">
        <v>20</v>
      </c>
      <c r="L1" s="36" t="s">
        <v>66</v>
      </c>
      <c r="M1" s="36" t="s">
        <v>21</v>
      </c>
      <c r="N1" s="36" t="s">
        <v>95</v>
      </c>
      <c r="O1" s="36" t="s">
        <v>65</v>
      </c>
      <c r="P1" s="36" t="s">
        <v>59</v>
      </c>
      <c r="Q1" s="32" t="s">
        <v>109</v>
      </c>
      <c r="R1" s="36" t="s">
        <v>84</v>
      </c>
      <c r="S1" s="36" t="s">
        <v>99</v>
      </c>
      <c r="T1" s="36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171</v>
      </c>
      <c r="F2" s="14">
        <v>1</v>
      </c>
      <c r="G2" s="14">
        <v>434129</v>
      </c>
      <c r="H2" s="14">
        <v>1</v>
      </c>
      <c r="I2" s="6" t="s">
        <v>179</v>
      </c>
      <c r="J2" s="7">
        <v>46204</v>
      </c>
      <c r="L2" s="7">
        <v>46254</v>
      </c>
      <c r="N2" s="13">
        <f ca="1">Tabela4[[#This Row],[Prazo
Entrega]]-TODAY()</f>
        <v>57</v>
      </c>
      <c r="O2" t="str">
        <f t="shared" ref="O2:O9" ca="1" si="0">IF(N2&lt;0,"ATRASADO",IF(N2&lt;=15,"ATENÇÃO","NO PRAZO"))</f>
        <v>NO PRAZO</v>
      </c>
      <c r="P2" t="s">
        <v>43</v>
      </c>
      <c r="Q2" s="33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171</v>
      </c>
      <c r="F3" s="14">
        <v>1</v>
      </c>
      <c r="G3" s="14">
        <v>434129</v>
      </c>
      <c r="H3" s="14">
        <v>2</v>
      </c>
      <c r="I3" s="6" t="s">
        <v>179</v>
      </c>
      <c r="J3" s="7">
        <v>46204</v>
      </c>
      <c r="L3" s="7">
        <v>46254</v>
      </c>
      <c r="N3" s="13">
        <f ca="1">Tabela4[[#This Row],[Prazo
Entrega]]-TODAY()</f>
        <v>57</v>
      </c>
      <c r="O3" t="str">
        <f t="shared" ca="1" si="0"/>
        <v>NO PRAZO</v>
      </c>
      <c r="P3" t="s">
        <v>43</v>
      </c>
      <c r="Q3" s="33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171</v>
      </c>
      <c r="F4" s="14">
        <v>1</v>
      </c>
      <c r="G4" s="14">
        <v>434129</v>
      </c>
      <c r="H4" s="14">
        <v>3</v>
      </c>
      <c r="I4" s="6" t="s">
        <v>179</v>
      </c>
      <c r="J4" s="7">
        <v>46204</v>
      </c>
      <c r="L4" s="7">
        <v>46254</v>
      </c>
      <c r="N4" s="13">
        <f ca="1">Tabela4[[#This Row],[Prazo
Entrega]]-TODAY()</f>
        <v>57</v>
      </c>
      <c r="O4" t="str">
        <f t="shared" ca="1" si="0"/>
        <v>NO PRAZO</v>
      </c>
      <c r="P4" t="s">
        <v>43</v>
      </c>
      <c r="Q4" s="33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171</v>
      </c>
      <c r="F5" s="14">
        <v>1</v>
      </c>
      <c r="G5" s="14">
        <v>434129</v>
      </c>
      <c r="H5" s="14">
        <v>4</v>
      </c>
      <c r="I5" s="6" t="s">
        <v>179</v>
      </c>
      <c r="J5" s="7">
        <v>46204</v>
      </c>
      <c r="L5" s="7">
        <v>46254</v>
      </c>
      <c r="N5" s="13">
        <f ca="1">Tabela4[[#This Row],[Prazo
Entrega]]-TODAY()</f>
        <v>57</v>
      </c>
      <c r="O5" t="str">
        <f t="shared" ca="1" si="0"/>
        <v>NO PRAZO</v>
      </c>
      <c r="P5" t="s">
        <v>43</v>
      </c>
      <c r="Q5" s="33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171</v>
      </c>
      <c r="F6" s="14">
        <v>1</v>
      </c>
      <c r="G6" s="14">
        <v>434130</v>
      </c>
      <c r="H6" s="14">
        <v>1</v>
      </c>
      <c r="I6" s="6" t="s">
        <v>179</v>
      </c>
      <c r="J6" s="7">
        <v>46204</v>
      </c>
      <c r="L6" s="7">
        <v>46254</v>
      </c>
      <c r="N6" s="13">
        <f ca="1">Tabela4[[#This Row],[Prazo
Entrega]]-TODAY()</f>
        <v>57</v>
      </c>
      <c r="O6" t="str">
        <f t="shared" ca="1" si="0"/>
        <v>NO PRAZO</v>
      </c>
      <c r="P6" t="s">
        <v>43</v>
      </c>
      <c r="Q6" s="33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171</v>
      </c>
      <c r="F7" s="14">
        <v>1</v>
      </c>
      <c r="G7" s="14">
        <v>434130</v>
      </c>
      <c r="H7" s="14">
        <v>2</v>
      </c>
      <c r="I7" s="6" t="s">
        <v>179</v>
      </c>
      <c r="J7" s="7">
        <v>46204</v>
      </c>
      <c r="L7" s="7">
        <v>46254</v>
      </c>
      <c r="N7" s="13">
        <f ca="1">Tabela4[[#This Row],[Prazo
Entrega]]-TODAY()</f>
        <v>57</v>
      </c>
      <c r="O7" t="str">
        <f t="shared" ca="1" si="0"/>
        <v>NO PRAZO</v>
      </c>
      <c r="P7" t="s">
        <v>43</v>
      </c>
      <c r="Q7" s="33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171</v>
      </c>
      <c r="F8" s="14">
        <v>1</v>
      </c>
      <c r="G8" s="14">
        <v>434130</v>
      </c>
      <c r="H8" s="14">
        <v>3</v>
      </c>
      <c r="I8" s="6" t="s">
        <v>179</v>
      </c>
      <c r="J8" s="7">
        <v>46204</v>
      </c>
      <c r="L8" s="7">
        <v>46254</v>
      </c>
      <c r="N8" s="13">
        <f ca="1">Tabela4[[#This Row],[Prazo
Entrega]]-TODAY()</f>
        <v>57</v>
      </c>
      <c r="O8" t="str">
        <f t="shared" ca="1" si="0"/>
        <v>NO PRAZO</v>
      </c>
      <c r="P8" t="s">
        <v>43</v>
      </c>
      <c r="Q8" s="33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171</v>
      </c>
      <c r="F9" s="14">
        <v>1</v>
      </c>
      <c r="G9" s="14">
        <v>434130</v>
      </c>
      <c r="H9" s="14">
        <v>4</v>
      </c>
      <c r="I9" s="6" t="s">
        <v>179</v>
      </c>
      <c r="J9" s="7">
        <v>46204</v>
      </c>
      <c r="L9" s="7">
        <v>46254</v>
      </c>
      <c r="N9" s="13">
        <f ca="1">Tabela4[[#This Row],[Prazo
Entrega]]-TODAY()</f>
        <v>57</v>
      </c>
      <c r="O9" t="str">
        <f t="shared" ca="1" si="0"/>
        <v>NO PRAZO</v>
      </c>
      <c r="P9" t="s">
        <v>43</v>
      </c>
      <c r="Q9" s="33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172</v>
      </c>
      <c r="F10" s="15">
        <v>1</v>
      </c>
      <c r="G10" s="15" t="s">
        <v>77</v>
      </c>
      <c r="H10" s="15" t="s">
        <v>77</v>
      </c>
      <c r="I10" s="17" t="s">
        <v>173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-19</v>
      </c>
      <c r="O10" s="35" t="s">
        <v>102</v>
      </c>
      <c r="P10" s="10" t="s">
        <v>43</v>
      </c>
      <c r="Q10" s="10" t="s">
        <v>69</v>
      </c>
      <c r="R10" s="10" t="s">
        <v>69</v>
      </c>
      <c r="S10" s="37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174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179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175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179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176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179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177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179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177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179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177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179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178</v>
      </c>
      <c r="J17" s="7">
        <v>46251</v>
      </c>
      <c r="L17" s="7">
        <v>46281</v>
      </c>
      <c r="N17" s="13">
        <f ca="1">Tabela4[[#This Row],[Prazo
Entrega]]-TODAY()</f>
        <v>84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178</v>
      </c>
      <c r="J18" s="7">
        <v>46251</v>
      </c>
      <c r="L18" s="7">
        <v>46281</v>
      </c>
      <c r="N18" s="13">
        <f ca="1">Tabela4[[#This Row],[Prazo
Entrega]]-TODAY()</f>
        <v>84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180</v>
      </c>
      <c r="F19" s="14">
        <v>1</v>
      </c>
      <c r="G19" s="14" t="s">
        <v>77</v>
      </c>
      <c r="H19" s="14" t="s">
        <v>77</v>
      </c>
      <c r="I19" s="6" t="s">
        <v>182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179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180</v>
      </c>
      <c r="F20" s="14">
        <v>1</v>
      </c>
      <c r="G20" s="14" t="s">
        <v>77</v>
      </c>
      <c r="H20" s="14" t="s">
        <v>77</v>
      </c>
      <c r="I20" s="6" t="s">
        <v>182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179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180</v>
      </c>
      <c r="F21" s="14">
        <v>1</v>
      </c>
      <c r="G21" s="14" t="s">
        <v>77</v>
      </c>
      <c r="H21" s="14" t="s">
        <v>77</v>
      </c>
      <c r="I21" s="6" t="s">
        <v>183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179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180</v>
      </c>
      <c r="F22" s="14">
        <v>1</v>
      </c>
      <c r="G22" s="14" t="s">
        <v>77</v>
      </c>
      <c r="H22" s="14" t="s">
        <v>77</v>
      </c>
      <c r="I22" s="6" t="s">
        <v>183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179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180</v>
      </c>
      <c r="F23" s="14">
        <v>1</v>
      </c>
      <c r="G23" s="14" t="s">
        <v>77</v>
      </c>
      <c r="H23" s="14" t="s">
        <v>77</v>
      </c>
      <c r="I23" s="6" t="s">
        <v>183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179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180</v>
      </c>
      <c r="F24" s="14">
        <v>1</v>
      </c>
      <c r="G24" s="14" t="s">
        <v>77</v>
      </c>
      <c r="H24" s="14" t="s">
        <v>77</v>
      </c>
      <c r="I24" s="6" t="s">
        <v>183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179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180</v>
      </c>
      <c r="F25" s="14">
        <v>1</v>
      </c>
      <c r="G25" s="14" t="s">
        <v>77</v>
      </c>
      <c r="H25" s="14" t="s">
        <v>77</v>
      </c>
      <c r="I25" s="6" t="s">
        <v>183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179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180</v>
      </c>
      <c r="F26" s="14">
        <v>1</v>
      </c>
      <c r="G26" s="14" t="s">
        <v>77</v>
      </c>
      <c r="H26" s="14" t="s">
        <v>77</v>
      </c>
      <c r="I26" s="6" t="s">
        <v>183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179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180</v>
      </c>
      <c r="F27" s="14">
        <v>1</v>
      </c>
      <c r="G27" s="14" t="s">
        <v>77</v>
      </c>
      <c r="H27" s="14" t="s">
        <v>77</v>
      </c>
      <c r="I27" s="6" t="s">
        <v>184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179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180</v>
      </c>
      <c r="F28" s="14">
        <v>1</v>
      </c>
      <c r="G28" s="14" t="s">
        <v>77</v>
      </c>
      <c r="H28" s="14" t="s">
        <v>77</v>
      </c>
      <c r="I28" s="6" t="s">
        <v>184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179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180</v>
      </c>
      <c r="F29" s="14">
        <v>1</v>
      </c>
      <c r="G29" s="14" t="s">
        <v>77</v>
      </c>
      <c r="H29" s="14" t="s">
        <v>77</v>
      </c>
      <c r="I29" s="6" t="s">
        <v>184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179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180</v>
      </c>
      <c r="F30" s="14">
        <v>1</v>
      </c>
      <c r="G30" s="14" t="s">
        <v>77</v>
      </c>
      <c r="H30" s="14" t="s">
        <v>77</v>
      </c>
      <c r="I30" s="6" t="s">
        <v>184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179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180</v>
      </c>
      <c r="F31" s="14">
        <v>1</v>
      </c>
      <c r="G31" s="14" t="s">
        <v>77</v>
      </c>
      <c r="H31" s="14" t="s">
        <v>77</v>
      </c>
      <c r="I31" s="6" t="s">
        <v>184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179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180</v>
      </c>
      <c r="F32" s="14">
        <v>1</v>
      </c>
      <c r="G32" s="14" t="s">
        <v>77</v>
      </c>
      <c r="H32" s="14" t="s">
        <v>77</v>
      </c>
      <c r="I32" s="6" t="s">
        <v>184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179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180</v>
      </c>
      <c r="F33" s="14">
        <v>1</v>
      </c>
      <c r="G33" s="14" t="s">
        <v>77</v>
      </c>
      <c r="H33" s="14" t="s">
        <v>77</v>
      </c>
      <c r="I33" s="6" t="s">
        <v>184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179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180</v>
      </c>
      <c r="F34" s="14">
        <v>1</v>
      </c>
      <c r="G34" s="14" t="s">
        <v>77</v>
      </c>
      <c r="H34" s="14" t="s">
        <v>77</v>
      </c>
      <c r="I34" s="6" t="s">
        <v>184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179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180</v>
      </c>
      <c r="F35" s="14">
        <v>1</v>
      </c>
      <c r="G35" s="14" t="s">
        <v>77</v>
      </c>
      <c r="H35" s="14" t="s">
        <v>77</v>
      </c>
      <c r="I35" s="6" t="s">
        <v>185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179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180</v>
      </c>
      <c r="F36" s="14">
        <v>1</v>
      </c>
      <c r="G36" s="14" t="s">
        <v>77</v>
      </c>
      <c r="H36" s="14" t="s">
        <v>77</v>
      </c>
      <c r="I36" s="6" t="s">
        <v>185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179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180</v>
      </c>
      <c r="F37" s="14">
        <v>1</v>
      </c>
      <c r="G37" s="14" t="s">
        <v>77</v>
      </c>
      <c r="H37" s="14" t="s">
        <v>77</v>
      </c>
      <c r="I37" s="6" t="s">
        <v>186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179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180</v>
      </c>
      <c r="F38" s="14">
        <v>1</v>
      </c>
      <c r="G38" s="14" t="s">
        <v>77</v>
      </c>
      <c r="H38" s="14" t="s">
        <v>77</v>
      </c>
      <c r="I38" s="6" t="s">
        <v>186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179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180</v>
      </c>
      <c r="F39" s="14">
        <v>1</v>
      </c>
      <c r="G39" s="14" t="s">
        <v>77</v>
      </c>
      <c r="H39" s="14" t="s">
        <v>77</v>
      </c>
      <c r="I39" s="6" t="s">
        <v>186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179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180</v>
      </c>
      <c r="F40" s="14">
        <v>1</v>
      </c>
      <c r="G40" s="14" t="s">
        <v>77</v>
      </c>
      <c r="H40" s="14" t="s">
        <v>77</v>
      </c>
      <c r="I40" s="6" t="s">
        <v>186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179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180</v>
      </c>
      <c r="F41" s="14">
        <v>1</v>
      </c>
      <c r="G41" s="14" t="s">
        <v>77</v>
      </c>
      <c r="H41" s="14" t="s">
        <v>77</v>
      </c>
      <c r="I41" s="6" t="s">
        <v>186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179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180</v>
      </c>
      <c r="F42" s="14">
        <v>1</v>
      </c>
      <c r="G42" s="14" t="s">
        <v>77</v>
      </c>
      <c r="H42" s="14" t="s">
        <v>77</v>
      </c>
      <c r="I42" s="6" t="s">
        <v>186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179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180</v>
      </c>
      <c r="F43" s="14">
        <v>1</v>
      </c>
      <c r="G43" s="14" t="s">
        <v>77</v>
      </c>
      <c r="H43" s="14" t="s">
        <v>77</v>
      </c>
      <c r="I43" s="6" t="s">
        <v>186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179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180</v>
      </c>
      <c r="F44" s="14">
        <v>1</v>
      </c>
      <c r="G44" s="14" t="s">
        <v>77</v>
      </c>
      <c r="H44" s="14" t="s">
        <v>77</v>
      </c>
      <c r="I44" s="6" t="s">
        <v>186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179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180</v>
      </c>
      <c r="F45" s="14">
        <v>1</v>
      </c>
      <c r="G45" s="14" t="s">
        <v>77</v>
      </c>
      <c r="H45" s="14" t="s">
        <v>77</v>
      </c>
      <c r="I45" s="6" t="s">
        <v>186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179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180</v>
      </c>
      <c r="F46" s="14">
        <v>1</v>
      </c>
      <c r="G46" s="14" t="s">
        <v>77</v>
      </c>
      <c r="H46" s="14" t="s">
        <v>77</v>
      </c>
      <c r="I46" s="6" t="s">
        <v>186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179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180</v>
      </c>
      <c r="F47" s="14">
        <v>1</v>
      </c>
      <c r="G47" s="14" t="s">
        <v>77</v>
      </c>
      <c r="H47" s="14" t="s">
        <v>77</v>
      </c>
      <c r="I47" s="6" t="s">
        <v>186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179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180</v>
      </c>
      <c r="F48" s="14">
        <v>1</v>
      </c>
      <c r="G48" s="14" t="s">
        <v>77</v>
      </c>
      <c r="H48" s="14" t="s">
        <v>77</v>
      </c>
      <c r="I48" s="6" t="s">
        <v>186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179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180</v>
      </c>
      <c r="F49" s="14">
        <v>1</v>
      </c>
      <c r="G49" s="14" t="s">
        <v>77</v>
      </c>
      <c r="H49" s="14" t="s">
        <v>77</v>
      </c>
      <c r="I49" s="6" t="s">
        <v>186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179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180</v>
      </c>
      <c r="F50" s="14">
        <v>1</v>
      </c>
      <c r="G50" s="14" t="s">
        <v>77</v>
      </c>
      <c r="H50" s="14" t="s">
        <v>77</v>
      </c>
      <c r="I50" s="6" t="s">
        <v>186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179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180</v>
      </c>
      <c r="F51" s="14">
        <v>1</v>
      </c>
      <c r="G51" s="14" t="s">
        <v>77</v>
      </c>
      <c r="H51" s="14" t="s">
        <v>77</v>
      </c>
      <c r="I51" s="6" t="s">
        <v>186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179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180</v>
      </c>
      <c r="F52" s="14">
        <v>1</v>
      </c>
      <c r="G52" s="14" t="s">
        <v>77</v>
      </c>
      <c r="H52" s="14" t="s">
        <v>77</v>
      </c>
      <c r="I52" s="6" t="s">
        <v>186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179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197</v>
      </c>
      <c r="F53" s="14">
        <v>1</v>
      </c>
      <c r="G53" s="14">
        <v>1343033</v>
      </c>
      <c r="H53" s="14">
        <v>1</v>
      </c>
      <c r="I53" s="6" t="s">
        <v>198</v>
      </c>
      <c r="J53" s="7">
        <v>46142</v>
      </c>
      <c r="K53" s="54">
        <v>46128</v>
      </c>
      <c r="L53" s="7">
        <v>46203</v>
      </c>
      <c r="M53" s="54">
        <v>46197</v>
      </c>
      <c r="N53" s="50">
        <f ca="1">Tabela4[[#This Row],[Prazo
Entrega]]-TODAY()</f>
        <v>6</v>
      </c>
      <c r="O53" s="51" t="s">
        <v>199</v>
      </c>
      <c r="P53" s="10" t="s">
        <v>43</v>
      </c>
      <c r="Q53" s="52" t="s">
        <v>69</v>
      </c>
      <c r="R53" s="53" t="s">
        <v>69</v>
      </c>
      <c r="S53" s="49" t="s">
        <v>101</v>
      </c>
      <c r="T53" s="49"/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202</v>
      </c>
      <c r="F54" s="14">
        <v>1</v>
      </c>
      <c r="G54" s="14" t="s">
        <v>77</v>
      </c>
      <c r="H54" s="14" t="s">
        <v>77</v>
      </c>
      <c r="I54" s="6" t="s">
        <v>204</v>
      </c>
      <c r="J54" s="16" t="s">
        <v>77</v>
      </c>
      <c r="K54" s="16" t="s">
        <v>77</v>
      </c>
      <c r="L54" s="7">
        <v>46356</v>
      </c>
      <c r="M54" s="49"/>
      <c r="N54" s="50">
        <f ca="1">Tabela4[[#This Row],[Prazo
Entrega]]-TODAY()</f>
        <v>159</v>
      </c>
      <c r="O54" s="51" t="str">
        <f ca="1">IF(N54&lt;0,"ATRASADO",IF(N54&lt;=15,"ATENÇÃO","NO PRAZO"))</f>
        <v>NO PRAZO</v>
      </c>
      <c r="P54" s="10" t="s">
        <v>43</v>
      </c>
      <c r="Q54" s="11">
        <v>46203</v>
      </c>
      <c r="R54" s="53" t="s">
        <v>100</v>
      </c>
      <c r="S54" t="s">
        <v>120</v>
      </c>
      <c r="T54" s="49"/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202</v>
      </c>
      <c r="F55" s="14">
        <v>1</v>
      </c>
      <c r="G55" s="14" t="s">
        <v>77</v>
      </c>
      <c r="H55" s="14" t="s">
        <v>77</v>
      </c>
      <c r="I55" s="6" t="s">
        <v>204</v>
      </c>
      <c r="J55" s="16" t="s">
        <v>77</v>
      </c>
      <c r="K55" s="16" t="s">
        <v>77</v>
      </c>
      <c r="L55" s="7">
        <v>46356</v>
      </c>
      <c r="M55" s="49"/>
      <c r="N55" s="50">
        <f ca="1">Tabela4[[#This Row],[Prazo
Entrega]]-TODAY()</f>
        <v>159</v>
      </c>
      <c r="O55" s="51" t="str">
        <f ca="1">IF(N55&lt;0,"ATRASADO",IF(N55&lt;=15,"ATENÇÃO","NO PRAZO"))</f>
        <v>NO PRAZO</v>
      </c>
      <c r="P55" s="10" t="s">
        <v>43</v>
      </c>
      <c r="Q55" s="11">
        <v>46203</v>
      </c>
      <c r="R55" s="53" t="s">
        <v>100</v>
      </c>
      <c r="S55" t="s">
        <v>120</v>
      </c>
      <c r="T55" s="49"/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202</v>
      </c>
      <c r="F56" s="14">
        <v>1</v>
      </c>
      <c r="G56" s="14" t="s">
        <v>77</v>
      </c>
      <c r="H56" s="14" t="s">
        <v>77</v>
      </c>
      <c r="I56" s="6" t="s">
        <v>205</v>
      </c>
      <c r="J56" s="16" t="s">
        <v>77</v>
      </c>
      <c r="K56" s="16" t="s">
        <v>77</v>
      </c>
      <c r="L56" s="7">
        <v>46356</v>
      </c>
      <c r="M56" s="49"/>
      <c r="N56" s="50">
        <f ca="1">Tabela4[[#This Row],[Prazo
Entrega]]-TODAY()</f>
        <v>159</v>
      </c>
      <c r="O56" s="51" t="str">
        <f ca="1">IF(N56&lt;0,"ATRASADO",IF(N56&lt;=15,"ATENÇÃO","NO PRAZO"))</f>
        <v>NO PRAZO</v>
      </c>
      <c r="P56" s="10" t="s">
        <v>43</v>
      </c>
      <c r="Q56" s="11">
        <v>46203</v>
      </c>
      <c r="R56" s="53" t="s">
        <v>100</v>
      </c>
      <c r="S56" t="s">
        <v>120</v>
      </c>
      <c r="T56" s="49"/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202</v>
      </c>
      <c r="F57" s="14">
        <v>1</v>
      </c>
      <c r="G57" s="14" t="s">
        <v>77</v>
      </c>
      <c r="H57" s="14" t="s">
        <v>77</v>
      </c>
      <c r="I57" s="6" t="s">
        <v>205</v>
      </c>
      <c r="J57" s="16" t="s">
        <v>77</v>
      </c>
      <c r="K57" s="16" t="s">
        <v>77</v>
      </c>
      <c r="L57" s="7">
        <v>46356</v>
      </c>
      <c r="M57" s="49"/>
      <c r="N57" s="50">
        <f ca="1">Tabela4[[#This Row],[Prazo
Entrega]]-TODAY()</f>
        <v>159</v>
      </c>
      <c r="O57" s="51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53" t="s">
        <v>100</v>
      </c>
      <c r="S57" t="s">
        <v>120</v>
      </c>
      <c r="T57" s="49"/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202</v>
      </c>
      <c r="F58" s="14">
        <v>1</v>
      </c>
      <c r="G58" s="14" t="s">
        <v>77</v>
      </c>
      <c r="H58" s="14" t="s">
        <v>77</v>
      </c>
      <c r="I58" s="6" t="s">
        <v>206</v>
      </c>
      <c r="J58" s="16" t="s">
        <v>77</v>
      </c>
      <c r="K58" s="16" t="s">
        <v>77</v>
      </c>
      <c r="L58" s="7">
        <v>46356</v>
      </c>
      <c r="M58" s="49"/>
      <c r="N58" s="50">
        <f ca="1">Tabela4[[#This Row],[Prazo
Entrega]]-TODAY()</f>
        <v>159</v>
      </c>
      <c r="O58" s="51" t="str">
        <f t="shared" ca="1" si="7"/>
        <v>NO PRAZO</v>
      </c>
      <c r="P58" s="10" t="s">
        <v>43</v>
      </c>
      <c r="Q58" s="11">
        <v>46203</v>
      </c>
      <c r="R58" s="53" t="s">
        <v>100</v>
      </c>
      <c r="S58" t="s">
        <v>120</v>
      </c>
      <c r="T58" s="49"/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202</v>
      </c>
      <c r="F59" s="14">
        <v>1</v>
      </c>
      <c r="G59" s="14" t="s">
        <v>77</v>
      </c>
      <c r="H59" s="14" t="s">
        <v>77</v>
      </c>
      <c r="I59" s="6" t="s">
        <v>206</v>
      </c>
      <c r="J59" s="16" t="s">
        <v>77</v>
      </c>
      <c r="K59" s="16" t="s">
        <v>77</v>
      </c>
      <c r="L59" s="7">
        <v>46356</v>
      </c>
      <c r="M59" s="49"/>
      <c r="N59" s="50">
        <f ca="1">Tabela4[[#This Row],[Prazo
Entrega]]-TODAY()</f>
        <v>159</v>
      </c>
      <c r="O59" s="51" t="str">
        <f t="shared" ca="1" si="7"/>
        <v>NO PRAZO</v>
      </c>
      <c r="P59" s="10" t="s">
        <v>43</v>
      </c>
      <c r="Q59" s="11">
        <v>46203</v>
      </c>
      <c r="R59" s="53" t="s">
        <v>100</v>
      </c>
      <c r="S59" t="s">
        <v>120</v>
      </c>
      <c r="T59" s="49"/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202</v>
      </c>
      <c r="F60" s="14">
        <v>1</v>
      </c>
      <c r="G60" s="14" t="s">
        <v>77</v>
      </c>
      <c r="H60" s="14" t="s">
        <v>77</v>
      </c>
      <c r="I60" s="6" t="s">
        <v>207</v>
      </c>
      <c r="J60" s="7">
        <v>46295</v>
      </c>
      <c r="K60" s="49"/>
      <c r="L60" s="7">
        <v>46356</v>
      </c>
      <c r="M60" s="49"/>
      <c r="N60" s="50">
        <f ca="1">Tabela4[[#This Row],[Prazo
Entrega]]-TODAY()</f>
        <v>159</v>
      </c>
      <c r="O60" s="51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53" t="s">
        <v>100</v>
      </c>
      <c r="S60" t="s">
        <v>120</v>
      </c>
      <c r="T60" s="49"/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202</v>
      </c>
      <c r="F61" s="14">
        <v>1</v>
      </c>
      <c r="G61" s="14" t="s">
        <v>77</v>
      </c>
      <c r="H61" s="14" t="s">
        <v>77</v>
      </c>
      <c r="I61" s="6" t="s">
        <v>207</v>
      </c>
      <c r="J61" s="7">
        <v>46295</v>
      </c>
      <c r="K61" s="49"/>
      <c r="L61" s="7">
        <v>46356</v>
      </c>
      <c r="M61" s="49"/>
      <c r="N61" s="50">
        <f ca="1">Tabela4[[#This Row],[Prazo
Entrega]]-TODAY()</f>
        <v>159</v>
      </c>
      <c r="O61" s="51" t="str">
        <f t="shared" ca="1" si="8"/>
        <v>NO PRAZO</v>
      </c>
      <c r="P61" s="10" t="s">
        <v>43</v>
      </c>
      <c r="Q61" s="11">
        <v>46203</v>
      </c>
      <c r="R61" s="53" t="s">
        <v>100</v>
      </c>
      <c r="S61" t="s">
        <v>120</v>
      </c>
      <c r="T61" s="49"/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202</v>
      </c>
      <c r="F62" s="14">
        <v>1</v>
      </c>
      <c r="G62" s="14" t="s">
        <v>77</v>
      </c>
      <c r="H62" s="14" t="s">
        <v>77</v>
      </c>
      <c r="I62" s="6" t="s">
        <v>208</v>
      </c>
      <c r="J62" s="7">
        <v>46295</v>
      </c>
      <c r="K62" s="49"/>
      <c r="L62" s="7">
        <v>46356</v>
      </c>
      <c r="M62" s="49"/>
      <c r="N62" s="50">
        <f ca="1">Tabela4[[#This Row],[Prazo
Entrega]]-TODAY()</f>
        <v>159</v>
      </c>
      <c r="O62" s="51" t="str">
        <f t="shared" ca="1" si="8"/>
        <v>NO PRAZO</v>
      </c>
      <c r="P62" s="10" t="s">
        <v>43</v>
      </c>
      <c r="Q62" s="11">
        <v>46203</v>
      </c>
      <c r="R62" s="53" t="s">
        <v>100</v>
      </c>
      <c r="S62" t="s">
        <v>120</v>
      </c>
      <c r="T62" s="49"/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202</v>
      </c>
      <c r="F63" s="14">
        <v>1</v>
      </c>
      <c r="G63" s="14" t="s">
        <v>77</v>
      </c>
      <c r="H63" s="14" t="s">
        <v>77</v>
      </c>
      <c r="I63" s="6" t="s">
        <v>209</v>
      </c>
      <c r="J63" s="16" t="s">
        <v>77</v>
      </c>
      <c r="K63" s="16" t="s">
        <v>77</v>
      </c>
      <c r="L63" s="7">
        <v>46356</v>
      </c>
      <c r="M63" s="49"/>
      <c r="N63" s="50">
        <f ca="1">Tabela4[[#This Row],[Prazo
Entrega]]-TODAY()</f>
        <v>159</v>
      </c>
      <c r="O63" s="51" t="str">
        <f ca="1">IF(N63&lt;0,"ATRASADO",IF(N63&lt;=15,"ATENÇÃO","NO PRAZO"))</f>
        <v>NO PRAZO</v>
      </c>
      <c r="P63" s="16" t="s">
        <v>77</v>
      </c>
      <c r="Q63" s="59">
        <v>46233</v>
      </c>
      <c r="R63" s="53" t="s">
        <v>100</v>
      </c>
      <c r="S63" t="s">
        <v>120</v>
      </c>
      <c r="T63" s="49"/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202</v>
      </c>
      <c r="F64" s="14">
        <v>1</v>
      </c>
      <c r="G64" s="14" t="s">
        <v>77</v>
      </c>
      <c r="H64" s="14" t="s">
        <v>77</v>
      </c>
      <c r="I64" s="6" t="s">
        <v>209</v>
      </c>
      <c r="J64" s="16" t="s">
        <v>77</v>
      </c>
      <c r="K64" s="16" t="s">
        <v>77</v>
      </c>
      <c r="L64" s="7">
        <v>46356</v>
      </c>
      <c r="M64" s="49"/>
      <c r="N64" s="50">
        <f ca="1">Tabela4[[#This Row],[Prazo
Entrega]]-TODAY()</f>
        <v>159</v>
      </c>
      <c r="O64" s="51" t="str">
        <f t="shared" ref="O64:O76" ca="1" si="9">IF(N64&lt;0,"ATRASADO",IF(N64&lt;=15,"ATENÇÃO","NO PRAZO"))</f>
        <v>NO PRAZO</v>
      </c>
      <c r="P64" s="16" t="s">
        <v>77</v>
      </c>
      <c r="Q64" s="59">
        <v>46233</v>
      </c>
      <c r="R64" s="53" t="s">
        <v>100</v>
      </c>
      <c r="S64" t="s">
        <v>120</v>
      </c>
      <c r="T64" s="49"/>
    </row>
    <row r="65" spans="1:20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202</v>
      </c>
      <c r="F65" s="14">
        <v>1</v>
      </c>
      <c r="G65" s="14" t="s">
        <v>77</v>
      </c>
      <c r="H65" s="14" t="s">
        <v>77</v>
      </c>
      <c r="I65" s="6" t="s">
        <v>209</v>
      </c>
      <c r="J65" s="16" t="s">
        <v>77</v>
      </c>
      <c r="K65" s="16" t="s">
        <v>77</v>
      </c>
      <c r="L65" s="7">
        <v>46356</v>
      </c>
      <c r="M65" s="49"/>
      <c r="N65" s="50">
        <f ca="1">Tabela4[[#This Row],[Prazo
Entrega]]-TODAY()</f>
        <v>159</v>
      </c>
      <c r="O65" s="51" t="str">
        <f t="shared" ca="1" si="9"/>
        <v>NO PRAZO</v>
      </c>
      <c r="P65" s="16" t="s">
        <v>77</v>
      </c>
      <c r="Q65" s="59">
        <v>46233</v>
      </c>
      <c r="R65" s="53" t="s">
        <v>100</v>
      </c>
      <c r="S65" t="s">
        <v>120</v>
      </c>
      <c r="T65" s="49"/>
    </row>
    <row r="66" spans="1:20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202</v>
      </c>
      <c r="F66" s="14">
        <v>1</v>
      </c>
      <c r="G66" s="14" t="s">
        <v>77</v>
      </c>
      <c r="H66" s="14" t="s">
        <v>77</v>
      </c>
      <c r="I66" s="6" t="s">
        <v>209</v>
      </c>
      <c r="J66" s="16" t="s">
        <v>77</v>
      </c>
      <c r="K66" s="16" t="s">
        <v>77</v>
      </c>
      <c r="L66" s="7">
        <v>46356</v>
      </c>
      <c r="M66" s="49"/>
      <c r="N66" s="50">
        <f ca="1">Tabela4[[#This Row],[Prazo
Entrega]]-TODAY()</f>
        <v>159</v>
      </c>
      <c r="O66" s="51" t="str">
        <f t="shared" ca="1" si="9"/>
        <v>NO PRAZO</v>
      </c>
      <c r="P66" s="16" t="s">
        <v>77</v>
      </c>
      <c r="Q66" s="59">
        <v>46233</v>
      </c>
      <c r="R66" s="53" t="s">
        <v>100</v>
      </c>
      <c r="S66" t="s">
        <v>120</v>
      </c>
      <c r="T66" s="49"/>
    </row>
    <row r="67" spans="1:20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202</v>
      </c>
      <c r="F67" s="14">
        <v>1</v>
      </c>
      <c r="G67" s="14" t="s">
        <v>77</v>
      </c>
      <c r="H67" s="14" t="s">
        <v>77</v>
      </c>
      <c r="I67" s="6" t="s">
        <v>209</v>
      </c>
      <c r="J67" s="16" t="s">
        <v>77</v>
      </c>
      <c r="K67" s="16" t="s">
        <v>77</v>
      </c>
      <c r="L67" s="7">
        <v>46356</v>
      </c>
      <c r="M67" s="49"/>
      <c r="N67" s="50">
        <f ca="1">Tabela4[[#This Row],[Prazo
Entrega]]-TODAY()</f>
        <v>159</v>
      </c>
      <c r="O67" s="51" t="str">
        <f t="shared" ca="1" si="9"/>
        <v>NO PRAZO</v>
      </c>
      <c r="P67" s="16" t="s">
        <v>77</v>
      </c>
      <c r="Q67" s="59">
        <v>46233</v>
      </c>
      <c r="R67" s="53" t="s">
        <v>100</v>
      </c>
      <c r="S67" t="s">
        <v>120</v>
      </c>
      <c r="T67" s="49"/>
    </row>
    <row r="68" spans="1:20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202</v>
      </c>
      <c r="F68" s="14">
        <v>1</v>
      </c>
      <c r="G68" s="14" t="s">
        <v>77</v>
      </c>
      <c r="H68" s="14" t="s">
        <v>77</v>
      </c>
      <c r="I68" s="6" t="s">
        <v>210</v>
      </c>
      <c r="J68" s="16" t="s">
        <v>77</v>
      </c>
      <c r="K68" s="16" t="s">
        <v>77</v>
      </c>
      <c r="L68" s="7">
        <v>46356</v>
      </c>
      <c r="M68" s="49"/>
      <c r="N68" s="50">
        <f ca="1">Tabela4[[#This Row],[Prazo
Entrega]]-TODAY()</f>
        <v>159</v>
      </c>
      <c r="O68" s="51" t="str">
        <f t="shared" ca="1" si="9"/>
        <v>NO PRAZO</v>
      </c>
      <c r="P68" s="16" t="s">
        <v>77</v>
      </c>
      <c r="Q68" s="59">
        <v>46233</v>
      </c>
      <c r="R68" s="53" t="s">
        <v>100</v>
      </c>
      <c r="S68" t="s">
        <v>120</v>
      </c>
      <c r="T68" s="49"/>
    </row>
    <row r="69" spans="1:20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202</v>
      </c>
      <c r="F69" s="14">
        <v>1</v>
      </c>
      <c r="G69" s="14" t="s">
        <v>77</v>
      </c>
      <c r="H69" s="14" t="s">
        <v>77</v>
      </c>
      <c r="I69" s="6" t="s">
        <v>210</v>
      </c>
      <c r="J69" s="16" t="s">
        <v>77</v>
      </c>
      <c r="K69" s="16" t="s">
        <v>77</v>
      </c>
      <c r="L69" s="7">
        <v>46356</v>
      </c>
      <c r="M69" s="49"/>
      <c r="N69" s="50">
        <f ca="1">Tabela4[[#This Row],[Prazo
Entrega]]-TODAY()</f>
        <v>159</v>
      </c>
      <c r="O69" s="51" t="str">
        <f t="shared" ca="1" si="9"/>
        <v>NO PRAZO</v>
      </c>
      <c r="P69" s="16" t="s">
        <v>77</v>
      </c>
      <c r="Q69" s="59">
        <v>46233</v>
      </c>
      <c r="R69" s="53" t="s">
        <v>100</v>
      </c>
      <c r="S69" t="s">
        <v>120</v>
      </c>
      <c r="T69" s="49"/>
    </row>
    <row r="70" spans="1:20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202</v>
      </c>
      <c r="F70" s="14">
        <v>1</v>
      </c>
      <c r="G70" s="14" t="s">
        <v>77</v>
      </c>
      <c r="H70" s="14" t="s">
        <v>77</v>
      </c>
      <c r="I70" s="6" t="s">
        <v>210</v>
      </c>
      <c r="J70" s="16" t="s">
        <v>77</v>
      </c>
      <c r="K70" s="16" t="s">
        <v>77</v>
      </c>
      <c r="L70" s="7">
        <v>46356</v>
      </c>
      <c r="M70" s="49"/>
      <c r="N70" s="50">
        <f ca="1">Tabela4[[#This Row],[Prazo
Entrega]]-TODAY()</f>
        <v>159</v>
      </c>
      <c r="O70" s="51" t="str">
        <f t="shared" ca="1" si="9"/>
        <v>NO PRAZO</v>
      </c>
      <c r="P70" s="16" t="s">
        <v>77</v>
      </c>
      <c r="Q70" s="59">
        <v>46233</v>
      </c>
      <c r="R70" s="53" t="s">
        <v>100</v>
      </c>
      <c r="S70" t="s">
        <v>120</v>
      </c>
      <c r="T70" s="49"/>
    </row>
    <row r="71" spans="1:20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202</v>
      </c>
      <c r="F71" s="14">
        <v>1</v>
      </c>
      <c r="G71" s="14" t="s">
        <v>77</v>
      </c>
      <c r="H71" s="14" t="s">
        <v>77</v>
      </c>
      <c r="I71" s="6" t="s">
        <v>210</v>
      </c>
      <c r="J71" s="16" t="s">
        <v>77</v>
      </c>
      <c r="K71" s="16" t="s">
        <v>77</v>
      </c>
      <c r="L71" s="7">
        <v>46356</v>
      </c>
      <c r="M71" s="49"/>
      <c r="N71" s="50">
        <f ca="1">Tabela4[[#This Row],[Prazo
Entrega]]-TODAY()</f>
        <v>159</v>
      </c>
      <c r="O71" s="51" t="str">
        <f t="shared" ca="1" si="9"/>
        <v>NO PRAZO</v>
      </c>
      <c r="P71" s="16" t="s">
        <v>77</v>
      </c>
      <c r="Q71" s="59">
        <v>46233</v>
      </c>
      <c r="R71" s="53" t="s">
        <v>100</v>
      </c>
      <c r="S71" t="s">
        <v>120</v>
      </c>
      <c r="T71" s="49"/>
    </row>
    <row r="72" spans="1:20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202</v>
      </c>
      <c r="F72" s="14">
        <v>1</v>
      </c>
      <c r="G72" s="14" t="s">
        <v>77</v>
      </c>
      <c r="H72" s="14" t="s">
        <v>77</v>
      </c>
      <c r="I72" s="6" t="s">
        <v>210</v>
      </c>
      <c r="J72" s="16" t="s">
        <v>77</v>
      </c>
      <c r="K72" s="16" t="s">
        <v>77</v>
      </c>
      <c r="L72" s="7">
        <v>46356</v>
      </c>
      <c r="M72" s="49"/>
      <c r="N72" s="50">
        <f ca="1">Tabela4[[#This Row],[Prazo
Entrega]]-TODAY()</f>
        <v>159</v>
      </c>
      <c r="O72" s="51" t="str">
        <f t="shared" ca="1" si="9"/>
        <v>NO PRAZO</v>
      </c>
      <c r="P72" s="16" t="s">
        <v>77</v>
      </c>
      <c r="Q72" s="59">
        <v>46233</v>
      </c>
      <c r="R72" s="53" t="s">
        <v>100</v>
      </c>
      <c r="S72" t="s">
        <v>120</v>
      </c>
      <c r="T72" s="49"/>
    </row>
    <row r="73" spans="1:20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202</v>
      </c>
      <c r="F73" s="14">
        <v>1</v>
      </c>
      <c r="G73" s="14" t="s">
        <v>77</v>
      </c>
      <c r="H73" s="14" t="s">
        <v>77</v>
      </c>
      <c r="I73" s="6" t="s">
        <v>210</v>
      </c>
      <c r="J73" s="16" t="s">
        <v>77</v>
      </c>
      <c r="K73" s="16" t="s">
        <v>77</v>
      </c>
      <c r="L73" s="7">
        <v>46356</v>
      </c>
      <c r="M73" s="49"/>
      <c r="N73" s="50">
        <f ca="1">Tabela4[[#This Row],[Prazo
Entrega]]-TODAY()</f>
        <v>159</v>
      </c>
      <c r="O73" s="51" t="str">
        <f t="shared" ca="1" si="9"/>
        <v>NO PRAZO</v>
      </c>
      <c r="P73" s="16" t="s">
        <v>77</v>
      </c>
      <c r="Q73" s="59">
        <v>46233</v>
      </c>
      <c r="R73" s="53" t="s">
        <v>100</v>
      </c>
      <c r="S73" t="s">
        <v>120</v>
      </c>
      <c r="T73" s="49"/>
    </row>
    <row r="74" spans="1:20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202</v>
      </c>
      <c r="F74" s="14">
        <v>1</v>
      </c>
      <c r="G74" s="14" t="s">
        <v>77</v>
      </c>
      <c r="H74" s="14" t="s">
        <v>77</v>
      </c>
      <c r="I74" s="6" t="s">
        <v>210</v>
      </c>
      <c r="J74" s="16" t="s">
        <v>77</v>
      </c>
      <c r="K74" s="16" t="s">
        <v>77</v>
      </c>
      <c r="L74" s="7">
        <v>46356</v>
      </c>
      <c r="M74" s="49"/>
      <c r="N74" s="50">
        <f ca="1">Tabela4[[#This Row],[Prazo
Entrega]]-TODAY()</f>
        <v>159</v>
      </c>
      <c r="O74" s="51" t="str">
        <f t="shared" ca="1" si="9"/>
        <v>NO PRAZO</v>
      </c>
      <c r="P74" s="16" t="s">
        <v>77</v>
      </c>
      <c r="Q74" s="59">
        <v>46233</v>
      </c>
      <c r="R74" s="53" t="s">
        <v>100</v>
      </c>
      <c r="S74" t="s">
        <v>120</v>
      </c>
      <c r="T74" s="49"/>
    </row>
    <row r="75" spans="1:20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202</v>
      </c>
      <c r="F75" s="14">
        <v>1</v>
      </c>
      <c r="G75" s="14" t="s">
        <v>77</v>
      </c>
      <c r="H75" s="14" t="s">
        <v>77</v>
      </c>
      <c r="I75" s="6" t="s">
        <v>210</v>
      </c>
      <c r="J75" s="16" t="s">
        <v>77</v>
      </c>
      <c r="K75" s="16" t="s">
        <v>77</v>
      </c>
      <c r="L75" s="7">
        <v>46356</v>
      </c>
      <c r="M75" s="49"/>
      <c r="N75" s="50">
        <f ca="1">Tabela4[[#This Row],[Prazo
Entrega]]-TODAY()</f>
        <v>159</v>
      </c>
      <c r="O75" s="51" t="str">
        <f t="shared" ca="1" si="9"/>
        <v>NO PRAZO</v>
      </c>
      <c r="P75" s="16" t="s">
        <v>77</v>
      </c>
      <c r="Q75" s="59">
        <v>46233</v>
      </c>
      <c r="R75" s="53" t="s">
        <v>100</v>
      </c>
      <c r="S75" t="s">
        <v>120</v>
      </c>
      <c r="T75" s="49"/>
    </row>
    <row r="76" spans="1:20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202</v>
      </c>
      <c r="F76" s="14">
        <v>1</v>
      </c>
      <c r="G76" s="14" t="s">
        <v>77</v>
      </c>
      <c r="H76" s="14" t="s">
        <v>77</v>
      </c>
      <c r="I76" s="6" t="s">
        <v>210</v>
      </c>
      <c r="J76" s="16" t="s">
        <v>77</v>
      </c>
      <c r="K76" s="16" t="s">
        <v>77</v>
      </c>
      <c r="L76" s="7">
        <v>46356</v>
      </c>
      <c r="M76" s="49"/>
      <c r="N76" s="50">
        <f ca="1">Tabela4[[#This Row],[Prazo
Entrega]]-TODAY()</f>
        <v>159</v>
      </c>
      <c r="O76" s="51" t="str">
        <f t="shared" ca="1" si="9"/>
        <v>NO PRAZO</v>
      </c>
      <c r="P76" s="16" t="s">
        <v>77</v>
      </c>
      <c r="Q76" s="59">
        <v>46233</v>
      </c>
      <c r="R76" s="53" t="s">
        <v>100</v>
      </c>
      <c r="S76" t="s">
        <v>120</v>
      </c>
      <c r="T76" s="49"/>
    </row>
    <row r="77" spans="1:20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202</v>
      </c>
      <c r="F77" s="14">
        <v>1</v>
      </c>
      <c r="G77" s="14" t="s">
        <v>77</v>
      </c>
      <c r="H77" s="14" t="s">
        <v>77</v>
      </c>
      <c r="I77" s="6" t="s">
        <v>210</v>
      </c>
      <c r="J77" s="16" t="s">
        <v>77</v>
      </c>
      <c r="K77" s="16" t="s">
        <v>77</v>
      </c>
      <c r="L77" s="7">
        <v>46356</v>
      </c>
      <c r="M77" s="49"/>
      <c r="N77" s="50">
        <f ca="1">Tabela4[[#This Row],[Prazo
Entrega]]-TODAY()</f>
        <v>159</v>
      </c>
      <c r="O77" s="51" t="str">
        <f ca="1">IF(N77&lt;0,"ATRASADO",IF(N77&lt;=15,"ATENÇÃO","NO PRAZO"))</f>
        <v>NO PRAZO</v>
      </c>
      <c r="P77" s="16" t="s">
        <v>77</v>
      </c>
      <c r="Q77" s="59">
        <v>46233</v>
      </c>
      <c r="R77" s="53" t="s">
        <v>100</v>
      </c>
      <c r="S77" t="s">
        <v>120</v>
      </c>
      <c r="T77" s="49"/>
    </row>
    <row r="78" spans="1:20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202</v>
      </c>
      <c r="F78" s="14">
        <v>160</v>
      </c>
      <c r="G78" s="14" t="s">
        <v>77</v>
      </c>
      <c r="H78" s="14" t="s">
        <v>77</v>
      </c>
      <c r="I78" s="6" t="s">
        <v>211</v>
      </c>
      <c r="J78" s="16" t="s">
        <v>77</v>
      </c>
      <c r="K78" s="16" t="s">
        <v>77</v>
      </c>
      <c r="L78" s="7">
        <v>46356</v>
      </c>
      <c r="M78" s="49"/>
      <c r="N78" s="50">
        <f ca="1">Tabela4[[#This Row],[Prazo
Entrega]]-TODAY()</f>
        <v>159</v>
      </c>
      <c r="O78" s="51" t="str">
        <f t="shared" ref="O78:O80" ca="1" si="10">IF(N78&lt;0,"ATRASADO",IF(N78&lt;=15,"ATENÇÃO","NO PRAZO"))</f>
        <v>NO PRAZO</v>
      </c>
      <c r="P78" s="16" t="s">
        <v>77</v>
      </c>
      <c r="Q78" s="59">
        <v>46233</v>
      </c>
      <c r="R78" s="53" t="s">
        <v>100</v>
      </c>
      <c r="S78" t="s">
        <v>120</v>
      </c>
      <c r="T78" s="49"/>
    </row>
    <row r="79" spans="1:20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202</v>
      </c>
      <c r="F79" s="14">
        <v>160</v>
      </c>
      <c r="G79" s="14" t="s">
        <v>77</v>
      </c>
      <c r="H79" s="14" t="s">
        <v>77</v>
      </c>
      <c r="I79" s="6" t="s">
        <v>212</v>
      </c>
      <c r="J79" s="16" t="s">
        <v>77</v>
      </c>
      <c r="K79" s="16" t="s">
        <v>77</v>
      </c>
      <c r="L79" s="7">
        <v>46356</v>
      </c>
      <c r="M79" s="49"/>
      <c r="N79" s="50">
        <f ca="1">Tabela4[[#This Row],[Prazo
Entrega]]-TODAY()</f>
        <v>159</v>
      </c>
      <c r="O79" s="51" t="str">
        <f t="shared" ca="1" si="10"/>
        <v>NO PRAZO</v>
      </c>
      <c r="P79" s="16" t="s">
        <v>77</v>
      </c>
      <c r="Q79" s="59">
        <v>46233</v>
      </c>
      <c r="R79" s="53" t="s">
        <v>100</v>
      </c>
      <c r="S79" t="s">
        <v>120</v>
      </c>
      <c r="T79" s="49"/>
    </row>
    <row r="80" spans="1:20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202</v>
      </c>
      <c r="F80" s="14">
        <v>20</v>
      </c>
      <c r="G80" s="14" t="s">
        <v>77</v>
      </c>
      <c r="H80" s="14" t="s">
        <v>77</v>
      </c>
      <c r="I80" s="6" t="s">
        <v>213</v>
      </c>
      <c r="J80" s="16" t="s">
        <v>77</v>
      </c>
      <c r="K80" s="16" t="s">
        <v>77</v>
      </c>
      <c r="L80" s="7">
        <v>46356</v>
      </c>
      <c r="M80" s="49"/>
      <c r="N80" s="50">
        <f ca="1">Tabela4[[#This Row],[Prazo
Entrega]]-TODAY()</f>
        <v>159</v>
      </c>
      <c r="O80" s="51" t="str">
        <f t="shared" ca="1" si="10"/>
        <v>NO PRAZO</v>
      </c>
      <c r="P80" s="16" t="s">
        <v>77</v>
      </c>
      <c r="Q80" s="59">
        <v>46233</v>
      </c>
      <c r="R80" s="53" t="s">
        <v>100</v>
      </c>
      <c r="S80" t="s">
        <v>120</v>
      </c>
      <c r="T80" s="49"/>
    </row>
    <row r="81" spans="1:20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202</v>
      </c>
      <c r="F81" s="14">
        <v>1</v>
      </c>
      <c r="G81" s="14" t="s">
        <v>77</v>
      </c>
      <c r="H81" s="14" t="s">
        <v>77</v>
      </c>
      <c r="I81" s="6" t="s">
        <v>214</v>
      </c>
      <c r="J81" s="16" t="s">
        <v>77</v>
      </c>
      <c r="K81" s="16" t="s">
        <v>77</v>
      </c>
      <c r="L81" s="7">
        <v>46356</v>
      </c>
      <c r="M81" s="49"/>
      <c r="N81" s="50">
        <f ca="1">Tabela4[[#This Row],[Prazo
Entrega]]-TODAY()</f>
        <v>159</v>
      </c>
      <c r="O81" s="51" t="str">
        <f ca="1">IF(N81&lt;0,"ATRASADO",IF(N81&lt;=15,"ATENÇÃO","NO PRAZO"))</f>
        <v>NO PRAZO</v>
      </c>
      <c r="P81" s="16" t="s">
        <v>77</v>
      </c>
      <c r="Q81" s="59">
        <v>46233</v>
      </c>
      <c r="R81" s="53" t="s">
        <v>100</v>
      </c>
      <c r="S81" t="s">
        <v>120</v>
      </c>
      <c r="T81" s="49"/>
    </row>
    <row r="82" spans="1:20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202</v>
      </c>
      <c r="F82" s="14">
        <v>1</v>
      </c>
      <c r="G82" s="14" t="s">
        <v>77</v>
      </c>
      <c r="H82" s="14" t="s">
        <v>77</v>
      </c>
      <c r="I82" s="6" t="s">
        <v>214</v>
      </c>
      <c r="J82" s="16" t="s">
        <v>77</v>
      </c>
      <c r="K82" s="16" t="s">
        <v>77</v>
      </c>
      <c r="L82" s="7">
        <v>46356</v>
      </c>
      <c r="M82" s="49"/>
      <c r="N82" s="50">
        <f ca="1">Tabela4[[#This Row],[Prazo
Entrega]]-TODAY()</f>
        <v>159</v>
      </c>
      <c r="O82" s="51" t="str">
        <f ca="1">IF(N82&lt;0,"ATRASADO",IF(N82&lt;=15,"ATENÇÃO","NO PRAZO"))</f>
        <v>NO PRAZO</v>
      </c>
      <c r="P82" s="16" t="s">
        <v>77</v>
      </c>
      <c r="Q82" s="59">
        <v>46233</v>
      </c>
      <c r="R82" s="53" t="s">
        <v>100</v>
      </c>
      <c r="S82" t="s">
        <v>120</v>
      </c>
      <c r="T82" s="49"/>
    </row>
    <row r="83" spans="1:20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202</v>
      </c>
      <c r="F83" s="14">
        <v>1</v>
      </c>
      <c r="G83" s="14" t="s">
        <v>77</v>
      </c>
      <c r="H83" s="14" t="s">
        <v>77</v>
      </c>
      <c r="I83" s="6" t="s">
        <v>215</v>
      </c>
      <c r="J83" s="16" t="s">
        <v>77</v>
      </c>
      <c r="K83" s="16" t="s">
        <v>77</v>
      </c>
      <c r="L83" s="7">
        <v>46356</v>
      </c>
      <c r="M83" s="49"/>
      <c r="N83" s="50">
        <f ca="1">Tabela4[[#This Row],[Prazo
Entrega]]-TODAY()</f>
        <v>159</v>
      </c>
      <c r="O83" s="51" t="str">
        <f ca="1">IF(N83&lt;0,"ATRASADO",IF(N83&lt;=15,"ATENÇÃO","NO PRAZO"))</f>
        <v>NO PRAZO</v>
      </c>
      <c r="P83" s="16" t="s">
        <v>77</v>
      </c>
      <c r="Q83" s="59">
        <v>46233</v>
      </c>
      <c r="R83" s="53" t="s">
        <v>100</v>
      </c>
      <c r="S83" t="s">
        <v>120</v>
      </c>
      <c r="T83" s="49"/>
    </row>
    <row r="84" spans="1:20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202</v>
      </c>
      <c r="F84" s="14">
        <v>1</v>
      </c>
      <c r="G84" s="14" t="s">
        <v>77</v>
      </c>
      <c r="H84" s="14" t="s">
        <v>77</v>
      </c>
      <c r="I84" s="6" t="s">
        <v>215</v>
      </c>
      <c r="J84" s="16" t="s">
        <v>77</v>
      </c>
      <c r="K84" s="16" t="s">
        <v>77</v>
      </c>
      <c r="L84" s="7">
        <v>46356</v>
      </c>
      <c r="M84" s="49"/>
      <c r="N84" s="50">
        <f ca="1">Tabela4[[#This Row],[Prazo
Entrega]]-TODAY()</f>
        <v>159</v>
      </c>
      <c r="O84" s="51" t="str">
        <f ca="1">IF(N84&lt;0,"ATRASADO",IF(N84&lt;=15,"ATENÇÃO","NO PRAZO"))</f>
        <v>NO PRAZO</v>
      </c>
      <c r="P84" s="16" t="s">
        <v>77</v>
      </c>
      <c r="Q84" s="59">
        <v>46233</v>
      </c>
      <c r="R84" s="53" t="s">
        <v>100</v>
      </c>
      <c r="S84" t="s">
        <v>120</v>
      </c>
      <c r="T84" s="49"/>
    </row>
    <row r="85" spans="1:20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202</v>
      </c>
      <c r="F85" s="14">
        <v>1</v>
      </c>
      <c r="G85" s="14" t="s">
        <v>77</v>
      </c>
      <c r="H85" s="14" t="s">
        <v>77</v>
      </c>
      <c r="I85" s="6" t="s">
        <v>216</v>
      </c>
      <c r="J85" s="16" t="s">
        <v>77</v>
      </c>
      <c r="K85" s="16" t="s">
        <v>77</v>
      </c>
      <c r="L85" s="7">
        <v>46356</v>
      </c>
      <c r="M85" s="49"/>
      <c r="N85" s="50">
        <f ca="1">Tabela4[[#This Row],[Prazo
Entrega]]-TODAY()</f>
        <v>159</v>
      </c>
      <c r="O85" s="51" t="str">
        <f ca="1">IF(N85&lt;0,"ATRASADO",IF(N85&lt;=15,"ATENÇÃO","NO PRAZO"))</f>
        <v>NO PRAZO</v>
      </c>
      <c r="P85" s="16" t="s">
        <v>77</v>
      </c>
      <c r="Q85" s="59">
        <v>46233</v>
      </c>
      <c r="R85" s="53" t="s">
        <v>100</v>
      </c>
      <c r="S85" t="s">
        <v>120</v>
      </c>
      <c r="T85" s="49"/>
    </row>
    <row r="86" spans="1:20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202</v>
      </c>
      <c r="F86" s="14">
        <v>1</v>
      </c>
      <c r="G86" s="14" t="s">
        <v>77</v>
      </c>
      <c r="H86" s="14" t="s">
        <v>77</v>
      </c>
      <c r="I86" s="6" t="s">
        <v>216</v>
      </c>
      <c r="J86" s="16" t="s">
        <v>77</v>
      </c>
      <c r="K86" s="16" t="s">
        <v>77</v>
      </c>
      <c r="L86" s="7">
        <v>46356</v>
      </c>
      <c r="M86" s="49"/>
      <c r="N86" s="50">
        <f ca="1">Tabela4[[#This Row],[Prazo
Entrega]]-TODAY()</f>
        <v>159</v>
      </c>
      <c r="O86" s="51" t="str">
        <f ca="1">IF(N86&lt;0,"ATRASADO",IF(N86&lt;=15,"ATENÇÃO","NO PRAZO"))</f>
        <v>NO PRAZO</v>
      </c>
      <c r="P86" s="16" t="s">
        <v>77</v>
      </c>
      <c r="Q86" s="59">
        <v>46233</v>
      </c>
      <c r="R86" s="53" t="s">
        <v>100</v>
      </c>
      <c r="S86" t="s">
        <v>120</v>
      </c>
      <c r="T86" s="49"/>
    </row>
    <row r="87" spans="1:20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202</v>
      </c>
      <c r="F87" s="14">
        <v>1</v>
      </c>
      <c r="G87" s="14" t="s">
        <v>77</v>
      </c>
      <c r="H87" s="14" t="s">
        <v>77</v>
      </c>
      <c r="I87" s="6" t="s">
        <v>216</v>
      </c>
      <c r="J87" s="16" t="s">
        <v>77</v>
      </c>
      <c r="K87" s="16" t="s">
        <v>77</v>
      </c>
      <c r="L87" s="7">
        <v>46356</v>
      </c>
      <c r="M87" s="49"/>
      <c r="N87" s="50">
        <f ca="1">Tabela4[[#This Row],[Prazo
Entrega]]-TODAY()</f>
        <v>159</v>
      </c>
      <c r="O87" s="51" t="str">
        <f ca="1">IF(N87&lt;0,"ATRASADO",IF(N87&lt;=15,"ATENÇÃO","NO PRAZO"))</f>
        <v>NO PRAZO</v>
      </c>
      <c r="P87" s="16" t="s">
        <v>77</v>
      </c>
      <c r="Q87" s="59">
        <v>46233</v>
      </c>
      <c r="R87" s="53" t="s">
        <v>100</v>
      </c>
      <c r="S87" t="s">
        <v>120</v>
      </c>
      <c r="T87" s="49"/>
    </row>
    <row r="88" spans="1:20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202</v>
      </c>
      <c r="F88" s="14">
        <v>1</v>
      </c>
      <c r="G88" s="14" t="s">
        <v>77</v>
      </c>
      <c r="H88" s="14" t="s">
        <v>77</v>
      </c>
      <c r="I88" s="6" t="s">
        <v>216</v>
      </c>
      <c r="J88" s="16" t="s">
        <v>77</v>
      </c>
      <c r="K88" s="16" t="s">
        <v>77</v>
      </c>
      <c r="L88" s="7">
        <v>46356</v>
      </c>
      <c r="M88" s="49"/>
      <c r="N88" s="50">
        <f ca="1">Tabela4[[#This Row],[Prazo
Entrega]]-TODAY()</f>
        <v>159</v>
      </c>
      <c r="O88" s="51" t="str">
        <f ca="1">IF(N88&lt;0,"ATRASADO",IF(N88&lt;=15,"ATENÇÃO","NO PRAZO"))</f>
        <v>NO PRAZO</v>
      </c>
      <c r="P88" s="16" t="s">
        <v>77</v>
      </c>
      <c r="Q88" s="59">
        <v>46233</v>
      </c>
      <c r="R88" s="53" t="s">
        <v>100</v>
      </c>
      <c r="S88" t="s">
        <v>120</v>
      </c>
      <c r="T88" s="49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D1"/>
  <sheetViews>
    <sheetView workbookViewId="0">
      <selection activeCell="G15" sqref="G15"/>
    </sheetView>
  </sheetViews>
  <sheetFormatPr defaultRowHeight="15" x14ac:dyDescent="0.25"/>
  <sheetData>
    <row r="1" spans="1:4" x14ac:dyDescent="0.25">
      <c r="A1" t="s">
        <v>7</v>
      </c>
      <c r="B1" t="s">
        <v>200</v>
      </c>
      <c r="C1" t="s">
        <v>49</v>
      </c>
      <c r="D1" t="s">
        <v>201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S53"/>
  <sheetViews>
    <sheetView tabSelected="1" workbookViewId="0">
      <selection activeCell="M25" sqref="M25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33.5703125" style="30" customWidth="1"/>
    <col min="4" max="4" width="9.85546875" style="10" bestFit="1" customWidth="1"/>
    <col min="5" max="5" width="100.85546875" style="30" bestFit="1" customWidth="1"/>
    <col min="6" max="6" width="16.7109375" style="10" customWidth="1"/>
    <col min="7" max="7" width="7.140625" style="10" customWidth="1"/>
    <col min="8" max="16" width="16.7109375" style="10" customWidth="1"/>
    <col min="17" max="17" width="13.28515625" style="10" bestFit="1" customWidth="1"/>
  </cols>
  <sheetData>
    <row r="1" spans="1:19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128</v>
      </c>
      <c r="G1" s="21" t="s">
        <v>129</v>
      </c>
      <c r="H1" s="22" t="s">
        <v>190</v>
      </c>
      <c r="I1" s="22" t="s">
        <v>191</v>
      </c>
      <c r="J1" s="22" t="s">
        <v>192</v>
      </c>
      <c r="K1" s="22" t="s">
        <v>193</v>
      </c>
      <c r="L1" s="22" t="s">
        <v>194</v>
      </c>
      <c r="M1" s="22" t="s">
        <v>194</v>
      </c>
      <c r="N1" s="22" t="s">
        <v>195</v>
      </c>
      <c r="O1" s="22" t="s">
        <v>196</v>
      </c>
      <c r="P1" s="22" t="s">
        <v>130</v>
      </c>
      <c r="Q1" s="48" t="s">
        <v>131</v>
      </c>
      <c r="R1" s="48"/>
      <c r="S1" s="48"/>
    </row>
    <row r="2" spans="1:19" x14ac:dyDescent="0.25">
      <c r="A2" s="23">
        <v>27108</v>
      </c>
      <c r="B2" s="23">
        <v>1</v>
      </c>
      <c r="C2" s="24" t="s">
        <v>132</v>
      </c>
      <c r="D2" s="23">
        <v>299368</v>
      </c>
      <c r="E2" s="24" t="s">
        <v>133</v>
      </c>
      <c r="F2" s="25">
        <v>45964</v>
      </c>
      <c r="G2" s="23" t="s">
        <v>134</v>
      </c>
      <c r="H2" s="25">
        <v>46220</v>
      </c>
      <c r="I2" s="25"/>
      <c r="J2" s="25">
        <v>46227</v>
      </c>
      <c r="K2" s="25"/>
      <c r="L2" s="25" t="s">
        <v>77</v>
      </c>
      <c r="M2" s="25"/>
      <c r="N2" s="25" t="s">
        <v>77</v>
      </c>
      <c r="O2" s="25"/>
      <c r="P2" s="25" t="s">
        <v>61</v>
      </c>
      <c r="Q2" s="23">
        <v>285</v>
      </c>
      <c r="R2" s="26"/>
      <c r="S2" s="26"/>
    </row>
    <row r="3" spans="1:19" x14ac:dyDescent="0.25">
      <c r="A3" s="23">
        <v>27330</v>
      </c>
      <c r="B3" s="23">
        <v>1</v>
      </c>
      <c r="C3" s="24" t="s">
        <v>132</v>
      </c>
      <c r="D3" s="23">
        <v>299368</v>
      </c>
      <c r="E3" s="24" t="s">
        <v>133</v>
      </c>
      <c r="F3" s="25">
        <v>46108</v>
      </c>
      <c r="G3" s="23" t="s">
        <v>134</v>
      </c>
      <c r="H3" s="25">
        <v>46220</v>
      </c>
      <c r="I3" s="25"/>
      <c r="J3" s="25">
        <v>46227</v>
      </c>
      <c r="K3" s="25"/>
      <c r="L3" s="25" t="s">
        <v>77</v>
      </c>
      <c r="M3" s="25"/>
      <c r="N3" s="25" t="s">
        <v>77</v>
      </c>
      <c r="O3" s="25"/>
      <c r="P3" s="25" t="s">
        <v>61</v>
      </c>
      <c r="Q3" s="23">
        <v>285</v>
      </c>
      <c r="R3" s="26"/>
      <c r="S3" s="26"/>
    </row>
    <row r="4" spans="1:19" x14ac:dyDescent="0.25">
      <c r="A4" s="27">
        <v>27507</v>
      </c>
      <c r="B4" s="27">
        <v>1</v>
      </c>
      <c r="C4" s="28" t="s">
        <v>135</v>
      </c>
      <c r="D4" s="23">
        <v>1449018</v>
      </c>
      <c r="E4" s="24" t="s">
        <v>136</v>
      </c>
      <c r="F4" s="25">
        <v>46195</v>
      </c>
      <c r="G4" s="23" t="s">
        <v>134</v>
      </c>
      <c r="H4" s="25">
        <v>46196</v>
      </c>
      <c r="I4" s="25"/>
      <c r="J4" s="25">
        <v>46202</v>
      </c>
      <c r="K4" s="25"/>
      <c r="L4" s="25" t="s">
        <v>77</v>
      </c>
      <c r="M4" s="25"/>
      <c r="N4" s="25" t="s">
        <v>77</v>
      </c>
      <c r="O4" s="25"/>
      <c r="P4" s="25" t="s">
        <v>61</v>
      </c>
      <c r="Q4" s="23">
        <v>496</v>
      </c>
      <c r="R4" s="26"/>
      <c r="S4" s="26"/>
    </row>
    <row r="5" spans="1:19" x14ac:dyDescent="0.25">
      <c r="A5" s="27">
        <v>27507</v>
      </c>
      <c r="B5" s="27">
        <v>2</v>
      </c>
      <c r="C5" s="28" t="s">
        <v>135</v>
      </c>
      <c r="D5" s="23">
        <v>1449018</v>
      </c>
      <c r="E5" s="24" t="s">
        <v>136</v>
      </c>
      <c r="F5" s="25">
        <v>46195</v>
      </c>
      <c r="G5" s="23" t="s">
        <v>134</v>
      </c>
      <c r="H5" s="25">
        <v>46196</v>
      </c>
      <c r="I5" s="25"/>
      <c r="J5" s="25">
        <v>46202</v>
      </c>
      <c r="K5" s="25"/>
      <c r="L5" s="25" t="s">
        <v>77</v>
      </c>
      <c r="M5" s="25"/>
      <c r="N5" s="25" t="s">
        <v>77</v>
      </c>
      <c r="O5" s="25"/>
      <c r="P5" s="25" t="s">
        <v>61</v>
      </c>
      <c r="Q5" s="23">
        <v>496</v>
      </c>
      <c r="R5" s="26"/>
      <c r="S5" s="26"/>
    </row>
    <row r="6" spans="1:19" x14ac:dyDescent="0.25">
      <c r="A6" s="23">
        <v>27522</v>
      </c>
      <c r="B6" s="23">
        <v>1</v>
      </c>
      <c r="C6" s="24" t="s">
        <v>132</v>
      </c>
      <c r="D6" s="23">
        <v>299374</v>
      </c>
      <c r="E6" s="24" t="s">
        <v>137</v>
      </c>
      <c r="F6" s="25">
        <v>46204</v>
      </c>
      <c r="G6" s="23" t="s">
        <v>134</v>
      </c>
      <c r="H6" s="25">
        <v>46192</v>
      </c>
      <c r="I6" s="25"/>
      <c r="J6" s="25">
        <v>46197</v>
      </c>
      <c r="K6" s="25"/>
      <c r="L6" s="25" t="s">
        <v>77</v>
      </c>
      <c r="M6" s="25"/>
      <c r="N6" s="25" t="s">
        <v>77</v>
      </c>
      <c r="O6" s="25"/>
      <c r="P6" s="25" t="s">
        <v>61</v>
      </c>
      <c r="Q6" s="23">
        <v>285</v>
      </c>
      <c r="R6" s="26"/>
      <c r="S6" s="26"/>
    </row>
    <row r="7" spans="1:19" x14ac:dyDescent="0.25">
      <c r="A7" s="23">
        <v>27473</v>
      </c>
      <c r="B7" s="23">
        <v>1</v>
      </c>
      <c r="C7" s="24" t="s">
        <v>138</v>
      </c>
      <c r="D7" s="23">
        <v>1281005</v>
      </c>
      <c r="E7" s="24" t="s">
        <v>139</v>
      </c>
      <c r="F7" s="25">
        <v>46209</v>
      </c>
      <c r="G7" s="23" t="s">
        <v>134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189</v>
      </c>
      <c r="Q7" s="23">
        <v>493</v>
      </c>
      <c r="R7" s="26">
        <v>285</v>
      </c>
      <c r="S7" s="26"/>
    </row>
    <row r="8" spans="1:19" x14ac:dyDescent="0.25">
      <c r="A8" s="23">
        <v>27473</v>
      </c>
      <c r="B8" s="23">
        <v>2</v>
      </c>
      <c r="C8" s="24" t="s">
        <v>138</v>
      </c>
      <c r="D8" s="23">
        <v>1281006</v>
      </c>
      <c r="E8" s="24" t="s">
        <v>140</v>
      </c>
      <c r="F8" s="25">
        <v>46209</v>
      </c>
      <c r="G8" s="23" t="s">
        <v>134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189</v>
      </c>
      <c r="Q8" s="23">
        <v>124</v>
      </c>
      <c r="R8" s="26">
        <v>433</v>
      </c>
      <c r="S8" s="26"/>
    </row>
    <row r="9" spans="1:19" x14ac:dyDescent="0.25">
      <c r="A9" s="23">
        <v>27473</v>
      </c>
      <c r="B9" s="23">
        <v>3</v>
      </c>
      <c r="C9" s="24" t="s">
        <v>138</v>
      </c>
      <c r="D9" s="23">
        <v>1281007</v>
      </c>
      <c r="E9" s="24" t="s">
        <v>141</v>
      </c>
      <c r="F9" s="25">
        <v>46209</v>
      </c>
      <c r="G9" s="23" t="s">
        <v>134</v>
      </c>
      <c r="H9" s="25">
        <v>46192</v>
      </c>
      <c r="I9" s="25"/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>
        <v>112</v>
      </c>
      <c r="R9" s="26">
        <v>124</v>
      </c>
      <c r="S9" s="26">
        <v>433</v>
      </c>
    </row>
    <row r="10" spans="1:19" x14ac:dyDescent="0.25">
      <c r="A10" s="23">
        <v>27473</v>
      </c>
      <c r="B10" s="23">
        <v>4</v>
      </c>
      <c r="C10" s="24" t="s">
        <v>138</v>
      </c>
      <c r="D10" s="23">
        <v>1281007</v>
      </c>
      <c r="E10" s="24" t="s">
        <v>141</v>
      </c>
      <c r="F10" s="25">
        <v>46209</v>
      </c>
      <c r="G10" s="23" t="s">
        <v>134</v>
      </c>
      <c r="H10" s="25">
        <v>46192</v>
      </c>
      <c r="I10" s="25"/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>
        <v>112</v>
      </c>
      <c r="R10" s="26">
        <v>124</v>
      </c>
      <c r="S10" s="26">
        <v>433</v>
      </c>
    </row>
    <row r="11" spans="1:19" x14ac:dyDescent="0.25">
      <c r="A11" s="23">
        <v>27473</v>
      </c>
      <c r="B11" s="23">
        <v>5</v>
      </c>
      <c r="C11" s="24" t="s">
        <v>138</v>
      </c>
      <c r="D11" s="23">
        <v>1281007</v>
      </c>
      <c r="E11" s="24" t="s">
        <v>141</v>
      </c>
      <c r="F11" s="25">
        <v>46209</v>
      </c>
      <c r="G11" s="23" t="s">
        <v>134</v>
      </c>
      <c r="H11" s="25">
        <v>46192</v>
      </c>
      <c r="I11" s="25"/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>
        <v>112</v>
      </c>
      <c r="R11" s="26">
        <v>124</v>
      </c>
      <c r="S11" s="26">
        <v>433</v>
      </c>
    </row>
    <row r="12" spans="1:19" x14ac:dyDescent="0.25">
      <c r="A12" s="23">
        <v>27473</v>
      </c>
      <c r="B12" s="23">
        <v>6</v>
      </c>
      <c r="C12" s="24" t="s">
        <v>138</v>
      </c>
      <c r="D12" s="23">
        <v>1281007</v>
      </c>
      <c r="E12" s="24" t="s">
        <v>141</v>
      </c>
      <c r="F12" s="25">
        <v>46209</v>
      </c>
      <c r="G12" s="23" t="s">
        <v>134</v>
      </c>
      <c r="H12" s="25">
        <v>46192</v>
      </c>
      <c r="I12" s="25"/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>
        <v>112</v>
      </c>
      <c r="R12" s="26">
        <v>124</v>
      </c>
      <c r="S12" s="26">
        <v>433</v>
      </c>
    </row>
    <row r="13" spans="1:19" x14ac:dyDescent="0.25">
      <c r="A13" s="23">
        <v>27473</v>
      </c>
      <c r="B13" s="23">
        <v>7</v>
      </c>
      <c r="C13" s="24" t="s">
        <v>138</v>
      </c>
      <c r="D13" s="23">
        <v>1281007</v>
      </c>
      <c r="E13" s="24" t="s">
        <v>141</v>
      </c>
      <c r="F13" s="25">
        <v>46209</v>
      </c>
      <c r="G13" s="23" t="s">
        <v>134</v>
      </c>
      <c r="H13" s="25">
        <v>46192</v>
      </c>
      <c r="I13" s="25"/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>
        <v>112</v>
      </c>
      <c r="R13" s="26">
        <v>124</v>
      </c>
      <c r="S13" s="26">
        <v>433</v>
      </c>
    </row>
    <row r="14" spans="1:19" x14ac:dyDescent="0.25">
      <c r="A14" s="23">
        <v>27473</v>
      </c>
      <c r="B14" s="23">
        <v>8</v>
      </c>
      <c r="C14" s="24" t="s">
        <v>138</v>
      </c>
      <c r="D14" s="23">
        <v>1281008</v>
      </c>
      <c r="E14" s="24" t="s">
        <v>142</v>
      </c>
      <c r="F14" s="25">
        <v>46209</v>
      </c>
      <c r="G14" s="23" t="s">
        <v>134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189</v>
      </c>
      <c r="Q14" s="23">
        <v>112</v>
      </c>
      <c r="R14" s="26">
        <v>124</v>
      </c>
      <c r="S14" s="26">
        <v>433</v>
      </c>
    </row>
    <row r="15" spans="1:19" x14ac:dyDescent="0.25">
      <c r="A15" s="27">
        <v>27416</v>
      </c>
      <c r="B15" s="27">
        <v>1</v>
      </c>
      <c r="C15" s="28" t="s">
        <v>143</v>
      </c>
      <c r="D15" s="23">
        <v>392291</v>
      </c>
      <c r="E15" s="24" t="s">
        <v>144</v>
      </c>
      <c r="F15" s="25">
        <v>46211</v>
      </c>
      <c r="G15" s="23" t="s">
        <v>134</v>
      </c>
      <c r="H15" s="29">
        <v>46197</v>
      </c>
      <c r="I15" s="29"/>
      <c r="J15" s="29">
        <v>46204</v>
      </c>
      <c r="K15" s="29"/>
      <c r="L15" s="29">
        <v>46211</v>
      </c>
      <c r="M15" s="29"/>
      <c r="N15" s="29">
        <v>46218</v>
      </c>
      <c r="O15" s="29"/>
      <c r="P15" s="25" t="s">
        <v>61</v>
      </c>
      <c r="Q15" s="26">
        <v>493</v>
      </c>
      <c r="R15" s="26"/>
      <c r="S15" s="26"/>
    </row>
    <row r="16" spans="1:19" x14ac:dyDescent="0.25">
      <c r="A16" s="23">
        <v>27476</v>
      </c>
      <c r="B16" s="23">
        <v>1</v>
      </c>
      <c r="C16" s="24" t="s">
        <v>132</v>
      </c>
      <c r="D16" s="23">
        <v>299529</v>
      </c>
      <c r="E16" s="24" t="s">
        <v>145</v>
      </c>
      <c r="F16" s="25">
        <v>46217</v>
      </c>
      <c r="G16" s="23" t="s">
        <v>134</v>
      </c>
      <c r="H16" s="25" t="s">
        <v>77</v>
      </c>
      <c r="I16" s="25"/>
      <c r="J16" s="25" t="s">
        <v>77</v>
      </c>
      <c r="K16" s="25"/>
      <c r="L16" s="25">
        <v>46205</v>
      </c>
      <c r="M16" s="25"/>
      <c r="N16" s="25">
        <v>46216</v>
      </c>
      <c r="O16" s="25"/>
      <c r="P16" s="25" t="s">
        <v>61</v>
      </c>
      <c r="Q16" s="23">
        <v>285</v>
      </c>
      <c r="R16" s="26">
        <v>327</v>
      </c>
      <c r="S16" s="26"/>
    </row>
    <row r="17" spans="1:19" x14ac:dyDescent="0.25">
      <c r="A17" s="23">
        <v>27490</v>
      </c>
      <c r="B17" s="23">
        <v>1</v>
      </c>
      <c r="C17" s="24" t="s">
        <v>132</v>
      </c>
      <c r="D17" s="23">
        <v>299302</v>
      </c>
      <c r="E17" s="24" t="s">
        <v>146</v>
      </c>
      <c r="F17" s="25">
        <v>46218</v>
      </c>
      <c r="G17" s="23" t="s">
        <v>134</v>
      </c>
      <c r="H17" s="25">
        <v>46189</v>
      </c>
      <c r="I17" s="25"/>
      <c r="J17" s="25">
        <v>46199</v>
      </c>
      <c r="K17" s="25"/>
      <c r="L17" s="25" t="s">
        <v>77</v>
      </c>
      <c r="M17" s="25"/>
      <c r="N17" s="25" t="s">
        <v>77</v>
      </c>
      <c r="O17" s="25"/>
      <c r="P17" s="25" t="s">
        <v>61</v>
      </c>
      <c r="Q17" s="23">
        <v>496</v>
      </c>
      <c r="R17" s="26"/>
      <c r="S17" s="26"/>
    </row>
    <row r="18" spans="1:19" x14ac:dyDescent="0.25">
      <c r="A18" s="27">
        <v>27416</v>
      </c>
      <c r="B18" s="27">
        <v>2</v>
      </c>
      <c r="C18" s="28" t="s">
        <v>143</v>
      </c>
      <c r="D18" s="23">
        <v>392292</v>
      </c>
      <c r="E18" s="24" t="s">
        <v>147</v>
      </c>
      <c r="F18" s="25">
        <v>46218</v>
      </c>
      <c r="G18" s="23" t="s">
        <v>134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26"/>
      <c r="S18" s="26"/>
    </row>
    <row r="19" spans="1:19" x14ac:dyDescent="0.25">
      <c r="A19" s="23">
        <v>27521</v>
      </c>
      <c r="B19" s="23">
        <v>1</v>
      </c>
      <c r="C19" s="24" t="s">
        <v>132</v>
      </c>
      <c r="D19" s="23">
        <v>299303</v>
      </c>
      <c r="E19" s="24" t="s">
        <v>148</v>
      </c>
      <c r="F19" s="25">
        <v>46227</v>
      </c>
      <c r="G19" s="23" t="s">
        <v>134</v>
      </c>
      <c r="H19" s="25">
        <v>46199</v>
      </c>
      <c r="I19" s="25"/>
      <c r="J19" s="25">
        <v>46206</v>
      </c>
      <c r="K19" s="25"/>
      <c r="L19" s="25" t="s">
        <v>77</v>
      </c>
      <c r="M19" s="25"/>
      <c r="N19" s="25" t="s">
        <v>77</v>
      </c>
      <c r="O19" s="25"/>
      <c r="P19" s="25" t="s">
        <v>61</v>
      </c>
      <c r="Q19" s="23">
        <v>496</v>
      </c>
      <c r="R19" s="26"/>
      <c r="S19" s="26"/>
    </row>
    <row r="20" spans="1:19" x14ac:dyDescent="0.25">
      <c r="A20" s="23">
        <v>26974</v>
      </c>
      <c r="B20" s="23">
        <v>3</v>
      </c>
      <c r="C20" s="24" t="s">
        <v>132</v>
      </c>
      <c r="D20" s="23">
        <v>299217</v>
      </c>
      <c r="E20" s="24" t="s">
        <v>149</v>
      </c>
      <c r="F20" s="25">
        <v>46228</v>
      </c>
      <c r="G20" s="23" t="s">
        <v>134</v>
      </c>
      <c r="H20" s="25">
        <v>46206</v>
      </c>
      <c r="I20" s="25"/>
      <c r="J20" s="25">
        <v>46213</v>
      </c>
      <c r="K20" s="25"/>
      <c r="L20" s="25" t="s">
        <v>77</v>
      </c>
      <c r="M20" s="25"/>
      <c r="N20" s="25" t="s">
        <v>77</v>
      </c>
      <c r="O20" s="25"/>
      <c r="P20" s="25" t="s">
        <v>61</v>
      </c>
      <c r="Q20" s="23">
        <v>285</v>
      </c>
      <c r="R20" s="26"/>
      <c r="S20" s="26"/>
    </row>
    <row r="21" spans="1:19" x14ac:dyDescent="0.25">
      <c r="A21" s="23">
        <v>26970</v>
      </c>
      <c r="B21" s="23">
        <v>3</v>
      </c>
      <c r="C21" s="24" t="s">
        <v>132</v>
      </c>
      <c r="D21" s="23">
        <v>299209</v>
      </c>
      <c r="E21" s="24" t="s">
        <v>150</v>
      </c>
      <c r="F21" s="25">
        <v>46228</v>
      </c>
      <c r="G21" s="23" t="s">
        <v>151</v>
      </c>
      <c r="H21" s="25">
        <v>46213</v>
      </c>
      <c r="I21" s="25"/>
      <c r="J21" s="25">
        <v>46220</v>
      </c>
      <c r="K21" s="25"/>
      <c r="L21" s="25" t="s">
        <v>77</v>
      </c>
      <c r="M21" s="25"/>
      <c r="N21" s="25" t="s">
        <v>77</v>
      </c>
      <c r="O21" s="25"/>
      <c r="P21" s="25" t="s">
        <v>61</v>
      </c>
      <c r="Q21" s="23">
        <v>285</v>
      </c>
      <c r="R21" s="26"/>
      <c r="S21" s="26"/>
    </row>
    <row r="22" spans="1:19" x14ac:dyDescent="0.25">
      <c r="A22" s="23">
        <v>26641</v>
      </c>
      <c r="B22" s="23">
        <v>2</v>
      </c>
      <c r="C22" s="24" t="s">
        <v>132</v>
      </c>
      <c r="D22" s="23">
        <v>299217</v>
      </c>
      <c r="E22" s="24" t="s">
        <v>149</v>
      </c>
      <c r="F22" s="25">
        <v>46228</v>
      </c>
      <c r="G22" s="23" t="s">
        <v>134</v>
      </c>
      <c r="H22" s="25">
        <v>46206</v>
      </c>
      <c r="I22" s="25"/>
      <c r="J22" s="25">
        <v>46213</v>
      </c>
      <c r="K22" s="25"/>
      <c r="L22" s="25" t="s">
        <v>77</v>
      </c>
      <c r="M22" s="25"/>
      <c r="N22" s="25" t="s">
        <v>77</v>
      </c>
      <c r="O22" s="25"/>
      <c r="P22" s="25" t="s">
        <v>61</v>
      </c>
      <c r="Q22" s="23">
        <v>285</v>
      </c>
      <c r="R22" s="26"/>
      <c r="S22" s="26"/>
    </row>
    <row r="23" spans="1:19" x14ac:dyDescent="0.25">
      <c r="A23" s="23">
        <v>27547</v>
      </c>
      <c r="B23" s="23">
        <v>1</v>
      </c>
      <c r="C23" s="24" t="s">
        <v>152</v>
      </c>
      <c r="D23" s="23">
        <v>1573002</v>
      </c>
      <c r="E23" s="24" t="s">
        <v>153</v>
      </c>
      <c r="F23" s="25">
        <v>46233</v>
      </c>
      <c r="G23" s="23" t="s">
        <v>134</v>
      </c>
      <c r="H23" s="25" t="s">
        <v>77</v>
      </c>
      <c r="I23" s="25"/>
      <c r="J23" s="25" t="s">
        <v>77</v>
      </c>
      <c r="K23" s="25"/>
      <c r="L23" s="25">
        <v>46220</v>
      </c>
      <c r="M23" s="25"/>
      <c r="N23" s="25">
        <v>46232</v>
      </c>
      <c r="O23" s="25"/>
      <c r="P23" s="25" t="s">
        <v>61</v>
      </c>
      <c r="Q23" s="23">
        <v>493</v>
      </c>
      <c r="R23" s="26">
        <v>112</v>
      </c>
      <c r="S23" s="26"/>
    </row>
    <row r="24" spans="1:19" x14ac:dyDescent="0.25">
      <c r="A24" s="23">
        <v>27547</v>
      </c>
      <c r="B24" s="23">
        <v>2</v>
      </c>
      <c r="C24" s="24" t="s">
        <v>152</v>
      </c>
      <c r="D24" s="23">
        <v>1573001</v>
      </c>
      <c r="E24" s="24" t="s">
        <v>154</v>
      </c>
      <c r="F24" s="25">
        <v>46233</v>
      </c>
      <c r="G24" s="23" t="s">
        <v>134</v>
      </c>
      <c r="H24" s="25" t="s">
        <v>77</v>
      </c>
      <c r="I24" s="25"/>
      <c r="J24" s="25" t="s">
        <v>77</v>
      </c>
      <c r="K24" s="25"/>
      <c r="L24" s="25">
        <v>46220</v>
      </c>
      <c r="M24" s="25"/>
      <c r="N24" s="25">
        <v>46232</v>
      </c>
      <c r="O24" s="25"/>
      <c r="P24" s="25" t="s">
        <v>61</v>
      </c>
      <c r="Q24" s="23">
        <v>493</v>
      </c>
      <c r="R24" s="26">
        <v>112</v>
      </c>
      <c r="S24" s="26"/>
    </row>
    <row r="25" spans="1:19" x14ac:dyDescent="0.25">
      <c r="A25" s="23">
        <v>27575</v>
      </c>
      <c r="B25" s="23">
        <v>1</v>
      </c>
      <c r="C25" s="24" t="s">
        <v>155</v>
      </c>
      <c r="D25" s="23">
        <v>774016</v>
      </c>
      <c r="E25" s="24" t="s">
        <v>156</v>
      </c>
      <c r="F25" s="25">
        <v>46239</v>
      </c>
      <c r="G25" s="23" t="s">
        <v>151</v>
      </c>
      <c r="H25" s="25" t="s">
        <v>77</v>
      </c>
      <c r="I25" s="25"/>
      <c r="J25" s="25" t="s">
        <v>77</v>
      </c>
      <c r="K25" s="25"/>
      <c r="L25" s="25">
        <v>46220</v>
      </c>
      <c r="M25" s="25"/>
      <c r="N25" s="25">
        <v>46238</v>
      </c>
      <c r="O25" s="25"/>
      <c r="P25" s="25" t="s">
        <v>61</v>
      </c>
      <c r="Q25" s="23">
        <v>285</v>
      </c>
      <c r="R25" s="26">
        <v>493</v>
      </c>
      <c r="S25" s="26"/>
    </row>
    <row r="26" spans="1:19" x14ac:dyDescent="0.25">
      <c r="A26" s="23">
        <v>27575</v>
      </c>
      <c r="B26" s="23">
        <v>2</v>
      </c>
      <c r="C26" s="24" t="s">
        <v>155</v>
      </c>
      <c r="D26" s="23">
        <v>774016</v>
      </c>
      <c r="E26" s="24" t="s">
        <v>156</v>
      </c>
      <c r="F26" s="25">
        <v>46239</v>
      </c>
      <c r="G26" s="23" t="s">
        <v>151</v>
      </c>
      <c r="H26" s="25" t="s">
        <v>77</v>
      </c>
      <c r="I26" s="25"/>
      <c r="J26" s="25" t="s">
        <v>77</v>
      </c>
      <c r="K26" s="25"/>
      <c r="L26" s="25">
        <v>46220</v>
      </c>
      <c r="M26" s="25"/>
      <c r="N26" s="25">
        <v>46238</v>
      </c>
      <c r="O26" s="25"/>
      <c r="P26" s="25" t="s">
        <v>61</v>
      </c>
      <c r="Q26" s="23">
        <v>285</v>
      </c>
      <c r="R26" s="26">
        <v>493</v>
      </c>
      <c r="S26" s="26"/>
    </row>
    <row r="27" spans="1:19" x14ac:dyDescent="0.25">
      <c r="A27" s="23">
        <v>27575</v>
      </c>
      <c r="B27" s="23">
        <v>3</v>
      </c>
      <c r="C27" s="24" t="s">
        <v>155</v>
      </c>
      <c r="D27" s="23">
        <v>774017</v>
      </c>
      <c r="E27" s="24" t="s">
        <v>157</v>
      </c>
      <c r="F27" s="25">
        <v>46239</v>
      </c>
      <c r="G27" s="23" t="s">
        <v>151</v>
      </c>
      <c r="H27" s="25" t="s">
        <v>77</v>
      </c>
      <c r="I27" s="25"/>
      <c r="J27" s="25" t="s">
        <v>77</v>
      </c>
      <c r="K27" s="25"/>
      <c r="L27" s="25">
        <v>46220</v>
      </c>
      <c r="M27" s="25"/>
      <c r="N27" s="25">
        <v>46238</v>
      </c>
      <c r="O27" s="25"/>
      <c r="P27" s="25" t="s">
        <v>61</v>
      </c>
      <c r="Q27" s="23">
        <v>285</v>
      </c>
      <c r="R27" s="26">
        <v>493</v>
      </c>
      <c r="S27" s="26"/>
    </row>
    <row r="28" spans="1:19" x14ac:dyDescent="0.25">
      <c r="A28" s="23">
        <v>27575</v>
      </c>
      <c r="B28" s="23">
        <v>4</v>
      </c>
      <c r="C28" s="24" t="s">
        <v>155</v>
      </c>
      <c r="D28" s="23">
        <v>774017</v>
      </c>
      <c r="E28" s="24" t="s">
        <v>157</v>
      </c>
      <c r="F28" s="25">
        <v>46239</v>
      </c>
      <c r="G28" s="23" t="s">
        <v>151</v>
      </c>
      <c r="H28" s="25" t="s">
        <v>77</v>
      </c>
      <c r="I28" s="25"/>
      <c r="J28" s="25" t="s">
        <v>77</v>
      </c>
      <c r="K28" s="25"/>
      <c r="L28" s="25">
        <v>46220</v>
      </c>
      <c r="M28" s="25"/>
      <c r="N28" s="25">
        <v>46238</v>
      </c>
      <c r="O28" s="25"/>
      <c r="P28" s="25" t="s">
        <v>61</v>
      </c>
      <c r="Q28" s="23">
        <v>285</v>
      </c>
      <c r="R28" s="26">
        <v>493</v>
      </c>
      <c r="S28" s="26"/>
    </row>
    <row r="29" spans="1:19" x14ac:dyDescent="0.25">
      <c r="A29" s="23">
        <v>27524</v>
      </c>
      <c r="B29" s="23">
        <v>1</v>
      </c>
      <c r="C29" s="24" t="s">
        <v>132</v>
      </c>
      <c r="D29" s="23">
        <v>299528</v>
      </c>
      <c r="E29" s="24" t="s">
        <v>158</v>
      </c>
      <c r="F29" s="25">
        <v>46245</v>
      </c>
      <c r="G29" s="23" t="s">
        <v>134</v>
      </c>
      <c r="H29" s="25" t="s">
        <v>77</v>
      </c>
      <c r="I29" s="25"/>
      <c r="J29" s="25" t="s">
        <v>77</v>
      </c>
      <c r="K29" s="25"/>
      <c r="L29" s="25">
        <v>46234</v>
      </c>
      <c r="M29" s="25"/>
      <c r="N29" s="25">
        <v>46244</v>
      </c>
      <c r="O29" s="25"/>
      <c r="P29" s="25" t="s">
        <v>61</v>
      </c>
      <c r="Q29" s="23">
        <v>285</v>
      </c>
      <c r="R29" s="26">
        <v>327</v>
      </c>
      <c r="S29" s="26"/>
    </row>
    <row r="30" spans="1:19" x14ac:dyDescent="0.25">
      <c r="A30" s="23">
        <v>27587</v>
      </c>
      <c r="B30" s="23">
        <v>1</v>
      </c>
      <c r="C30" s="24" t="s">
        <v>159</v>
      </c>
      <c r="D30" s="23">
        <v>1608001</v>
      </c>
      <c r="E30" s="24" t="s">
        <v>160</v>
      </c>
      <c r="F30" s="25">
        <v>46246</v>
      </c>
      <c r="G30" s="23" t="s">
        <v>151</v>
      </c>
      <c r="H30" s="25">
        <v>46213</v>
      </c>
      <c r="I30" s="25"/>
      <c r="J30" s="25">
        <v>46226</v>
      </c>
      <c r="K30" s="25"/>
      <c r="L30" s="25" t="s">
        <v>77</v>
      </c>
      <c r="M30" s="25"/>
      <c r="N30" s="25" t="s">
        <v>77</v>
      </c>
      <c r="O30" s="25"/>
      <c r="P30" s="25" t="s">
        <v>61</v>
      </c>
      <c r="Q30" s="23">
        <v>124</v>
      </c>
      <c r="R30" s="26"/>
      <c r="S30" s="26"/>
    </row>
    <row r="31" spans="1:19" x14ac:dyDescent="0.25">
      <c r="A31" s="23">
        <v>27587</v>
      </c>
      <c r="B31" s="23">
        <v>2</v>
      </c>
      <c r="C31" s="24" t="s">
        <v>159</v>
      </c>
      <c r="D31" s="23">
        <v>1608002</v>
      </c>
      <c r="E31" s="24" t="s">
        <v>161</v>
      </c>
      <c r="F31" s="25">
        <v>46246</v>
      </c>
      <c r="G31" s="23" t="s">
        <v>151</v>
      </c>
      <c r="H31" s="25">
        <v>46213</v>
      </c>
      <c r="I31" s="25"/>
      <c r="J31" s="25">
        <v>46226</v>
      </c>
      <c r="K31" s="25"/>
      <c r="L31" s="25" t="s">
        <v>77</v>
      </c>
      <c r="M31" s="25"/>
      <c r="N31" s="25" t="s">
        <v>77</v>
      </c>
      <c r="O31" s="25"/>
      <c r="P31" s="25" t="s">
        <v>61</v>
      </c>
      <c r="Q31" s="23">
        <v>124</v>
      </c>
      <c r="R31" s="26"/>
      <c r="S31" s="26"/>
    </row>
    <row r="32" spans="1:19" x14ac:dyDescent="0.25">
      <c r="A32" s="23">
        <v>27587</v>
      </c>
      <c r="B32" s="23">
        <v>3</v>
      </c>
      <c r="C32" s="24" t="s">
        <v>159</v>
      </c>
      <c r="D32" s="23">
        <v>1608002</v>
      </c>
      <c r="E32" s="24" t="s">
        <v>161</v>
      </c>
      <c r="F32" s="25">
        <v>46246</v>
      </c>
      <c r="G32" s="23" t="s">
        <v>151</v>
      </c>
      <c r="H32" s="25">
        <v>46213</v>
      </c>
      <c r="I32" s="25"/>
      <c r="J32" s="25">
        <v>46226</v>
      </c>
      <c r="K32" s="25"/>
      <c r="L32" s="25" t="s">
        <v>77</v>
      </c>
      <c r="M32" s="25"/>
      <c r="N32" s="25" t="s">
        <v>77</v>
      </c>
      <c r="O32" s="25"/>
      <c r="P32" s="25" t="s">
        <v>61</v>
      </c>
      <c r="Q32" s="23">
        <v>124</v>
      </c>
      <c r="R32" s="26"/>
      <c r="S32" s="26"/>
    </row>
    <row r="33" spans="1:19" x14ac:dyDescent="0.25">
      <c r="A33" s="23">
        <v>27593</v>
      </c>
      <c r="B33" s="23">
        <v>1</v>
      </c>
      <c r="C33" s="24" t="s">
        <v>162</v>
      </c>
      <c r="D33" s="23">
        <v>1609001</v>
      </c>
      <c r="E33" s="24" t="s">
        <v>163</v>
      </c>
      <c r="F33" s="25">
        <v>46253</v>
      </c>
      <c r="G33" s="23" t="s">
        <v>151</v>
      </c>
      <c r="H33" s="29">
        <v>46213</v>
      </c>
      <c r="I33" s="29"/>
      <c r="J33" s="29">
        <v>46228</v>
      </c>
      <c r="K33" s="29"/>
      <c r="L33" s="26" t="s">
        <v>77</v>
      </c>
      <c r="M33" s="26"/>
      <c r="N33" s="26" t="s">
        <v>77</v>
      </c>
      <c r="O33" s="26"/>
      <c r="P33" s="25" t="s">
        <v>61</v>
      </c>
      <c r="Q33" s="26">
        <v>327</v>
      </c>
      <c r="R33" s="26">
        <v>393</v>
      </c>
      <c r="S33" s="26"/>
    </row>
    <row r="34" spans="1:19" x14ac:dyDescent="0.25">
      <c r="A34" s="23">
        <v>27599</v>
      </c>
      <c r="B34" s="23">
        <v>1</v>
      </c>
      <c r="C34" s="24" t="s">
        <v>132</v>
      </c>
      <c r="D34" s="23">
        <v>299374</v>
      </c>
      <c r="E34" s="24" t="s">
        <v>137</v>
      </c>
      <c r="F34" s="25">
        <v>46254</v>
      </c>
      <c r="G34" s="23" t="s">
        <v>151</v>
      </c>
      <c r="H34" s="29">
        <v>46220</v>
      </c>
      <c r="I34" s="29"/>
      <c r="J34" s="29">
        <v>46234</v>
      </c>
      <c r="K34" s="29"/>
      <c r="L34" s="26" t="s">
        <v>77</v>
      </c>
      <c r="M34" s="26"/>
      <c r="N34" s="26" t="s">
        <v>77</v>
      </c>
      <c r="O34" s="26"/>
      <c r="P34" s="25" t="s">
        <v>61</v>
      </c>
      <c r="Q34" s="26">
        <v>285</v>
      </c>
      <c r="R34" s="26"/>
      <c r="S34" s="26"/>
    </row>
    <row r="35" spans="1:19" x14ac:dyDescent="0.25">
      <c r="A35" s="23">
        <v>27542</v>
      </c>
      <c r="B35" s="23">
        <v>1</v>
      </c>
      <c r="C35" s="24" t="s">
        <v>132</v>
      </c>
      <c r="D35" s="23">
        <v>299528</v>
      </c>
      <c r="E35" s="24" t="s">
        <v>158</v>
      </c>
      <c r="F35" s="25">
        <v>46255</v>
      </c>
      <c r="G35" s="23" t="s">
        <v>134</v>
      </c>
      <c r="H35" s="26" t="s">
        <v>77</v>
      </c>
      <c r="I35" s="26"/>
      <c r="J35" s="26" t="s">
        <v>77</v>
      </c>
      <c r="K35" s="26"/>
      <c r="L35" s="29">
        <v>46241</v>
      </c>
      <c r="M35" s="29"/>
      <c r="N35" s="29">
        <v>46254</v>
      </c>
      <c r="O35" s="29"/>
      <c r="P35" s="25" t="s">
        <v>61</v>
      </c>
      <c r="Q35" s="26">
        <v>285</v>
      </c>
      <c r="R35" s="26">
        <v>327</v>
      </c>
      <c r="S35" s="26"/>
    </row>
    <row r="36" spans="1:19" x14ac:dyDescent="0.25">
      <c r="A36" s="23">
        <v>27600</v>
      </c>
      <c r="B36" s="23">
        <v>1</v>
      </c>
      <c r="C36" s="24" t="s">
        <v>164</v>
      </c>
      <c r="D36" s="23" t="s">
        <v>77</v>
      </c>
      <c r="E36" s="24" t="s">
        <v>165</v>
      </c>
      <c r="F36" s="25">
        <v>46259</v>
      </c>
      <c r="G36" s="23" t="s">
        <v>151</v>
      </c>
      <c r="H36" s="29" t="s">
        <v>77</v>
      </c>
      <c r="I36" s="29"/>
      <c r="J36" s="26" t="s">
        <v>77</v>
      </c>
      <c r="K36" s="26"/>
      <c r="L36" s="29">
        <v>46248</v>
      </c>
      <c r="M36" s="29"/>
      <c r="N36" s="29">
        <v>46255</v>
      </c>
      <c r="O36" s="29"/>
      <c r="P36" s="25" t="s">
        <v>61</v>
      </c>
      <c r="Q36" s="26">
        <v>285</v>
      </c>
      <c r="R36" s="26"/>
      <c r="S36" s="26"/>
    </row>
    <row r="37" spans="1:19" x14ac:dyDescent="0.25">
      <c r="A37" s="23">
        <v>27600</v>
      </c>
      <c r="B37" s="23">
        <v>5</v>
      </c>
      <c r="C37" s="24" t="s">
        <v>164</v>
      </c>
      <c r="D37" s="23" t="s">
        <v>77</v>
      </c>
      <c r="E37" s="24" t="s">
        <v>166</v>
      </c>
      <c r="F37" s="25">
        <v>46259</v>
      </c>
      <c r="G37" s="23" t="s">
        <v>151</v>
      </c>
      <c r="H37" s="29" t="s">
        <v>77</v>
      </c>
      <c r="I37" s="29"/>
      <c r="J37" s="26" t="s">
        <v>77</v>
      </c>
      <c r="K37" s="26"/>
      <c r="L37" s="29">
        <v>46248</v>
      </c>
      <c r="M37" s="29"/>
      <c r="N37" s="29">
        <v>46255</v>
      </c>
      <c r="O37" s="29"/>
      <c r="P37" s="25" t="s">
        <v>61</v>
      </c>
      <c r="Q37" s="26">
        <v>285</v>
      </c>
      <c r="R37" s="26"/>
      <c r="S37" s="26"/>
    </row>
    <row r="38" spans="1:19" x14ac:dyDescent="0.25">
      <c r="A38" s="23">
        <v>27600</v>
      </c>
      <c r="B38" s="23">
        <v>9</v>
      </c>
      <c r="C38" s="24" t="s">
        <v>164</v>
      </c>
      <c r="D38" s="23" t="s">
        <v>77</v>
      </c>
      <c r="E38" s="24" t="s">
        <v>167</v>
      </c>
      <c r="F38" s="25">
        <v>46259</v>
      </c>
      <c r="G38" s="23" t="s">
        <v>151</v>
      </c>
      <c r="H38" s="29" t="s">
        <v>77</v>
      </c>
      <c r="I38" s="29"/>
      <c r="J38" s="26" t="s">
        <v>77</v>
      </c>
      <c r="K38" s="26"/>
      <c r="L38" s="29">
        <v>46248</v>
      </c>
      <c r="M38" s="29"/>
      <c r="N38" s="29">
        <v>46255</v>
      </c>
      <c r="O38" s="29"/>
      <c r="P38" s="25" t="s">
        <v>61</v>
      </c>
      <c r="Q38" s="26">
        <v>285</v>
      </c>
      <c r="R38" s="26"/>
      <c r="S38" s="26"/>
    </row>
    <row r="39" spans="1:19" x14ac:dyDescent="0.25">
      <c r="A39" s="23">
        <v>27600</v>
      </c>
      <c r="B39" s="23">
        <v>13</v>
      </c>
      <c r="C39" s="24" t="s">
        <v>164</v>
      </c>
      <c r="D39" s="23" t="s">
        <v>77</v>
      </c>
      <c r="E39" s="24" t="s">
        <v>168</v>
      </c>
      <c r="F39" s="25">
        <v>46259</v>
      </c>
      <c r="G39" s="23" t="s">
        <v>151</v>
      </c>
      <c r="H39" s="29" t="s">
        <v>77</v>
      </c>
      <c r="I39" s="29"/>
      <c r="J39" s="26" t="s">
        <v>77</v>
      </c>
      <c r="K39" s="26"/>
      <c r="L39" s="29">
        <v>46248</v>
      </c>
      <c r="M39" s="29"/>
      <c r="N39" s="29">
        <v>46255</v>
      </c>
      <c r="O39" s="29"/>
      <c r="P39" s="25" t="s">
        <v>61</v>
      </c>
      <c r="Q39" s="26">
        <v>285</v>
      </c>
      <c r="R39" s="26"/>
      <c r="S39" s="26"/>
    </row>
    <row r="40" spans="1:19" x14ac:dyDescent="0.25">
      <c r="A40" s="23">
        <v>27600</v>
      </c>
      <c r="B40" s="23">
        <v>2</v>
      </c>
      <c r="C40" s="24" t="s">
        <v>164</v>
      </c>
      <c r="D40" s="23" t="s">
        <v>77</v>
      </c>
      <c r="E40" s="24" t="s">
        <v>165</v>
      </c>
      <c r="F40" s="25">
        <v>46269</v>
      </c>
      <c r="G40" s="23" t="s">
        <v>151</v>
      </c>
      <c r="H40" s="29" t="s">
        <v>77</v>
      </c>
      <c r="I40" s="29"/>
      <c r="J40" s="26" t="s">
        <v>77</v>
      </c>
      <c r="K40" s="26"/>
      <c r="L40" s="29">
        <v>46248</v>
      </c>
      <c r="M40" s="29"/>
      <c r="N40" s="29">
        <v>46255</v>
      </c>
      <c r="O40" s="29"/>
      <c r="P40" s="25" t="s">
        <v>61</v>
      </c>
      <c r="Q40" s="26">
        <v>285</v>
      </c>
      <c r="R40" s="26"/>
      <c r="S40" s="26"/>
    </row>
    <row r="41" spans="1:19" x14ac:dyDescent="0.25">
      <c r="A41" s="23">
        <v>27600</v>
      </c>
      <c r="B41" s="23">
        <v>6</v>
      </c>
      <c r="C41" s="24" t="s">
        <v>164</v>
      </c>
      <c r="D41" s="23" t="s">
        <v>77</v>
      </c>
      <c r="E41" s="24" t="s">
        <v>166</v>
      </c>
      <c r="F41" s="25">
        <v>46269</v>
      </c>
      <c r="G41" s="23" t="s">
        <v>151</v>
      </c>
      <c r="H41" s="29" t="s">
        <v>77</v>
      </c>
      <c r="I41" s="29"/>
      <c r="J41" s="26" t="s">
        <v>77</v>
      </c>
      <c r="K41" s="26"/>
      <c r="L41" s="29">
        <v>46248</v>
      </c>
      <c r="M41" s="29"/>
      <c r="N41" s="29">
        <v>46255</v>
      </c>
      <c r="O41" s="29"/>
      <c r="P41" s="25" t="s">
        <v>61</v>
      </c>
      <c r="Q41" s="26">
        <v>285</v>
      </c>
      <c r="R41" s="26"/>
      <c r="S41" s="26"/>
    </row>
    <row r="42" spans="1:19" x14ac:dyDescent="0.25">
      <c r="A42" s="23">
        <v>27600</v>
      </c>
      <c r="B42" s="23">
        <v>10</v>
      </c>
      <c r="C42" s="24" t="s">
        <v>164</v>
      </c>
      <c r="D42" s="23" t="s">
        <v>77</v>
      </c>
      <c r="E42" s="24" t="s">
        <v>167</v>
      </c>
      <c r="F42" s="25">
        <v>46269</v>
      </c>
      <c r="G42" s="23" t="s">
        <v>151</v>
      </c>
      <c r="H42" s="29" t="s">
        <v>77</v>
      </c>
      <c r="I42" s="29"/>
      <c r="J42" s="26" t="s">
        <v>77</v>
      </c>
      <c r="K42" s="26"/>
      <c r="L42" s="29">
        <v>46248</v>
      </c>
      <c r="M42" s="29"/>
      <c r="N42" s="29">
        <v>46255</v>
      </c>
      <c r="O42" s="29"/>
      <c r="P42" s="25" t="s">
        <v>61</v>
      </c>
      <c r="Q42" s="26">
        <v>285</v>
      </c>
      <c r="R42" s="26"/>
      <c r="S42" s="26"/>
    </row>
    <row r="43" spans="1:19" x14ac:dyDescent="0.25">
      <c r="A43" s="23">
        <v>27600</v>
      </c>
      <c r="B43" s="23">
        <v>14</v>
      </c>
      <c r="C43" s="24" t="s">
        <v>164</v>
      </c>
      <c r="D43" s="23" t="s">
        <v>77</v>
      </c>
      <c r="E43" s="24" t="s">
        <v>168</v>
      </c>
      <c r="F43" s="25">
        <v>46269</v>
      </c>
      <c r="G43" s="23" t="s">
        <v>151</v>
      </c>
      <c r="H43" s="29" t="s">
        <v>77</v>
      </c>
      <c r="I43" s="29"/>
      <c r="J43" s="26" t="s">
        <v>77</v>
      </c>
      <c r="K43" s="26"/>
      <c r="L43" s="29">
        <v>46248</v>
      </c>
      <c r="M43" s="29"/>
      <c r="N43" s="29">
        <v>46255</v>
      </c>
      <c r="O43" s="29"/>
      <c r="P43" s="25" t="s">
        <v>61</v>
      </c>
      <c r="Q43" s="26">
        <v>285</v>
      </c>
      <c r="R43" s="26"/>
      <c r="S43" s="26"/>
    </row>
    <row r="44" spans="1:19" x14ac:dyDescent="0.25">
      <c r="A44" s="23">
        <v>27496</v>
      </c>
      <c r="B44" s="23">
        <v>1</v>
      </c>
      <c r="C44" s="24" t="s">
        <v>132</v>
      </c>
      <c r="D44" s="23">
        <v>299208</v>
      </c>
      <c r="E44" s="24" t="s">
        <v>169</v>
      </c>
      <c r="F44" s="25">
        <v>46269</v>
      </c>
      <c r="G44" s="23" t="s">
        <v>134</v>
      </c>
      <c r="H44" s="29">
        <v>46206</v>
      </c>
      <c r="I44" s="29"/>
      <c r="J44" s="29">
        <v>46213</v>
      </c>
      <c r="K44" s="29"/>
      <c r="L44" s="26" t="s">
        <v>77</v>
      </c>
      <c r="M44" s="26"/>
      <c r="N44" s="26" t="s">
        <v>77</v>
      </c>
      <c r="O44" s="26"/>
      <c r="P44" s="25" t="s">
        <v>61</v>
      </c>
      <c r="Q44" s="26">
        <v>285</v>
      </c>
      <c r="R44" s="26"/>
      <c r="S44" s="26"/>
    </row>
    <row r="45" spans="1:19" x14ac:dyDescent="0.25">
      <c r="A45" s="23">
        <v>27600</v>
      </c>
      <c r="B45" s="23">
        <v>3</v>
      </c>
      <c r="C45" s="24" t="s">
        <v>164</v>
      </c>
      <c r="D45" s="23" t="s">
        <v>77</v>
      </c>
      <c r="E45" s="24" t="s">
        <v>165</v>
      </c>
      <c r="F45" s="25">
        <v>46279</v>
      </c>
      <c r="G45" s="23" t="s">
        <v>151</v>
      </c>
      <c r="H45" s="29" t="s">
        <v>77</v>
      </c>
      <c r="I45" s="29"/>
      <c r="J45" s="26" t="s">
        <v>77</v>
      </c>
      <c r="K45" s="26"/>
      <c r="L45" s="29">
        <v>46248</v>
      </c>
      <c r="M45" s="29"/>
      <c r="N45" s="29">
        <v>46255</v>
      </c>
      <c r="O45" s="29"/>
      <c r="P45" s="25" t="s">
        <v>61</v>
      </c>
      <c r="Q45" s="26">
        <v>285</v>
      </c>
      <c r="R45" s="26"/>
      <c r="S45" s="26"/>
    </row>
    <row r="46" spans="1:19" x14ac:dyDescent="0.25">
      <c r="A46" s="23">
        <v>27600</v>
      </c>
      <c r="B46" s="23">
        <v>7</v>
      </c>
      <c r="C46" s="24" t="s">
        <v>164</v>
      </c>
      <c r="D46" s="23" t="s">
        <v>77</v>
      </c>
      <c r="E46" s="24" t="s">
        <v>166</v>
      </c>
      <c r="F46" s="25">
        <v>46279</v>
      </c>
      <c r="G46" s="23" t="s">
        <v>151</v>
      </c>
      <c r="H46" s="29" t="s">
        <v>77</v>
      </c>
      <c r="I46" s="29"/>
      <c r="J46" s="26" t="s">
        <v>77</v>
      </c>
      <c r="K46" s="26"/>
      <c r="L46" s="29">
        <v>46248</v>
      </c>
      <c r="M46" s="29"/>
      <c r="N46" s="29">
        <v>46255</v>
      </c>
      <c r="O46" s="29"/>
      <c r="P46" s="25" t="s">
        <v>61</v>
      </c>
      <c r="Q46" s="26">
        <v>285</v>
      </c>
      <c r="R46" s="26"/>
      <c r="S46" s="26"/>
    </row>
    <row r="47" spans="1:19" x14ac:dyDescent="0.25">
      <c r="A47" s="23">
        <v>27600</v>
      </c>
      <c r="B47" s="23">
        <v>11</v>
      </c>
      <c r="C47" s="24" t="s">
        <v>164</v>
      </c>
      <c r="D47" s="23" t="s">
        <v>77</v>
      </c>
      <c r="E47" s="24" t="s">
        <v>167</v>
      </c>
      <c r="F47" s="25">
        <v>46279</v>
      </c>
      <c r="G47" s="23" t="s">
        <v>151</v>
      </c>
      <c r="H47" s="29" t="s">
        <v>77</v>
      </c>
      <c r="I47" s="29"/>
      <c r="J47" s="26" t="s">
        <v>77</v>
      </c>
      <c r="K47" s="26"/>
      <c r="L47" s="29">
        <v>46248</v>
      </c>
      <c r="M47" s="29"/>
      <c r="N47" s="29">
        <v>46255</v>
      </c>
      <c r="O47" s="29"/>
      <c r="P47" s="25" t="s">
        <v>61</v>
      </c>
      <c r="Q47" s="26">
        <v>285</v>
      </c>
      <c r="R47" s="26"/>
      <c r="S47" s="26"/>
    </row>
    <row r="48" spans="1:19" x14ac:dyDescent="0.25">
      <c r="A48" s="23">
        <v>27600</v>
      </c>
      <c r="B48" s="23">
        <v>15</v>
      </c>
      <c r="C48" s="24" t="s">
        <v>164</v>
      </c>
      <c r="D48" s="23" t="s">
        <v>77</v>
      </c>
      <c r="E48" s="24" t="s">
        <v>168</v>
      </c>
      <c r="F48" s="25">
        <v>46279</v>
      </c>
      <c r="G48" s="23" t="s">
        <v>151</v>
      </c>
      <c r="H48" s="29" t="s">
        <v>77</v>
      </c>
      <c r="I48" s="29"/>
      <c r="J48" s="26" t="s">
        <v>77</v>
      </c>
      <c r="K48" s="26"/>
      <c r="L48" s="29">
        <v>46248</v>
      </c>
      <c r="M48" s="29"/>
      <c r="N48" s="29">
        <v>46255</v>
      </c>
      <c r="O48" s="29"/>
      <c r="P48" s="25" t="s">
        <v>61</v>
      </c>
      <c r="Q48" s="26">
        <v>285</v>
      </c>
      <c r="R48" s="26"/>
      <c r="S48" s="26"/>
    </row>
    <row r="49" spans="1:19" x14ac:dyDescent="0.25">
      <c r="A49" s="23">
        <v>27600</v>
      </c>
      <c r="B49" s="23">
        <v>4</v>
      </c>
      <c r="C49" s="24" t="s">
        <v>164</v>
      </c>
      <c r="D49" s="23" t="s">
        <v>77</v>
      </c>
      <c r="E49" s="24" t="s">
        <v>165</v>
      </c>
      <c r="F49" s="25">
        <v>46289</v>
      </c>
      <c r="G49" s="23" t="s">
        <v>151</v>
      </c>
      <c r="H49" s="29" t="s">
        <v>77</v>
      </c>
      <c r="I49" s="29"/>
      <c r="J49" s="26" t="s">
        <v>77</v>
      </c>
      <c r="K49" s="26"/>
      <c r="L49" s="29">
        <v>46248</v>
      </c>
      <c r="M49" s="29"/>
      <c r="N49" s="29">
        <v>46255</v>
      </c>
      <c r="O49" s="29"/>
      <c r="P49" s="25" t="s">
        <v>61</v>
      </c>
      <c r="Q49" s="26">
        <v>285</v>
      </c>
      <c r="R49" s="26"/>
      <c r="S49" s="26"/>
    </row>
    <row r="50" spans="1:19" x14ac:dyDescent="0.25">
      <c r="A50" s="23">
        <v>27600</v>
      </c>
      <c r="B50" s="23">
        <v>8</v>
      </c>
      <c r="C50" s="24" t="s">
        <v>164</v>
      </c>
      <c r="D50" s="23" t="s">
        <v>77</v>
      </c>
      <c r="E50" s="24" t="s">
        <v>166</v>
      </c>
      <c r="F50" s="25">
        <v>46289</v>
      </c>
      <c r="G50" s="23" t="s">
        <v>151</v>
      </c>
      <c r="H50" s="29" t="s">
        <v>77</v>
      </c>
      <c r="I50" s="29"/>
      <c r="J50" s="26" t="s">
        <v>77</v>
      </c>
      <c r="K50" s="26"/>
      <c r="L50" s="29">
        <v>46248</v>
      </c>
      <c r="M50" s="29"/>
      <c r="N50" s="29">
        <v>46255</v>
      </c>
      <c r="O50" s="29"/>
      <c r="P50" s="25" t="s">
        <v>61</v>
      </c>
      <c r="Q50" s="26">
        <v>285</v>
      </c>
      <c r="R50" s="26"/>
      <c r="S50" s="26"/>
    </row>
    <row r="51" spans="1:19" x14ac:dyDescent="0.25">
      <c r="A51" s="23">
        <v>27600</v>
      </c>
      <c r="B51" s="23">
        <v>12</v>
      </c>
      <c r="C51" s="24" t="s">
        <v>164</v>
      </c>
      <c r="D51" s="23" t="s">
        <v>77</v>
      </c>
      <c r="E51" s="24" t="s">
        <v>167</v>
      </c>
      <c r="F51" s="25">
        <v>46289</v>
      </c>
      <c r="G51" s="23" t="s">
        <v>151</v>
      </c>
      <c r="H51" s="29" t="s">
        <v>77</v>
      </c>
      <c r="I51" s="29"/>
      <c r="J51" s="26" t="s">
        <v>77</v>
      </c>
      <c r="K51" s="26"/>
      <c r="L51" s="29">
        <v>46248</v>
      </c>
      <c r="M51" s="29"/>
      <c r="N51" s="29">
        <v>46255</v>
      </c>
      <c r="O51" s="29"/>
      <c r="P51" s="25" t="s">
        <v>61</v>
      </c>
      <c r="Q51" s="26">
        <v>285</v>
      </c>
      <c r="R51" s="26"/>
      <c r="S51" s="26"/>
    </row>
    <row r="52" spans="1:19" x14ac:dyDescent="0.25">
      <c r="A52" s="23">
        <v>27600</v>
      </c>
      <c r="B52" s="23">
        <v>16</v>
      </c>
      <c r="C52" s="24" t="s">
        <v>164</v>
      </c>
      <c r="D52" s="23" t="s">
        <v>77</v>
      </c>
      <c r="E52" s="24" t="s">
        <v>168</v>
      </c>
      <c r="F52" s="25">
        <v>46289</v>
      </c>
      <c r="G52" s="23" t="s">
        <v>151</v>
      </c>
      <c r="H52" s="29" t="s">
        <v>77</v>
      </c>
      <c r="I52" s="29"/>
      <c r="J52" s="26" t="s">
        <v>77</v>
      </c>
      <c r="K52" s="26"/>
      <c r="L52" s="29">
        <v>46248</v>
      </c>
      <c r="M52" s="29"/>
      <c r="N52" s="29">
        <v>46255</v>
      </c>
      <c r="O52" s="29"/>
      <c r="P52" s="25" t="s">
        <v>61</v>
      </c>
      <c r="Q52" s="26">
        <v>285</v>
      </c>
      <c r="R52" s="26"/>
      <c r="S52" s="26"/>
    </row>
    <row r="53" spans="1:19" x14ac:dyDescent="0.25">
      <c r="A53" s="23">
        <v>27597</v>
      </c>
      <c r="B53" s="23">
        <v>1</v>
      </c>
      <c r="C53" s="24" t="s">
        <v>132</v>
      </c>
      <c r="D53" s="23">
        <v>299303</v>
      </c>
      <c r="E53" s="24" t="s">
        <v>148</v>
      </c>
      <c r="F53" s="25">
        <v>46332</v>
      </c>
      <c r="G53" s="23" t="s">
        <v>151</v>
      </c>
      <c r="H53" s="29">
        <v>46297</v>
      </c>
      <c r="I53" s="29"/>
      <c r="J53" s="29">
        <v>46307</v>
      </c>
      <c r="K53" s="29"/>
      <c r="L53" s="26" t="s">
        <v>77</v>
      </c>
      <c r="M53" s="26"/>
      <c r="N53" s="26" t="s">
        <v>77</v>
      </c>
      <c r="O53" s="26"/>
      <c r="P53" s="25" t="s">
        <v>61</v>
      </c>
      <c r="Q53" s="26">
        <v>496</v>
      </c>
      <c r="R53" s="26"/>
      <c r="S53" s="26"/>
    </row>
  </sheetData>
  <autoFilter ref="A1:N53" xr:uid="{276B14C1-1A52-4B27-91DF-D329FDD63C7A}"/>
  <mergeCells count="1">
    <mergeCell ref="Q1:S1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BAGACEIRAS</vt:lpstr>
      <vt:lpstr>PENTES</vt:lpstr>
      <vt:lpstr>RODETES NOVOS</vt:lpstr>
      <vt:lpstr>PERIFÉRICOS</vt:lpstr>
      <vt:lpstr>CAMISAS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2026-06-22T13:04:02Z</cp:lastPrinted>
  <dcterms:created xsi:type="dcterms:W3CDTF">2026-04-23T13:37:28Z</dcterms:created>
  <dcterms:modified xsi:type="dcterms:W3CDTF">2026-06-24T17:16:53Z</dcterms:modified>
</cp:coreProperties>
</file>