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7BFC215C-C9AF-489D-AB66-6D9F72182D0B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CAMISAS" sheetId="7" r:id="rId5"/>
    <sheet name="VI DIVERSOS" sheetId="10" r:id="rId6"/>
    <sheet name="PLANEJADO BAGACEIRA" sheetId="5" state="hidden" r:id="rId7"/>
  </sheets>
  <definedNames>
    <definedName name="_xlnm._FilterDatabase" localSheetId="5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89" i="9" l="1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N111" i="2"/>
  <c r="O111" i="2" s="1"/>
  <c r="N112" i="2"/>
  <c r="O112" i="2" s="1"/>
  <c r="N113" i="2"/>
  <c r="O113" i="2" s="1"/>
  <c r="N114" i="2"/>
  <c r="O114" i="2" s="1"/>
  <c r="P111" i="2"/>
  <c r="P112" i="2"/>
  <c r="P113" i="2"/>
  <c r="P114" i="2"/>
  <c r="AC111" i="2"/>
  <c r="AC112" i="2"/>
  <c r="AC113" i="2"/>
  <c r="AC114" i="2"/>
  <c r="K110" i="2"/>
  <c r="N110" i="2"/>
  <c r="O110" i="2" s="1"/>
  <c r="P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P101" i="2"/>
  <c r="P102" i="2"/>
  <c r="P103" i="2"/>
  <c r="P104" i="2"/>
  <c r="P105" i="2"/>
  <c r="P106" i="2"/>
  <c r="P107" i="2"/>
  <c r="P108" i="2"/>
  <c r="P109" i="2"/>
  <c r="K100" i="2"/>
  <c r="N100" i="2"/>
  <c r="O100" i="2" s="1"/>
  <c r="P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N95" i="2"/>
  <c r="O95" i="2" s="1"/>
  <c r="N96" i="2"/>
  <c r="O96" i="2" s="1"/>
  <c r="N97" i="2"/>
  <c r="O97" i="2" s="1"/>
  <c r="N98" i="2"/>
  <c r="O98" i="2" s="1"/>
  <c r="N99" i="2"/>
  <c r="O99" i="2" s="1"/>
  <c r="P95" i="2"/>
  <c r="P96" i="2"/>
  <c r="P97" i="2"/>
  <c r="P98" i="2"/>
  <c r="P99" i="2"/>
  <c r="AC94" i="2"/>
  <c r="AC93" i="2"/>
  <c r="AC92" i="2"/>
  <c r="AC91" i="2"/>
  <c r="AC90" i="2"/>
  <c r="K90" i="2"/>
  <c r="K91" i="2"/>
  <c r="K92" i="2"/>
  <c r="K93" i="2"/>
  <c r="K94" i="2"/>
  <c r="N90" i="2"/>
  <c r="O90" i="2" s="1"/>
  <c r="N91" i="2"/>
  <c r="O91" i="2" s="1"/>
  <c r="N92" i="2"/>
  <c r="O92" i="2" s="1"/>
  <c r="N93" i="2"/>
  <c r="O93" i="2" s="1"/>
  <c r="N94" i="2"/>
  <c r="O94" i="2" s="1"/>
  <c r="P90" i="2"/>
  <c r="P91" i="2"/>
  <c r="P92" i="2"/>
  <c r="P93" i="2"/>
  <c r="P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2" i="2"/>
  <c r="O2" i="2" s="1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O44" i="2" s="1"/>
  <c r="N45" i="2"/>
  <c r="O45" i="2" s="1"/>
  <c r="N46" i="2"/>
  <c r="O46" i="2" s="1"/>
  <c r="N47" i="2"/>
  <c r="O47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P75" i="2"/>
  <c r="K76" i="2"/>
  <c r="P76" i="2"/>
  <c r="K77" i="2"/>
  <c r="P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P85" i="2"/>
  <c r="P86" i="2"/>
  <c r="P87" i="2"/>
  <c r="P88" i="2"/>
  <c r="P89" i="2"/>
  <c r="K84" i="2"/>
  <c r="P84" i="2"/>
  <c r="K79" i="2"/>
  <c r="K80" i="2"/>
  <c r="K81" i="2"/>
  <c r="K82" i="2"/>
  <c r="K83" i="2"/>
  <c r="P79" i="2"/>
  <c r="P80" i="2"/>
  <c r="P81" i="2"/>
  <c r="P82" i="2"/>
  <c r="P83" i="2"/>
  <c r="K78" i="2"/>
  <c r="P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P70" i="2"/>
  <c r="P71" i="2"/>
  <c r="P72" i="2"/>
  <c r="P73" i="2"/>
  <c r="P74" i="2"/>
  <c r="K69" i="2"/>
  <c r="P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30" i="2"/>
  <c r="P31" i="2"/>
  <c r="P32" i="2"/>
  <c r="P33" i="2"/>
  <c r="P34" i="2"/>
  <c r="P35" i="2"/>
  <c r="P36" i="2"/>
  <c r="P37" i="2"/>
  <c r="P60" i="2"/>
  <c r="P61" i="2"/>
  <c r="P62" i="2"/>
  <c r="P63" i="2"/>
  <c r="P64" i="2"/>
  <c r="P65" i="2"/>
  <c r="P66" i="2"/>
  <c r="P24" i="2"/>
  <c r="P25" i="2"/>
  <c r="P26" i="2"/>
  <c r="P27" i="2"/>
  <c r="P28" i="2"/>
  <c r="P29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7" i="2"/>
  <c r="P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<sst xmlns="http://schemas.openxmlformats.org/spreadsheetml/2006/main" count="4285" uniqueCount="228">
  <si>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</si>
  <si>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</si>
  <si>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</si>
  <si>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</si>
  <si>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</si>
  <si>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</si>
  <si>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</si>
  <si>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</si>
  <si>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</si>
  <si>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</si>
  <si>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</si>
  <si>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</si>
  <si>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</si>
  <si>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</si>
  <si>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</si>
  <si>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</si>
  <si>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</si>
  <si>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</si>
  <si>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</si>
  <si>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</si>
  <si>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</si>
  <si>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</si>
  <si>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</si>
  <si>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</si>
  <si>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</si>
  <si>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</si>
  <si>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</si>
  <si>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</si>
  <si>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</si>
  <si>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</si>
  <si>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</si>
  <si>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</si>
  <si>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</si>
  <si>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</si>
  <si>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</si>
  <si>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</si>
  <si>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</si>
  <si>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</si>
  <si>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</si>
  <si>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</si>
  <si>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</si>
  <si>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</si>
  <si>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</si>
  <si>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</si>
  <si>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</si>
  <si>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</si>
  <si>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</si>
  <si>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</si>
  <si>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</si>
  <si>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</si>
  <si>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</si>
  <si>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</si>
  <si>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</si>
  <si>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</si>
  <si>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</si>
  <si>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</si>
  <si>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</si>
  <si>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</si>
  <si>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</si>
  <si>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</si>
  <si>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</si>
  <si>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</si>
  <si>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</si>
  <si>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</si>
  <si>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</si>
  <si>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</si>
  <si>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</si>
  <si>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</si>
  <si>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</si>
  <si>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</si>
  <si>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</si>
  <si>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</si>
  <si>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</si>
  <si>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</si>
  <si>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</si>
  <si>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</si>
  <si>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</si>
  <si>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</si>
  <si>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</si>
  <si>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</si>
  <si>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</si>
  <si>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</si>
  <si>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</si>
  <si>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</si>
  <si>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</si>
  <si>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</si>
  <si>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</si>
  <si>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</si>
  <si>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</si>
  <si>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</si>
  <si>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</si>
  <si>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</si>
  <si>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</si>
  <si>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</si>
  <si>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</si>
  <si>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</si>
  <si>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</si>
  <si>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</si>
  <si>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</si>
  <si>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</si>
  <si>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</si>
  <si>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</si>
  <si>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</si>
  <si>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</si>
  <si>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</si>
  <si>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</si>
  <si>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</si>
  <si>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</si>
  <si>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</si>
  <si>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</si>
  <si>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</si>
  <si>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</si>
  <si>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</si>
  <si>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</si>
  <si>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</si>
  <si>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</si>
  <si>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</si>
  <si>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</si>
  <si>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</si>
  <si>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</si>
  <si>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</si>
  <si>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</si>
  <si>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</si>
  <si>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</si>
  <si>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</si>
  <si>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</si>
  <si>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</si>
  <si>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</si>
  <si>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</si>
  <si>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</si>
  <si>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</si>
  <si>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</si>
  <si>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</si>
  <si>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</si>
  <si>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</si>
  <si>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</si>
  <si>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</si>
  <si>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</si>
  <si>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</si>
  <si>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</si>
  <si>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</si>
  <si>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</si>
  <si>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</si>
  <si>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</si>
  <si>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</si>
  <si>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</si>
  <si>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</si>
  <si>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</si>
  <si>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</si>
  <si>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</si>
  <si>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</si>
  <si>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</si>
  <si>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</si>
  <si>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</si>
  <si>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</si>
  <si>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ITEM</t>
  </si>
  <si>
    <t>PEÇA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</si>
  <si>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</si>
  <si>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</si>
  <si>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</si>
  <si>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</si>
  <si>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</si>
  <si>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</si>
  <si>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</si>
  <si>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</si>
  <si>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</si>
  <si>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</si>
  <si>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</si>
  <si>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</si>
  <si>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</si>
  <si>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</si>
  <si>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</si>
  <si>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RNC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</si>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</sst>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0" fillId="0" borderId="0" xfId="0" applyFont="1"/>
    <xf numFmtId="1" fontId="0" fillId="0" borderId="0" xfId="0" applyNumberFormat="1" applyFont="1" applyAlignment="1">
      <alignment horizontal="center"/>
    </xf>
    <xf numFmtId="0" fontId="0" fillId="0" borderId="0" xfId="0" applyNumberFormat="1" applyFont="1"/>
    <xf numFmtId="0" fontId="0" fillId="0" borderId="0" xfId="0" applyFont="1" applyAlignment="1">
      <alignment horizontal="center"/>
    </xf>
    <xf numFmtId="14" fontId="0" fillId="0" borderId="0" xfId="0" applyNumberFormat="1" applyFont="1"/>
    <xf numFmtId="14" fontId="0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</cellXfs>
  <cellStyles count="2">
    <cellStyle name="Normal" xfId="0" builtinId="0"/>
    <cellStyle name="Vírgula 2" xfId="1" xr:uid="{8785E80A-1CD4-4609-8517-D88B418F2B05}"/>
  </cellStyles>
  <dxfs count="111"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10" dataDxfId="109">
  <autoFilter ref="A1:AI114" xr:uid="{0B979512-8F08-4F92-A755-B1320B33B48D}"/>
  <tableColumns count="35">
    <tableColumn id="1" xr3:uid="{2AE87B23-57FB-4D7F-8BFD-D65EC0053BA3}" name="PV" dataDxfId="108"/>
    <tableColumn id="2" xr3:uid="{81052488-0765-4420-B185-DA73AE55FD88}" name="Item" dataDxfId="107"/>
    <tableColumn id="3" xr3:uid="{0E7DB960-0044-4341-ADB4-2A033B27B993}" name="O.S." dataDxfId="106"/>
    <tableColumn id="4" xr3:uid="{B0F20CBE-FFF4-445B-B0BF-7A9C6A140189}" name="Item2" dataDxfId="105"/>
    <tableColumn id="5" xr3:uid="{D1656E30-4AB0-4CD0-BF13-6D5A49C6E4A0}" name="Cliente" dataDxfId="104"/>
    <tableColumn id="6" xr3:uid="{71A11213-5711-429D-A6E0-A2F44677AD5D}" name="Peça" dataDxfId="103"/>
    <tableColumn id="7" xr3:uid="{3F7FD9F6-0726-4021-82B3-E31575A97A46}" name="Seq." dataDxfId="102"/>
    <tableColumn id="8" xr3:uid="{0D871CDA-AC7B-4365-B4FD-95C8967CF254}" name="Descrição" dataDxfId="101"/>
    <tableColumn id="9" xr3:uid="{9C6311D3-DE8E-4A12-8716-11D7CF745EA9}" name="Qtde." dataDxfId="100"/>
    <tableColumn id="10" xr3:uid="{0D119764-5D6A-44D7-A0C6-EAAE37326AEF}" name="Prazo_x000a_Fundido" dataDxfId="99"/>
    <tableColumn id="20" xr3:uid="{2835FDBA-B893-4E1E-9252-D088967B6B9B}" name="Semana_x000a_Fundido" dataDxfId="98">
      <calculatedColumnFormula>WEEKNUM(Tabela1[[#This Row],[Prazo
Fundido]])</calculatedColumnFormula>
    </tableColumn>
    <tableColumn id="11" xr3:uid="{357F67DE-6B6F-4353-906F-4FBB26ED7226}" name="Pz Fundido_x000a_Real" dataDxfId="97"/>
    <tableColumn id="12" xr3:uid="{5CF37CA2-8EC2-4A06-8A50-1305C1129D14}" name="Prazo_x000a_Entrega" dataDxfId="96"/>
    <tableColumn id="14" xr3:uid="{49E3A48F-4FBA-45ED-9BE5-0D3F2C039F64}" name="Dias_x000a_Falta2" dataDxfId="95">
      <calculatedColumnFormula>Tabela1[[#This Row],[Prazo
Entrega]]-TODAY()</calculatedColumnFormula>
    </tableColumn>
    <tableColumn id="24" xr3:uid="{FE82CCB3-C196-4A10-9CDF-EC3AAB610284}" name="Indicador" dataDxfId="94">
      <calculatedColumnFormula>IF(N2&lt;0,"ATRASADO",IF(N2&lt;=15,"ATENÇÃO","NO PRAZO"))</calculatedColumnFormula>
    </tableColumn>
    <tableColumn id="21" xr3:uid="{0E3EA19A-D149-4026-9EFA-582C442CDE24}" name="Semana_x000a_Entrega" dataDxfId="93">
      <calculatedColumnFormula>WEEKNUM(Tabela1[[#This Row],[Prazo
Entrega]],1)</calculatedColumnFormula>
    </tableColumn>
    <tableColumn id="13" xr3:uid="{0213EEC0-EBE2-48BA-B296-B21999E1620F}" name="Pz Entrega_x000a_Real" dataDxfId="92"/>
    <tableColumn id="22" xr3:uid="{8BBF8940-A612-415C-B30B-5BED69C42E59}" name="CONDIÇÃO" dataDxfId="91"/>
    <tableColumn id="35" xr3:uid="{DF0F32C7-2632-41CB-B20E-BE67D32DDFF8}" name="Desenho_x000a_Previsão" dataDxfId="90"/>
    <tableColumn id="33" xr3:uid="{B0C0F319-983E-42D8-8584-16523AED9BC7}" name="Des." dataDxfId="89"/>
    <tableColumn id="32" xr3:uid="{BB84EAAB-24E7-433E-8DE8-B7705F525D65}" name="Plainar" dataDxfId="88"/>
    <tableColumn id="31" xr3:uid="{811011C2-9E33-4F8A-BCD2-260DDF4CC060}" name="Facear" dataDxfId="87"/>
    <tableColumn id="30" xr3:uid="{EFE986D2-325F-4223-A6FC-89AFC0782517}" name="Serrar" dataDxfId="86"/>
    <tableColumn id="29" xr3:uid="{806CC413-43AC-4EDE-9413-A2852780B283}" name="Solda Dura" dataDxfId="85"/>
    <tableColumn id="28" xr3:uid="{669E3B74-6C47-4551-B95C-DE764412CB09}" name="Encaixe" dataDxfId="84"/>
    <tableColumn id="27" xr3:uid="{33B1427B-026C-4955-BEDC-C39ECFB35542}" name="Furação" dataDxfId="83"/>
    <tableColumn id="34" xr3:uid="{2004DA6B-65E8-4CFF-8DD6-03937C8E23A7}" name="Acabam." dataDxfId="82"/>
    <tableColumn id="25" xr3:uid="{94AD153B-B1BE-422C-9B64-A3F125946AE5}" name="Liberação" dataDxfId="81"/>
    <tableColumn id="23" xr3:uid="{6FFD36BA-4C85-4732-ACA9-BC9D46F4C26B}" name="Status Usinagem" dataDxfId="80">
      <calculatedColumnFormula>IF(L2="","AG. FUNDIDO",IF(U2="AG","AG. USINAGEM","EM USINAGEM"))</calculatedColumnFormula>
    </tableColumn>
    <tableColumn id="26" xr3:uid="{DF8CD1DA-6F25-4291-9F78-DB8D5E9AF463}" name="Observação" dataDxfId="79"/>
    <tableColumn id="15" xr3:uid="{8F53CFFE-8E1C-41F5-9090-488AE701829C}" name="Plainar_x000a_Facear" dataDxfId="78"/>
    <tableColumn id="16" xr3:uid="{EB12A620-BA24-453B-B639-A28F83CF7950}" name="Serrar2" dataDxfId="77"/>
    <tableColumn id="17" xr3:uid="{46D65A07-940A-4560-AFE5-056D37171937}" name="Solda_x000a_Dura2" dataDxfId="76"/>
    <tableColumn id="18" xr3:uid="{97823986-0C6D-4D6F-9BEE-2E43C2286AB2}" name="Encaixe /_x000a_Furação" dataDxfId="75"/>
    <tableColumn id="19" xr3:uid="{6F1924AE-480F-421A-BD70-FA16D1D4E641}" name="Acabam./_x000a_Inspeção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31" totalsRowShown="0" headerRowDxfId="73" dataDxfId="72">
  <autoFilter ref="A1:V131" xr:uid="{71E71FAB-CF6D-4765-90BA-ABDE8C3299DB}"/>
  <tableColumns count="22">
    <tableColumn id="1" xr3:uid="{8F000DF9-1B1A-450A-B138-9EDBA7F17698}" name="PV" dataDxfId="71"/>
    <tableColumn id="2" xr3:uid="{4269DD7F-E557-42AF-949B-69AB74B45D7E}" name="Item" dataDxfId="70"/>
    <tableColumn id="3" xr3:uid="{B8E3D127-9007-43BC-9B71-611446984BAE}" name="O.S." dataDxfId="69"/>
    <tableColumn id="4" xr3:uid="{8A9FBC4E-431D-4132-B7C4-86DD1CC31C1D}" name="Item2" dataDxfId="68"/>
    <tableColumn id="5" xr3:uid="{E43CCBA4-A724-44DA-9BFB-2AD45322EC54}" name="Cliente" dataDxfId="67"/>
    <tableColumn id="6" xr3:uid="{301560AA-7C28-4FE5-AC00-2A14532B12A0}" name="Peça" dataDxfId="66"/>
    <tableColumn id="7" xr3:uid="{864BB541-5CD2-4DAB-AEC1-ADDD341A77F2}" name="Seq." dataDxfId="65"/>
    <tableColumn id="8" xr3:uid="{39F09B1D-71EC-461C-93C5-C5FCECCA0EC0}" name="Descrição" dataDxfId="64"/>
    <tableColumn id="9" xr3:uid="{0CC8781A-4370-473C-AD18-F562622EB79C}" name="Qtde." dataDxfId="63"/>
    <tableColumn id="10" xr3:uid="{8FC48674-090B-441A-B05D-5E7E4AB5177C}" name="Prazo_x000a_Fundido" dataDxfId="62"/>
    <tableColumn id="11" xr3:uid="{2B85402B-261F-4CF1-8AC4-DE439E438480}" name="Semana_x000a_Fundido" dataDxfId="61">
      <calculatedColumnFormula>WEEKNUM(Tabela3[[#This Row],[Prazo
Fundido]])</calculatedColumnFormula>
    </tableColumn>
    <tableColumn id="12" xr3:uid="{F410DF31-AFC5-4525-B8D3-A2AB464611B3}" name="Pz Fundido_x000a_Real" dataDxfId="60"/>
    <tableColumn id="13" xr3:uid="{7330A8B8-B0FE-4571-921F-35503842576A}" name="Prazo_x000a_Entrega" dataDxfId="59"/>
    <tableColumn id="23" xr3:uid="{050BF892-6E0A-4C1A-85E3-06353D54D7AC}" name="Pz Entrega_x000a_Real" dataDxfId="58"/>
    <tableColumn id="22" xr3:uid="{07396B9E-F2A0-47CC-B1C1-8D6A8D782E82}" name="Desenho_x000a_Previsão" dataDxfId="57"/>
    <tableColumn id="14" xr3:uid="{98904960-EE6F-4F44-87C3-8646B8C2D461}" name="Des." dataDxfId="56"/>
    <tableColumn id="15" xr3:uid="{4C38D84D-3A40-493A-A007-3826C38C0F9D}" name="Dias_x000a_Falta2" dataDxfId="55">
      <calculatedColumnFormula>Tabela3[[#This Row],[Prazo
Entrega]]-TODAY()</calculatedColumnFormula>
    </tableColumn>
    <tableColumn id="16" xr3:uid="{431C9D70-8530-4071-911B-7AAC65DE848C}" name="Indicador" dataDxfId="54">
      <calculatedColumnFormula>IF(Q2&lt;0,"ATRASADO",IF(Q2&lt;=15,"ATENÇÃO","NO PRAZO"))</calculatedColumnFormula>
    </tableColumn>
    <tableColumn id="17" xr3:uid="{37B1BAB9-4A72-4AB5-85A7-CFF0F27D94A6}" name="Semana_x000a_Entrega" dataDxfId="53">
      <calculatedColumnFormula>WEEKNUM(Tabela3[[#This Row],[Prazo
Entrega]])</calculatedColumnFormula>
    </tableColumn>
    <tableColumn id="19" xr3:uid="{A127FC22-0D53-4D0F-B783-28394B3FD90C}" name="CONDIÇÃO" dataDxfId="52"/>
    <tableColumn id="20" xr3:uid="{F610A49E-78E2-480E-B901-6B99A41E5174}" name="Status Usinagem" dataDxfId="51"/>
    <tableColumn id="21" xr3:uid="{FA7288EB-0143-4C36-8591-BF7231A8226E}" name="Observaçã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49" dataDxfId="48">
  <autoFilter ref="A1:Z35" xr:uid="{2AC5416C-4E1B-4478-8A2A-B698870CAB96}"/>
  <tableColumns count="26">
    <tableColumn id="1" xr3:uid="{9A983B4E-3365-4153-9B40-D7FE26E8B98F}" name="PV " dataDxfId="47"/>
    <tableColumn id="2" xr3:uid="{4F16CD54-AAD4-4149-8D48-CC3FFEA93AA5}" name="Item" dataDxfId="46"/>
    <tableColumn id="3" xr3:uid="{27DB1DBC-B9DA-4067-9696-8CA5ACAAA450}" name="OS" dataDxfId="45"/>
    <tableColumn id="4" xr3:uid="{02C5E283-8ABF-44F8-B3B8-C3F186B4DF63}" name="Item2" dataDxfId="44"/>
    <tableColumn id="5" xr3:uid="{B1051CBE-EA72-4A43-8721-8756F3E2C9C9}" name="Cliente" dataDxfId="43"/>
    <tableColumn id="6" xr3:uid="{D81DBB81-327B-4EA3-89A3-229D33F3C14C}" name="Cod." dataDxfId="42"/>
    <tableColumn id="7" xr3:uid="{05B3DC4D-BFB9-401F-A18F-0D1B8527380B}" name="Seq." dataDxfId="41"/>
    <tableColumn id="8" xr3:uid="{9EBF401A-1F29-4CB3-BFA3-F2B326242AB0}" name="Descrição" dataDxfId="40"/>
    <tableColumn id="14" xr3:uid="{85D3397C-7F95-49C7-BFFB-35012CA3B716}" name="Qtd." dataDxfId="39"/>
    <tableColumn id="9" xr3:uid="{0D04583C-577A-446B-9773-A173C5C1C166}" name="Data Prev._x000a_Fundido" dataDxfId="38"/>
    <tableColumn id="10" xr3:uid="{935D3899-0C12-4408-89DF-490A507F79BA}" name="Data Real_x000a_Fundido" dataDxfId="37"/>
    <tableColumn id="11" xr3:uid="{0F06941F-293B-4C15-9764-BB3495C5D3BD}" name="Data Prev._x000a_Entrega" dataDxfId="36"/>
    <tableColumn id="12" xr3:uid="{92FF2511-5498-45BF-9B68-94DBEA588C5A}" name="Data Real_x000a_Entrega" dataDxfId="35"/>
    <tableColumn id="25" xr3:uid="{98545C7E-9674-485C-A07D-715E8945B00E}" name="Falta_x000a_Dias" dataDxfId="34">
      <calculatedColumnFormula>Tabela13[[#This Row],[Data Prev.
Entrega]]-TODAY()</calculatedColumnFormula>
    </tableColumn>
    <tableColumn id="27" xr3:uid="{4EB63243-AA79-4695-93C8-CEA977B11387}" name="Indicador" dataDxfId="33">
      <calculatedColumnFormula>IF(N2&lt;0,"ATRASADO",IF(N2&lt;=15,"ATENÇÃO","NO PRAZO"))</calculatedColumnFormula>
    </tableColumn>
    <tableColumn id="15" xr3:uid="{7AB992C1-F70E-4469-85BB-EBB7763B2038}" name="Condição" dataDxfId="32"/>
    <tableColumn id="24" xr3:uid="{B5965349-4BC8-4DF7-9EB4-857B6D471E8A}" name="Desenho_x000a_Previsão" dataDxfId="31"/>
    <tableColumn id="13" xr3:uid="{FD827F61-5F7F-4B65-8A60-B59D23455B46}" name="Des." dataDxfId="30"/>
    <tableColumn id="16" xr3:uid="{3D186A5F-076F-4232-B21C-37E58E5373B2}" name="Desb." dataDxfId="29"/>
    <tableColumn id="17" xr3:uid="{6EEDF11E-F341-4B3E-8CD2-5595785C3427}" name="T.T." dataDxfId="28"/>
    <tableColumn id="18" xr3:uid="{A84EFCF4-218F-4B17-8F46-8D5412141429}" name="Us. Final" dataDxfId="27"/>
    <tableColumn id="19" xr3:uid="{EBD50149-594D-440E-BFBB-E73ACAF7B6F8}" name="Fundo D." dataDxfId="26"/>
    <tableColumn id="20" xr3:uid="{91BE30ED-20C1-4F30-9041-45A50CCA04F0}" name="Acabam." dataDxfId="25"/>
    <tableColumn id="21" xr3:uid="{A1A12DF6-FC3D-4466-8284-DBD00DEAF994}" name="Liberação" dataDxfId="24"/>
    <tableColumn id="22" xr3:uid="{436F202D-DCF4-4376-A550-2541153BD99F}" name="Status Usinagem" dataDxfId="23">
      <calculatedColumnFormula>IF(K2="","AG. FUNDIDO",IF(X2="OK","LIBERADA","EM USINAGEM"))</calculatedColumnFormula>
    </tableColumn>
    <tableColumn id="23" xr3:uid="{F71E5739-8B79-47B3-9A24-E2E4D1DD46E6}" name="Observação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21" dataDxfId="20">
  <autoFilter ref="A1:T89" xr:uid="{8F2F252D-0322-4579-B9EF-622E98B5994C}"/>
  <tableColumns count="20">
    <tableColumn id="1" xr3:uid="{56D3DA8E-4CA8-4DC6-8208-BAB93CDE51C0}" name="PV" dataDxfId="19"/>
    <tableColumn id="2" xr3:uid="{B14AE1B6-8C05-4725-BF42-3DBDB37AA4E3}" name="item" dataDxfId="18"/>
    <tableColumn id="3" xr3:uid="{24FE1002-C88A-4623-8882-5F391ECAB319}" name="OS" dataDxfId="17"/>
    <tableColumn id="4" xr3:uid="{4ED6249C-2003-4F3F-AE5A-67316434275E}" name="Item2" dataDxfId="16"/>
    <tableColumn id="5" xr3:uid="{6CE5B2E1-F32C-4D32-93F0-A17C05267ADB}" name="Cliente" dataDxfId="15"/>
    <tableColumn id="6" xr3:uid="{605F51C8-79D3-407B-8642-02F131952C62}" name="Qtd." dataDxfId="14"/>
    <tableColumn id="7" xr3:uid="{3AC59FFB-0DC5-477B-B780-880A1FD84811}" name="Peça" dataDxfId="13"/>
    <tableColumn id="8" xr3:uid="{2EE377A7-B17C-442E-A107-012310DB953B}" name="Seq." dataDxfId="12"/>
    <tableColumn id="9" xr3:uid="{5366226E-7F3B-42E4-AC0C-86C659505CC8}" name="Descrição" dataDxfId="11"/>
    <tableColumn id="10" xr3:uid="{B0D229C5-5F5A-4951-A0B4-FEA62AEFBB36}" name="Prazo_x000a_Fundido" dataDxfId="10"/>
    <tableColumn id="11" xr3:uid="{8AE09F18-EB17-4537-8FBD-24671292144B}" name="Pz Fundido_x000a_Real" dataDxfId="9"/>
    <tableColumn id="12" xr3:uid="{965E0234-7E4B-482D-8943-132C1520AD21}" name="Prazo_x000a_Entrega" dataDxfId="8"/>
    <tableColumn id="13" xr3:uid="{D70BE32E-86AF-4C0F-893D-AC939E731683}" name="Pz Entrega_x000a_Real" dataDxfId="7"/>
    <tableColumn id="15" xr3:uid="{2FE637E5-62E2-4AE9-AE5A-BC264DC93D4F}" name="Falta_x000a_Dias" dataDxfId="6">
      <calculatedColumnFormula>Tabela4[[#This Row],[Prazo
Entrega]]-TODAY()</calculatedColumnFormula>
    </tableColumn>
    <tableColumn id="14" xr3:uid="{23AEF4D3-817F-4A15-AFBA-EC837E4BE1AE}" name="Indicador" dataDxfId="5">
      <calculatedColumnFormula>IF(N2&lt;0,"ATRASADO",IF(N2&lt;=15,"ATENÇÃO","NO PRAZO"))</calculatedColumnFormula>
    </tableColumn>
    <tableColumn id="16" xr3:uid="{78F55B7C-8E60-49C5-B1F7-B023E76BDA6E}" name="Condição" dataDxfId="4"/>
    <tableColumn id="20" xr3:uid="{A889C1FB-2FE0-407A-B849-FEB9F2CA4F96}" name="Desenho_x000a_Previsão" dataDxfId="3"/>
    <tableColumn id="19" xr3:uid="{FB1E21D0-A118-422F-AA5B-F56FFBA7B5E4}" name="Des." dataDxfId="2"/>
    <tableColumn id="17" xr3:uid="{C14325D6-C653-45B3-B85F-6AF107A71546}" name="Status" dataDxfId="1"/>
    <tableColumn id="18" xr3:uid="{C6F7CA6A-B8B3-4E22-B3E8-05FFB1A03AB6}" name="Observação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F127" sqref="F127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0.7109375" style="10" bestFit="1" customWidth="1"/>
    <col min="15" max="15" width="10.7109375" style="10" customWidth="1"/>
    <col min="16" max="16" width="11.85546875" style="12" bestFit="1" customWidth="1"/>
    <col min="17" max="17" width="10.28515625" style="10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68</v>
      </c>
      <c r="O1" s="38" t="s">
        <v>65</v>
      </c>
      <c r="P1" s="38" t="s">
        <v>33</v>
      </c>
      <c r="Q1" s="38" t="s">
        <v>21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40">
        <f ca="1">Tabela1[[#This Row],[Prazo
Entrega]]-TODAY()</f>
        <v>16</v>
      </c>
      <c r="O2" s="40" t="str">
        <f t="shared" ref="O2:O33" ca="1" si="0">IF(N2&lt;0,"ATRASADO",IF(N2&lt;=15,"ATENÇÃO","NO PRAZO"))</f>
        <v>NO PRAZO</v>
      </c>
      <c r="P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69</v>
      </c>
      <c r="Z2" s="10" t="s">
        <v>69</v>
      </c>
      <c r="AA2" s="10" t="s">
        <v>85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46213</v>
      </c>
      <c r="N3" s="40">
        <f ca="1">Tabela1[[#This Row],[Prazo
Entrega]]-TODAY()</f>
        <v>16</v>
      </c>
      <c r="O3" s="40" t="str">
        <f t="shared" ca="1" si="0"/>
        <v>NO PRAZO</v>
      </c>
      <c r="P3" s="40">
        <f>WEEKNUM(Tabela1[[#This Row],[Prazo
Entrega]],1)</f>
        <v>28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40">
        <f ca="1">Tabela1[[#This Row],[Prazo
Entrega]]-TODAY()</f>
        <v>16</v>
      </c>
      <c r="O4" s="40" t="str">
        <f t="shared" ca="1" si="0"/>
        <v>NO PRAZO</v>
      </c>
      <c r="P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85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46213</v>
      </c>
      <c r="N5" s="40">
        <f ca="1">Tabela1[[#This Row],[Prazo
Entrega]]-TODAY()</f>
        <v>16</v>
      </c>
      <c r="O5" s="40" t="str">
        <f t="shared" ca="1" si="0"/>
        <v>NO PRAZO</v>
      </c>
      <c r="P5" s="40">
        <f>WEEKNUM(Tabela1[[#This Row],[Prazo
Entrega]],1)</f>
        <v>28</v>
      </c>
      <c r="R5" s="10" t="s">
        <v>43</v>
      </c>
      <c r="S5" s="41" t="s">
        <v>69</v>
      </c>
      <c r="T5" s="16" t="s">
        <v>69</v>
      </c>
      <c r="U5" s="10" t="s">
        <v>85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46213</v>
      </c>
      <c r="N6" s="40">
        <f ca="1">Tabela1[[#This Row],[Prazo
Entrega]]-TODAY()</f>
        <v>16</v>
      </c>
      <c r="O6" s="40" t="str">
        <f t="shared" ca="1" si="0"/>
        <v>NO PRAZO</v>
      </c>
      <c r="P6" s="40">
        <f>WEEKNUM(Tabela1[[#This Row],[Prazo
Entrega]],1)</f>
        <v>28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46213</v>
      </c>
      <c r="N7" s="40">
        <f ca="1">Tabela1[[#This Row],[Prazo
Entrega]]-TODAY()</f>
        <v>16</v>
      </c>
      <c r="O7" s="40" t="str">
        <f t="shared" ca="1" si="0"/>
        <v>NO PRAZO</v>
      </c>
      <c r="P7" s="40">
        <f>WEEKNUM(Tabela1[[#This Row],[Prazo
Entrega]],1)</f>
        <v>28</v>
      </c>
      <c r="R7" s="10" t="s">
        <v>43</v>
      </c>
      <c r="S7" s="41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40">
        <f ca="1">Tabela1[[#This Row],[Prazo
Entrega]]-TODAY()</f>
        <v>16</v>
      </c>
      <c r="O8" s="40" t="str">
        <f t="shared" ca="1" si="0"/>
        <v>NO PRAZO</v>
      </c>
      <c r="P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40">
        <f ca="1">Tabela1[[#This Row],[Prazo
Entrega]]-TODAY()</f>
        <v>16</v>
      </c>
      <c r="O9" s="40" t="str">
        <f t="shared" ca="1" si="0"/>
        <v>NO PRAZO</v>
      </c>
      <c r="P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40">
        <f ca="1">Tabela1[[#This Row],[Prazo
Entrega]]-TODAY()</f>
        <v>16</v>
      </c>
      <c r="O10" s="40" t="str">
        <f t="shared" ca="1" si="0"/>
        <v>NO PRAZO</v>
      </c>
      <c r="P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40">
        <f ca="1">Tabela1[[#This Row],[Prazo
Entrega]]-TODAY()</f>
        <v>16</v>
      </c>
      <c r="O11" s="40" t="str">
        <f t="shared" ca="1" si="0"/>
        <v>NO PRAZO</v>
      </c>
      <c r="P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85</v>
      </c>
      <c r="AA11" s="10" t="s">
        <v>72</v>
      </c>
      <c r="AB11" s="10" t="s">
        <v>72</v>
      </c>
      <c r="AC11" s="10" t="str">
        <f t="shared" si="1"/>
        <v>EM USINAGEM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40">
        <f ca="1">Tabela1[[#This Row],[Prazo
Entrega]]-TODAY()</f>
        <v>23</v>
      </c>
      <c r="O12" s="40" t="str">
        <f t="shared" ca="1" si="0"/>
        <v>NO PRAZO</v>
      </c>
      <c r="P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72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AG.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40">
        <f ca="1">Tabela1[[#This Row],[Prazo
Entrega]]-TODAY()</f>
        <v>23</v>
      </c>
      <c r="O13" s="40" t="str">
        <f t="shared" ca="1" si="0"/>
        <v>NO PRAZO</v>
      </c>
      <c r="P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72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AG.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40">
        <f ca="1">Tabela1[[#This Row],[Prazo
Entrega]]-TODAY()</f>
        <v>23</v>
      </c>
      <c r="O14" s="40" t="str">
        <f t="shared" ca="1" si="0"/>
        <v>NO PRAZO</v>
      </c>
      <c r="P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72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AG.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40">
        <f ca="1">Tabela1[[#This Row],[Prazo
Entrega]]-TODAY()</f>
        <v>23</v>
      </c>
      <c r="O15" s="40" t="str">
        <f t="shared" ca="1" si="0"/>
        <v>NO PRAZO</v>
      </c>
      <c r="P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69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40">
        <f ca="1">Tabela1[[#This Row],[Prazo
Entrega]]-TODAY()</f>
        <v>23</v>
      </c>
      <c r="O16" s="40" t="str">
        <f t="shared" ca="1" si="0"/>
        <v>NO PRAZO</v>
      </c>
      <c r="P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85</v>
      </c>
      <c r="AB16" s="10" t="s">
        <v>72</v>
      </c>
      <c r="AC16" s="10" t="str">
        <f t="shared" si="1"/>
        <v>EM USINAGEM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46220</v>
      </c>
      <c r="N17" s="40">
        <f ca="1">Tabela1[[#This Row],[Prazo
Entrega]]-TODAY()</f>
        <v>23</v>
      </c>
      <c r="O17" s="40" t="str">
        <f t="shared" ca="1" si="0"/>
        <v>NO PRAZO</v>
      </c>
      <c r="P17" s="40">
        <f>WEEKNUM(Tabela1[[#This Row],[Prazo
Entrega]],1)</f>
        <v>29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85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46220</v>
      </c>
      <c r="N18" s="40">
        <f ca="1">Tabela1[[#This Row],[Prazo
Entrega]]-TODAY()</f>
        <v>23</v>
      </c>
      <c r="O18" s="40" t="str">
        <f t="shared" ca="1" si="0"/>
        <v>NO PRAZO</v>
      </c>
      <c r="P18" s="40">
        <f>WEEKNUM(Tabela1[[#This Row],[Prazo
Entrega]],1)</f>
        <v>29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46220</v>
      </c>
      <c r="N19" s="40">
        <f ca="1">Tabela1[[#This Row],[Prazo
Entrega]]-TODAY()</f>
        <v>23</v>
      </c>
      <c r="O19" s="40" t="str">
        <f t="shared" ca="1" si="0"/>
        <v>NO PRAZO</v>
      </c>
      <c r="P19" s="40">
        <f>WEEKNUM(Tabela1[[#This Row],[Prazo
Entrega]],1)</f>
        <v>29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46220</v>
      </c>
      <c r="N20" s="40">
        <f ca="1">Tabela1[[#This Row],[Prazo
Entrega]]-TODAY()</f>
        <v>23</v>
      </c>
      <c r="O20" s="40" t="str">
        <f t="shared" ca="1" si="0"/>
        <v>NO PRAZO</v>
      </c>
      <c r="P20" s="40">
        <f>WEEKNUM(Tabela1[[#This Row],[Prazo
Entrega]],1)</f>
        <v>29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40">
        <f ca="1">Tabela1[[#This Row],[Prazo
Entrega]]-TODAY()</f>
        <v>23</v>
      </c>
      <c r="O21" s="40" t="str">
        <f t="shared" ca="1" si="0"/>
        <v>NO PRAZO</v>
      </c>
      <c r="P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40">
        <f ca="1">Tabela1[[#This Row],[Prazo
Entrega]]-TODAY()</f>
        <v>30</v>
      </c>
      <c r="O22" s="40" t="str">
        <f t="shared" ca="1" si="0"/>
        <v>NO PRAZO</v>
      </c>
      <c r="P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40">
        <f ca="1">Tabela1[[#This Row],[Prazo
Entrega]]-TODAY()</f>
        <v>30</v>
      </c>
      <c r="O23" s="40" t="str">
        <f t="shared" ca="1" si="0"/>
        <v>NO PRAZO</v>
      </c>
      <c r="P23" s="40">
        <f>WEEKNUM(Tabela1[[#This Row],[Prazo
Entrega]],1)</f>
        <v>30</v>
      </c>
      <c r="Q23" s="11"/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40">
        <f ca="1">Tabela1[[#This Row],[Prazo
Entrega]]-TODAY()</f>
        <v>13</v>
      </c>
      <c r="O24" s="40" t="str">
        <f t="shared" ca="1" si="0"/>
        <v>ATENÇÃO</v>
      </c>
      <c r="P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40">
        <f ca="1">Tabela1[[#This Row],[Prazo
Entrega]]-TODAY()</f>
        <v>13</v>
      </c>
      <c r="O25" s="40" t="str">
        <f t="shared" ca="1" si="0"/>
        <v>ATENÇÃO</v>
      </c>
      <c r="P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40">
        <f ca="1">Tabela1[[#This Row],[Prazo
Entrega]]-TODAY()</f>
        <v>13</v>
      </c>
      <c r="O26" s="40" t="str">
        <f t="shared" ca="1" si="0"/>
        <v>ATENÇÃO</v>
      </c>
      <c r="P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40">
        <f ca="1">Tabela1[[#This Row],[Prazo
Entrega]]-TODAY()</f>
        <v>13</v>
      </c>
      <c r="O27" s="40" t="str">
        <f t="shared" ca="1" si="0"/>
        <v>ATENÇÃO</v>
      </c>
      <c r="P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85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40">
        <f ca="1">Tabela1[[#This Row],[Prazo
Entrega]]-TODAY()</f>
        <v>13</v>
      </c>
      <c r="O28" s="40" t="str">
        <f t="shared" ca="1" si="0"/>
        <v>ATENÇÃO</v>
      </c>
      <c r="P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85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40">
        <f ca="1">Tabela1[[#This Row],[Prazo
Entrega]]-TODAY()</f>
        <v>13</v>
      </c>
      <c r="O29" s="40" t="str">
        <f t="shared" ca="1" si="0"/>
        <v>ATENÇÃO</v>
      </c>
      <c r="P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40">
        <f ca="1">Tabela1[[#This Row],[Prazo
Entrega]]-TODAY()</f>
        <v>30</v>
      </c>
      <c r="O30" s="40" t="str">
        <f t="shared" ca="1" si="0"/>
        <v>NO PRAZO</v>
      </c>
      <c r="P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46227</v>
      </c>
      <c r="N31" s="40">
        <f ca="1">Tabela1[[#This Row],[Prazo
Entrega]]-TODAY()</f>
        <v>30</v>
      </c>
      <c r="O31" s="40" t="str">
        <f t="shared" ca="1" si="0"/>
        <v>NO PRAZO</v>
      </c>
      <c r="P31" s="40">
        <f>WEEKNUM(Tabela1[[#This Row],[Prazo
Entrega]],1)</f>
        <v>30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85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40">
        <f ca="1">Tabela1[[#This Row],[Prazo
Entrega]]-TODAY()</f>
        <v>30</v>
      </c>
      <c r="O32" s="40" t="str">
        <f t="shared" ca="1" si="0"/>
        <v>NO PRAZO</v>
      </c>
      <c r="P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40">
        <f ca="1">Tabela1[[#This Row],[Prazo
Entrega]]-TODAY()</f>
        <v>30</v>
      </c>
      <c r="O33" s="40" t="str">
        <f t="shared" ca="1" si="0"/>
        <v>NO PRAZO</v>
      </c>
      <c r="P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40">
        <f ca="1">Tabela1[[#This Row],[Prazo
Entrega]]-TODAY()</f>
        <v>30</v>
      </c>
      <c r="O34" s="40" t="str">
        <f t="shared" ref="O34:O65" ca="1" si="2">IF(N34&lt;0,"ATRASADO",IF(N34&lt;=15,"ATENÇÃO","NO PRAZO"))</f>
        <v>NO PRAZO</v>
      </c>
      <c r="P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40">
        <f ca="1">Tabela1[[#This Row],[Prazo
Entrega]]-TODAY()</f>
        <v>30</v>
      </c>
      <c r="O35" s="40" t="str">
        <f t="shared" ca="1" si="2"/>
        <v>NO PRAZO</v>
      </c>
      <c r="P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40">
        <f ca="1">Tabela1[[#This Row],[Prazo
Entrega]]-TODAY()</f>
        <v>30</v>
      </c>
      <c r="O36" s="40" t="str">
        <f t="shared" ca="1" si="2"/>
        <v>NO PRAZO</v>
      </c>
      <c r="P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40">
        <f ca="1">Tabela1[[#This Row],[Prazo
Entrega]]-TODAY()</f>
        <v>30</v>
      </c>
      <c r="O37" s="40" t="str">
        <f t="shared" ca="1" si="2"/>
        <v>NO PRAZO</v>
      </c>
      <c r="P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40">
        <f ca="1">Tabela1[[#This Row],[Prazo
Entrega]]-TODAY()</f>
        <v>37</v>
      </c>
      <c r="O38" s="40" t="str">
        <f t="shared" ca="1" si="2"/>
        <v>NO PRAZO</v>
      </c>
      <c r="P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40">
        <f ca="1">Tabela1[[#This Row],[Prazo
Entrega]]-TODAY()</f>
        <v>37</v>
      </c>
      <c r="O39" s="40" t="str">
        <f t="shared" ca="1" si="2"/>
        <v>NO PRAZO</v>
      </c>
      <c r="P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40">
        <f ca="1">Tabela1[[#This Row],[Prazo
Entrega]]-TODAY()</f>
        <v>37</v>
      </c>
      <c r="O40" s="40" t="str">
        <f t="shared" ca="1" si="2"/>
        <v>NO PRAZO</v>
      </c>
      <c r="P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40">
        <f ca="1">Tabela1[[#This Row],[Prazo
Entrega]]-TODAY()</f>
        <v>37</v>
      </c>
      <c r="O41" s="40" t="str">
        <f t="shared" ca="1" si="2"/>
        <v>NO PRAZO</v>
      </c>
      <c r="P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40">
        <f ca="1">Tabela1[[#This Row],[Prazo
Entrega]]-TODAY()</f>
        <v>37</v>
      </c>
      <c r="O42" s="40" t="str">
        <f t="shared" ca="1" si="2"/>
        <v>NO PRAZO</v>
      </c>
      <c r="P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40">
        <f ca="1">Tabela1[[#This Row],[Prazo
Entrega]]-TODAY()</f>
        <v>37</v>
      </c>
      <c r="O43" s="40" t="str">
        <f t="shared" ca="1" si="2"/>
        <v>NO PRAZO</v>
      </c>
      <c r="P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40">
        <f ca="1">Tabela1[[#This Row],[Prazo
Entrega]]-TODAY()</f>
        <v>37</v>
      </c>
      <c r="O44" s="40" t="str">
        <f t="shared" ca="1" si="2"/>
        <v>NO PRAZO</v>
      </c>
      <c r="P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40">
        <f ca="1">Tabela1[[#This Row],[Prazo
Entrega]]-TODAY()</f>
        <v>37</v>
      </c>
      <c r="O45" s="40" t="str">
        <f t="shared" ca="1" si="2"/>
        <v>NO PRAZO</v>
      </c>
      <c r="P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40">
        <f ca="1">Tabela1[[#This Row],[Prazo
Entrega]]-TODAY()</f>
        <v>37</v>
      </c>
      <c r="O46" s="40" t="str">
        <f t="shared" ca="1" si="2"/>
        <v>NO PRAZO</v>
      </c>
      <c r="P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40">
        <f ca="1">Tabela1[[#This Row],[Prazo
Entrega]]-TODAY()</f>
        <v>37</v>
      </c>
      <c r="O47" s="40" t="str">
        <f t="shared" ca="1" si="2"/>
        <v>NO PRAZO</v>
      </c>
      <c r="P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40">
        <f ca="1">Tabela1[[#This Row],[Prazo
Entrega]]-TODAY()</f>
        <v>44</v>
      </c>
      <c r="O48" s="40" t="str">
        <f t="shared" ca="1" si="2"/>
        <v>NO PRAZO</v>
      </c>
      <c r="P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40">
        <f ca="1">Tabela1[[#This Row],[Prazo
Entrega]]-TODAY()</f>
        <v>44</v>
      </c>
      <c r="O49" s="40" t="str">
        <f t="shared" ca="1" si="2"/>
        <v>NO PRAZO</v>
      </c>
      <c r="P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40">
        <f ca="1">Tabela1[[#This Row],[Prazo
Entrega]]-TODAY()</f>
        <v>44</v>
      </c>
      <c r="O50" s="40" t="str">
        <f t="shared" ca="1" si="2"/>
        <v>NO PRAZO</v>
      </c>
      <c r="P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40">
        <f ca="1">Tabela1[[#This Row],[Prazo
Entrega]]-TODAY()</f>
        <v>44</v>
      </c>
      <c r="O51" s="40" t="str">
        <f t="shared" ca="1" si="2"/>
        <v>NO PRAZO</v>
      </c>
      <c r="P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40">
        <f ca="1">Tabela1[[#This Row],[Prazo
Entrega]]-TODAY()</f>
        <v>44</v>
      </c>
      <c r="O52" s="40" t="str">
        <f t="shared" ca="1" si="2"/>
        <v>NO PRAZO</v>
      </c>
      <c r="P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40">
        <f ca="1">Tabela1[[#This Row],[Prazo
Entrega]]-TODAY()</f>
        <v>44</v>
      </c>
      <c r="O53" s="40" t="str">
        <f t="shared" ca="1" si="2"/>
        <v>NO PRAZO</v>
      </c>
      <c r="P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40">
        <f ca="1">Tabela1[[#This Row],[Prazo
Entrega]]-TODAY()</f>
        <v>44</v>
      </c>
      <c r="O54" s="40" t="str">
        <f t="shared" ca="1" si="2"/>
        <v>NO PRAZO</v>
      </c>
      <c r="P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40">
        <f ca="1">Tabela1[[#This Row],[Prazo
Entrega]]-TODAY()</f>
        <v>44</v>
      </c>
      <c r="O55" s="40" t="str">
        <f t="shared" ca="1" si="2"/>
        <v>NO PRAZO</v>
      </c>
      <c r="P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40">
        <f ca="1">Tabela1[[#This Row],[Prazo
Entrega]]-TODAY()</f>
        <v>44</v>
      </c>
      <c r="O56" s="40" t="str">
        <f t="shared" ca="1" si="2"/>
        <v>NO PRAZO</v>
      </c>
      <c r="P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40">
        <f ca="1">Tabela1[[#This Row],[Prazo
Entrega]]-TODAY()</f>
        <v>44</v>
      </c>
      <c r="O57" s="40" t="str">
        <f t="shared" ca="1" si="2"/>
        <v>NO PRAZO</v>
      </c>
      <c r="P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40">
        <f ca="1">Tabela1[[#This Row],[Prazo
Entrega]]-TODAY()</f>
        <v>51</v>
      </c>
      <c r="O58" s="40" t="str">
        <f t="shared" ca="1" si="2"/>
        <v>NO PRAZO</v>
      </c>
      <c r="P58" s="40">
        <f>WEEKNUM(Tabela1[[#This Row],[Prazo
Entrega]],1)</f>
        <v>33</v>
      </c>
      <c r="Q58" s="11"/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40">
        <f ca="1">Tabela1[[#This Row],[Prazo
Entrega]]-TODAY()</f>
        <v>51</v>
      </c>
      <c r="O59" s="40" t="str">
        <f t="shared" ca="1" si="2"/>
        <v>NO PRAZO</v>
      </c>
      <c r="P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M60" s="16">
        <v>46234</v>
      </c>
      <c r="N60" s="40">
        <f ca="1">Tabela1[[#This Row],[Prazo
Entrega]]-TODAY()</f>
        <v>37</v>
      </c>
      <c r="O60" s="40" t="str">
        <f t="shared" ca="1" si="2"/>
        <v>NO PRAZO</v>
      </c>
      <c r="P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M61" s="16">
        <v>46234</v>
      </c>
      <c r="N61" s="40">
        <f ca="1">Tabela1[[#This Row],[Prazo
Entrega]]-TODAY()</f>
        <v>37</v>
      </c>
      <c r="O61" s="40" t="str">
        <f t="shared" ca="1" si="2"/>
        <v>NO PRAZO</v>
      </c>
      <c r="P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40">
        <f ca="1">Tabela1[[#This Row],[Prazo
Entrega]]-TODAY()</f>
        <v>37</v>
      </c>
      <c r="O62" s="40" t="str">
        <f t="shared" ca="1" si="2"/>
        <v>NO PRAZO</v>
      </c>
      <c r="P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40">
        <f ca="1">Tabela1[[#This Row],[Prazo
Entrega]]-TODAY()</f>
        <v>37</v>
      </c>
      <c r="O63" s="40" t="str">
        <f t="shared" ca="1" si="2"/>
        <v>NO PRAZO</v>
      </c>
      <c r="P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40">
        <f ca="1">Tabela1[[#This Row],[Prazo
Entrega]]-TODAY()</f>
        <v>37</v>
      </c>
      <c r="O64" s="40" t="str">
        <f t="shared" ca="1" si="2"/>
        <v>NO PRAZO</v>
      </c>
      <c r="P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M65" s="16">
        <v>46234</v>
      </c>
      <c r="N65" s="40">
        <f ca="1">Tabela1[[#This Row],[Prazo
Entrega]]-TODAY()</f>
        <v>37</v>
      </c>
      <c r="O65" s="40" t="str">
        <f t="shared" ca="1" si="2"/>
        <v>NO PRAZO</v>
      </c>
      <c r="P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40">
        <f ca="1">Tabela1[[#This Row],[Prazo
Entrega]]-TODAY()</f>
        <v>37</v>
      </c>
      <c r="O66" s="40" t="str">
        <f t="shared" ref="O66:O89" ca="1" si="4">IF(N66&lt;0,"ATRASADO",IF(N66&lt;=15,"ATENÇÃO","NO PRAZO"))</f>
        <v>NO PRAZO</v>
      </c>
      <c r="P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89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40">
        <f ca="1">Tabela1[[#This Row],[Prazo
Entrega]]-TODAY()</f>
        <v>51</v>
      </c>
      <c r="O67" s="40" t="str">
        <f t="shared" ca="1" si="4"/>
        <v>NO PRAZO</v>
      </c>
      <c r="P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40">
        <f ca="1">Tabela1[[#This Row],[Prazo
Entrega]]-TODAY()</f>
        <v>51</v>
      </c>
      <c r="O68" s="40" t="str">
        <f t="shared" ca="1" si="4"/>
        <v>NO PRAZO</v>
      </c>
      <c r="P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40">
        <f ca="1">Tabela1[[#This Row],[Prazo
Entrega]]-TODAY()</f>
        <v>58</v>
      </c>
      <c r="O69" s="40" t="str">
        <f t="shared" ca="1" si="4"/>
        <v>NO PRAZO</v>
      </c>
      <c r="P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40">
        <f ca="1">Tabela1[[#This Row],[Prazo
Entrega]]-TODAY()</f>
        <v>58</v>
      </c>
      <c r="O70" s="40" t="str">
        <f t="shared" ca="1" si="4"/>
        <v>NO PRAZO</v>
      </c>
      <c r="P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40">
        <f ca="1">Tabela1[[#This Row],[Prazo
Entrega]]-TODAY()</f>
        <v>58</v>
      </c>
      <c r="O71" s="40" t="str">
        <f t="shared" ca="1" si="4"/>
        <v>NO PRAZO</v>
      </c>
      <c r="P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40">
        <f ca="1">Tabela1[[#This Row],[Prazo
Entrega]]-TODAY()</f>
        <v>58</v>
      </c>
      <c r="O72" s="40" t="str">
        <f t="shared" ca="1" si="4"/>
        <v>NO PRAZO</v>
      </c>
      <c r="P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40">
        <f ca="1">Tabela1[[#This Row],[Prazo
Entrega]]-TODAY()</f>
        <v>58</v>
      </c>
      <c r="O73" s="40" t="str">
        <f t="shared" ca="1" si="4"/>
        <v>NO PRAZO</v>
      </c>
      <c r="P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40">
        <f ca="1">Tabela1[[#This Row],[Prazo
Entrega]]-TODAY()</f>
        <v>58</v>
      </c>
      <c r="O74" s="40" t="str">
        <f t="shared" ca="1" si="4"/>
        <v>NO PRAZO</v>
      </c>
      <c r="P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40">
        <f ca="1">Tabela1[[#This Row],[Prazo
Entrega]]-TODAY()</f>
        <v>62</v>
      </c>
      <c r="O75" s="40" t="str">
        <f t="shared" ca="1" si="4"/>
        <v>NO PRAZO</v>
      </c>
      <c r="P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40">
        <f ca="1">Tabela1[[#This Row],[Prazo
Entrega]]-TODAY()</f>
        <v>62</v>
      </c>
      <c r="O76" s="40" t="str">
        <f t="shared" ca="1" si="4"/>
        <v>NO PRAZO</v>
      </c>
      <c r="P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40">
        <f ca="1">Tabela1[[#This Row],[Prazo
Entrega]]-TODAY()</f>
        <v>62</v>
      </c>
      <c r="O77" s="40" t="str">
        <f t="shared" ca="1" si="4"/>
        <v>NO PRAZO</v>
      </c>
      <c r="P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40">
        <f ca="1">Tabela1[[#This Row],[Prazo
Entrega]]-TODAY()</f>
        <v>38</v>
      </c>
      <c r="O78" s="40" t="str">
        <f t="shared" ca="1" si="4"/>
        <v>NO PRAZO</v>
      </c>
      <c r="P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40">
        <f ca="1">Tabela1[[#This Row],[Prazo
Entrega]]-TODAY()</f>
        <v>98</v>
      </c>
      <c r="O79" s="40" t="str">
        <f t="shared" ca="1" si="4"/>
        <v>NO PRAZO</v>
      </c>
      <c r="P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40">
        <f ca="1">Tabela1[[#This Row],[Prazo
Entrega]]-TODAY()</f>
        <v>38</v>
      </c>
      <c r="O80" s="40" t="str">
        <f t="shared" ca="1" si="4"/>
        <v>NO PRAZO</v>
      </c>
      <c r="P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40">
        <f ca="1">Tabela1[[#This Row],[Prazo
Entrega]]-TODAY()</f>
        <v>69</v>
      </c>
      <c r="O81" s="40" t="str">
        <f t="shared" ca="1" si="4"/>
        <v>NO PRAZO</v>
      </c>
      <c r="P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40">
        <f ca="1">Tabela1[[#This Row],[Prazo
Entrega]]-TODAY()</f>
        <v>69</v>
      </c>
      <c r="O82" s="40" t="str">
        <f t="shared" ca="1" si="4"/>
        <v>NO PRAZO</v>
      </c>
      <c r="P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40">
        <f ca="1">Tabela1[[#This Row],[Prazo
Entrega]]-TODAY()</f>
        <v>98</v>
      </c>
      <c r="O83" s="40" t="str">
        <f t="shared" ca="1" si="4"/>
        <v>NO PRAZO</v>
      </c>
      <c r="P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40">
        <f ca="1">Tabela1[[#This Row],[Prazo
Entrega]]-TODAY()</f>
        <v>113</v>
      </c>
      <c r="O84" s="40" t="str">
        <f t="shared" ca="1" si="4"/>
        <v>NO PRAZO</v>
      </c>
      <c r="P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40">
        <f ca="1">Tabela1[[#This Row],[Prazo
Entrega]]-TODAY()</f>
        <v>113</v>
      </c>
      <c r="O85" s="40" t="str">
        <f t="shared" ca="1" si="4"/>
        <v>NO PRAZO</v>
      </c>
      <c r="P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40">
        <f ca="1">Tabela1[[#This Row],[Prazo
Entrega]]-TODAY()</f>
        <v>113</v>
      </c>
      <c r="O86" s="40" t="str">
        <f t="shared" ca="1" si="4"/>
        <v>NO PRAZO</v>
      </c>
      <c r="P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40">
        <f ca="1">Tabela1[[#This Row],[Prazo
Entrega]]-TODAY()</f>
        <v>113</v>
      </c>
      <c r="O87" s="40" t="str">
        <f t="shared" ca="1" si="4"/>
        <v>NO PRAZO</v>
      </c>
      <c r="P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40">
        <f ca="1">Tabela1[[#This Row],[Prazo
Entrega]]-TODAY()</f>
        <v>113</v>
      </c>
      <c r="O88" s="40" t="str">
        <f t="shared" ca="1" si="4"/>
        <v>NO PRAZO</v>
      </c>
      <c r="P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40">
        <f ca="1">Tabela1[[#This Row],[Prazo
Entrega]]-TODAY()</f>
        <v>113</v>
      </c>
      <c r="O89" s="40" t="str">
        <f t="shared" ca="1" si="4"/>
        <v>NO PRAZO</v>
      </c>
      <c r="P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40">
        <f ca="1">Tabela1[[#This Row],[Prazo
Entrega]]-TODAY()</f>
        <v>84</v>
      </c>
      <c r="O90" s="40" t="str">
        <f t="shared" ref="O90:O94" ca="1" si="6">IF(N90&lt;0,"ATRASADO",IF(N90&lt;=15,"ATENÇÃO","NO PRAZO"))</f>
        <v>NO PRAZO</v>
      </c>
      <c r="P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ref="AC90" si="7">IF(L90="","AG. FUNDIDO",IF(U90="AG","AG. USINAGEM","EM USINAGEM"))</f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40">
        <f ca="1">Tabela1[[#This Row],[Prazo
Entrega]]-TODAY()</f>
        <v>84</v>
      </c>
      <c r="O91" s="40" t="str">
        <f t="shared" ca="1" si="6"/>
        <v>NO PRAZO</v>
      </c>
      <c r="P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ref="AC91:AC95" si="8">IF(L91="","AG. FUNDIDO",IF(U91="AG","AG. USINAGEM","EM USINAGEM"))</f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40">
        <f ca="1">Tabela1[[#This Row],[Prazo
Entrega]]-TODAY()</f>
        <v>84</v>
      </c>
      <c r="O92" s="40" t="str">
        <f t="shared" ca="1" si="6"/>
        <v>NO PRAZO</v>
      </c>
      <c r="P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8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40">
        <f ca="1">Tabela1[[#This Row],[Prazo
Entrega]]-TODAY()</f>
        <v>84</v>
      </c>
      <c r="O93" s="40" t="str">
        <f t="shared" ca="1" si="6"/>
        <v>NO PRAZO</v>
      </c>
      <c r="P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8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40">
        <f ca="1">Tabela1[[#This Row],[Prazo
Entrega]]-TODAY()</f>
        <v>84</v>
      </c>
      <c r="O94" s="40" t="str">
        <f t="shared" ca="1" si="6"/>
        <v>NO PRAZO</v>
      </c>
      <c r="P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8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40">
        <f ca="1">Tabela1[[#This Row],[Prazo
Entrega]]-TODAY()</f>
        <v>159</v>
      </c>
      <c r="O95" s="40" t="str">
        <f t="shared" ref="O95:O99" ca="1" si="9">IF(N95&lt;0,"ATRASADO",IF(N95&lt;=15,"ATENÇÃO","NO PRAZO"))</f>
        <v>NO PRAZO</v>
      </c>
      <c r="P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8"/>
        <v>AG. FUNDIDO</v>
      </c>
      <c r="AE95" s="43"/>
      <c r="AF95" s="44"/>
      <c r="AG95" s="44"/>
      <c r="AH95" s="44"/>
      <c r="AI95" s="45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40">
        <f ca="1">Tabela1[[#This Row],[Prazo
Entrega]]-TODAY()</f>
        <v>159</v>
      </c>
      <c r="O96" s="40" t="str">
        <f t="shared" ca="1" si="9"/>
        <v>NO PRAZO</v>
      </c>
      <c r="P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ref="AC96:AC109" si="10">IF(L96="","AG. FUNDIDO",IF(U96="AG","AG. USINAGEM","EM USINAGEM"))</f>
        <v>AG. FUNDIDO</v>
      </c>
      <c r="AE96" s="43"/>
      <c r="AF96" s="44"/>
      <c r="AG96" s="44"/>
      <c r="AH96" s="44"/>
      <c r="AI96" s="45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40">
        <f ca="1">Tabela1[[#This Row],[Prazo
Entrega]]-TODAY()</f>
        <v>159</v>
      </c>
      <c r="O97" s="40" t="str">
        <f t="shared" ca="1" si="9"/>
        <v>NO PRAZO</v>
      </c>
      <c r="P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10"/>
        <v>AG. FUNDIDO</v>
      </c>
      <c r="AE97" s="43"/>
      <c r="AF97" s="44"/>
      <c r="AG97" s="44"/>
      <c r="AH97" s="44"/>
      <c r="AI97" s="45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40">
        <f ca="1">Tabela1[[#This Row],[Prazo
Entrega]]-TODAY()</f>
        <v>159</v>
      </c>
      <c r="O98" s="40" t="str">
        <f t="shared" ca="1" si="9"/>
        <v>NO PRAZO</v>
      </c>
      <c r="P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si="10"/>
        <v>AG. FUNDIDO</v>
      </c>
      <c r="AE98" s="43"/>
      <c r="AF98" s="44"/>
      <c r="AG98" s="44"/>
      <c r="AH98" s="44"/>
      <c r="AI98" s="45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40">
        <f ca="1">Tabela1[[#This Row],[Prazo
Entrega]]-TODAY()</f>
        <v>159</v>
      </c>
      <c r="O99" s="40" t="str">
        <f t="shared" ca="1" si="9"/>
        <v>NO PRAZO</v>
      </c>
      <c r="P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10"/>
        <v>AG. FUNDIDO</v>
      </c>
      <c r="AE99" s="43"/>
      <c r="AF99" s="44"/>
      <c r="AG99" s="44"/>
      <c r="AH99" s="44"/>
      <c r="AI99" s="45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40">
        <f ca="1">Tabela1[[#This Row],[Prazo
Entrega]]-TODAY()</f>
        <v>159</v>
      </c>
      <c r="O100" s="40" t="str">
        <f ca="1">IF(N100&lt;0,"ATRASADO",IF(N100&lt;=15,"ATENÇÃO","NO PRAZO"))</f>
        <v>NO PRAZO</v>
      </c>
      <c r="P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10"/>
        <v>AG. FUNDIDO</v>
      </c>
      <c r="AE100" s="43"/>
      <c r="AF100" s="44"/>
      <c r="AG100" s="44"/>
      <c r="AH100" s="44"/>
      <c r="AI100" s="45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40">
        <f ca="1">Tabela1[[#This Row],[Prazo
Entrega]]-TODAY()</f>
        <v>159</v>
      </c>
      <c r="O101" s="40" t="str">
        <f t="shared" ref="O101:O109" ca="1" si="11">IF(N101&lt;0,"ATRASADO",IF(N101&lt;=15,"ATENÇÃO","NO PRAZO"))</f>
        <v>NO PRAZO</v>
      </c>
      <c r="P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10"/>
        <v>AG. FUNDIDO</v>
      </c>
      <c r="AE101" s="43"/>
      <c r="AF101" s="44"/>
      <c r="AG101" s="44"/>
      <c r="AH101" s="44"/>
      <c r="AI101" s="45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40">
        <f ca="1">Tabela1[[#This Row],[Prazo
Entrega]]-TODAY()</f>
        <v>159</v>
      </c>
      <c r="O102" s="40" t="str">
        <f t="shared" ca="1" si="11"/>
        <v>NO PRAZO</v>
      </c>
      <c r="P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10"/>
        <v>AG. FUNDIDO</v>
      </c>
      <c r="AE102" s="43"/>
      <c r="AF102" s="44"/>
      <c r="AG102" s="44"/>
      <c r="AH102" s="44"/>
      <c r="AI102" s="45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40">
        <f ca="1">Tabela1[[#This Row],[Prazo
Entrega]]-TODAY()</f>
        <v>159</v>
      </c>
      <c r="O103" s="40" t="str">
        <f t="shared" ca="1" si="11"/>
        <v>NO PRAZO</v>
      </c>
      <c r="P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10"/>
        <v>AG. FUNDIDO</v>
      </c>
      <c r="AE103" s="43"/>
      <c r="AF103" s="44"/>
      <c r="AG103" s="44"/>
      <c r="AH103" s="44"/>
      <c r="AI103" s="45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40">
        <f ca="1">Tabela1[[#This Row],[Prazo
Entrega]]-TODAY()</f>
        <v>159</v>
      </c>
      <c r="O104" s="40" t="str">
        <f t="shared" ca="1" si="11"/>
        <v>NO PRAZO</v>
      </c>
      <c r="P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10"/>
        <v>AG. FUNDIDO</v>
      </c>
      <c r="AE104" s="43"/>
      <c r="AF104" s="44"/>
      <c r="AG104" s="44"/>
      <c r="AH104" s="44"/>
      <c r="AI104" s="45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40">
        <f ca="1">Tabela1[[#This Row],[Prazo
Entrega]]-TODAY()</f>
        <v>159</v>
      </c>
      <c r="O105" s="40" t="str">
        <f t="shared" ca="1" si="11"/>
        <v>NO PRAZO</v>
      </c>
      <c r="P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10"/>
        <v>AG. FUNDIDO</v>
      </c>
      <c r="AE105" s="43"/>
      <c r="AF105" s="44"/>
      <c r="AG105" s="44"/>
      <c r="AH105" s="44"/>
      <c r="AI105" s="45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40">
        <f ca="1">Tabela1[[#This Row],[Prazo
Entrega]]-TODAY()</f>
        <v>159</v>
      </c>
      <c r="O106" s="40" t="str">
        <f t="shared" ca="1" si="11"/>
        <v>NO PRAZO</v>
      </c>
      <c r="P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10"/>
        <v>AG. FUNDIDO</v>
      </c>
      <c r="AE106" s="43"/>
      <c r="AF106" s="44"/>
      <c r="AG106" s="44"/>
      <c r="AH106" s="44"/>
      <c r="AI106" s="45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40">
        <f ca="1">Tabela1[[#This Row],[Prazo
Entrega]]-TODAY()</f>
        <v>159</v>
      </c>
      <c r="O107" s="40" t="str">
        <f t="shared" ca="1" si="11"/>
        <v>NO PRAZO</v>
      </c>
      <c r="P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10"/>
        <v>AG. FUNDIDO</v>
      </c>
      <c r="AE107" s="43"/>
      <c r="AF107" s="44"/>
      <c r="AG107" s="44"/>
      <c r="AH107" s="44"/>
      <c r="AI107" s="45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40">
        <f ca="1">Tabela1[[#This Row],[Prazo
Entrega]]-TODAY()</f>
        <v>159</v>
      </c>
      <c r="O108" s="40" t="str">
        <f t="shared" ca="1" si="11"/>
        <v>NO PRAZO</v>
      </c>
      <c r="P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10"/>
        <v>AG. FUNDIDO</v>
      </c>
      <c r="AE108" s="43"/>
      <c r="AF108" s="44"/>
      <c r="AG108" s="44"/>
      <c r="AH108" s="44"/>
      <c r="AI108" s="45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40">
        <f ca="1">Tabela1[[#This Row],[Prazo
Entrega]]-TODAY()</f>
        <v>159</v>
      </c>
      <c r="O109" s="40" t="str">
        <f t="shared" ca="1" si="11"/>
        <v>NO PRAZO</v>
      </c>
      <c r="P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10"/>
        <v>AG. FUNDIDO</v>
      </c>
      <c r="AE109" s="43"/>
      <c r="AF109" s="44"/>
      <c r="AG109" s="44"/>
      <c r="AH109" s="44"/>
      <c r="AI109" s="45"/>
    </row>
    <row r="110" spans="1:35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157</v>
      </c>
      <c r="F110" s="15" t="s">
        <v>77</v>
      </c>
      <c r="G110" s="15" t="s">
        <v>77</v>
      </c>
      <c r="H110" s="15" t="s">
        <v>158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40">
        <f ca="1">Tabela1[[#This Row],[Prazo
Entrega]]-TODAY()</f>
        <v>159</v>
      </c>
      <c r="O110" s="40" t="str">
        <f ca="1">IF(N110&lt;0,"ATRASADO",IF(N110&lt;=15,"ATENÇÃO","NO PRAZO"))</f>
        <v>NO PRAZO</v>
      </c>
      <c r="P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>IF(L110="","AG. FUNDIDO",IF(U110="AG","AG. USINAGEM","EM USINAGEM"))</f>
        <v>AG. FUNDIDO</v>
      </c>
      <c r="AE110" s="43"/>
      <c r="AF110" s="44"/>
      <c r="AG110" s="44"/>
      <c r="AH110" s="44"/>
      <c r="AI110" s="45"/>
    </row>
    <row r="111" spans="1:35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157</v>
      </c>
      <c r="F111" s="15" t="s">
        <v>77</v>
      </c>
      <c r="G111" s="15" t="s">
        <v>77</v>
      </c>
      <c r="H111" s="15" t="s">
        <v>158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40">
        <f ca="1">Tabela1[[#This Row],[Prazo
Entrega]]-TODAY()</f>
        <v>159</v>
      </c>
      <c r="O111" s="40" t="str">
        <f t="shared" ref="O111:O114" ca="1" si="12">IF(N111&lt;0,"ATRASADO",IF(N111&lt;=15,"ATENÇÃO","NO PRAZO"))</f>
        <v>NO PRAZO</v>
      </c>
      <c r="P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ref="AC111:AC114" si="13">IF(L111="","AG. FUNDIDO",IF(U111="AG","AG. USINAGEM","EM USINAGEM"))</f>
        <v>AG. FUNDIDO</v>
      </c>
      <c r="AE111" s="43"/>
      <c r="AF111" s="44"/>
      <c r="AG111" s="44"/>
      <c r="AH111" s="44"/>
      <c r="AI111" s="45"/>
    </row>
    <row r="112" spans="1:35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157</v>
      </c>
      <c r="F112" s="15" t="s">
        <v>77</v>
      </c>
      <c r="G112" s="15" t="s">
        <v>77</v>
      </c>
      <c r="H112" s="15" t="s">
        <v>158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40">
        <f ca="1">Tabela1[[#This Row],[Prazo
Entrega]]-TODAY()</f>
        <v>159</v>
      </c>
      <c r="O112" s="40" t="str">
        <f t="shared" ca="1" si="12"/>
        <v>NO PRAZO</v>
      </c>
      <c r="P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13"/>
        <v>AG. FUNDIDO</v>
      </c>
      <c r="AE112" s="43"/>
      <c r="AF112" s="44"/>
      <c r="AG112" s="44"/>
      <c r="AH112" s="44"/>
      <c r="AI112" s="45"/>
    </row>
    <row r="113" spans="1:35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157</v>
      </c>
      <c r="F113" s="15" t="s">
        <v>77</v>
      </c>
      <c r="G113" s="15" t="s">
        <v>77</v>
      </c>
      <c r="H113" s="15" t="s">
        <v>158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40">
        <f ca="1">Tabela1[[#This Row],[Prazo
Entrega]]-TODAY()</f>
        <v>159</v>
      </c>
      <c r="O113" s="40" t="str">
        <f t="shared" ca="1" si="12"/>
        <v>NO PRAZO</v>
      </c>
      <c r="P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13"/>
        <v>AG. FUNDIDO</v>
      </c>
      <c r="AE113" s="43"/>
      <c r="AF113" s="44"/>
      <c r="AG113" s="44"/>
      <c r="AH113" s="44"/>
      <c r="AI113" s="45"/>
    </row>
    <row r="114" spans="1:35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157</v>
      </c>
      <c r="F114" s="15" t="s">
        <v>77</v>
      </c>
      <c r="G114" s="15" t="s">
        <v>77</v>
      </c>
      <c r="H114" s="15" t="s">
        <v>158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40">
        <f ca="1">Tabela1[[#This Row],[Prazo
Entrega]]-TODAY()</f>
        <v>159</v>
      </c>
      <c r="O114" s="40" t="str">
        <f t="shared" ca="1" si="12"/>
        <v>NO PRAZO</v>
      </c>
      <c r="P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13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31"/>
  <sheetViews>
    <sheetView topLeftCell="A109" workbookViewId="0">
      <selection activeCell="E127" sqref="E12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14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14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14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14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14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14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14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14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14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14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172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14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172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14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172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14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14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14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14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14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14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14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14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14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14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14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14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14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14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14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14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14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14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14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36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36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36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36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36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69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69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69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69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69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69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69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69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69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69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69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69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79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79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79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79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79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79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79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79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79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79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79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79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79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79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79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89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89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89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89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89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89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89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89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89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89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89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89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89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89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89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69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69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69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99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99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99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99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99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99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99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99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99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157</v>
      </c>
      <c r="F92" s="10" t="s">
        <v>77</v>
      </c>
      <c r="G92" s="10" t="s">
        <v>77</v>
      </c>
      <c r="H92" s="10" t="s">
        <v>173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128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157</v>
      </c>
      <c r="F93" s="10" t="s">
        <v>77</v>
      </c>
      <c r="G93" s="10" t="s">
        <v>77</v>
      </c>
      <c r="H93" s="10" t="s">
        <v>173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128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157</v>
      </c>
      <c r="F94" s="10" t="s">
        <v>77</v>
      </c>
      <c r="G94" s="10" t="s">
        <v>77</v>
      </c>
      <c r="H94" s="10" t="s">
        <v>173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128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157</v>
      </c>
      <c r="F95" s="10" t="s">
        <v>77</v>
      </c>
      <c r="G95" s="10" t="s">
        <v>77</v>
      </c>
      <c r="H95" s="10" t="s">
        <v>173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128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157</v>
      </c>
      <c r="F96" s="10" t="s">
        <v>77</v>
      </c>
      <c r="G96" s="10" t="s">
        <v>77</v>
      </c>
      <c r="H96" s="10" t="s">
        <v>173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128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157</v>
      </c>
      <c r="F97" s="10" t="s">
        <v>77</v>
      </c>
      <c r="G97" s="10" t="s">
        <v>77</v>
      </c>
      <c r="H97" s="10" t="s">
        <v>173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128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157</v>
      </c>
      <c r="F98" s="10" t="s">
        <v>77</v>
      </c>
      <c r="G98" s="10" t="s">
        <v>77</v>
      </c>
      <c r="H98" s="10" t="s">
        <v>173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128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157</v>
      </c>
      <c r="F99" s="10" t="s">
        <v>77</v>
      </c>
      <c r="G99" s="10" t="s">
        <v>77</v>
      </c>
      <c r="H99" s="10" t="s">
        <v>173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128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157</v>
      </c>
      <c r="F100" s="10" t="s">
        <v>77</v>
      </c>
      <c r="G100" s="10" t="s">
        <v>77</v>
      </c>
      <c r="H100" s="10" t="s">
        <v>173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128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157</v>
      </c>
      <c r="F101" s="10" t="s">
        <v>77</v>
      </c>
      <c r="G101" s="10" t="s">
        <v>77</v>
      </c>
      <c r="H101" s="10" t="s">
        <v>173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128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157</v>
      </c>
      <c r="F102" s="10" t="s">
        <v>77</v>
      </c>
      <c r="G102" s="10" t="s">
        <v>77</v>
      </c>
      <c r="H102" s="10" t="s">
        <v>173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128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157</v>
      </c>
      <c r="F103" s="10" t="s">
        <v>77</v>
      </c>
      <c r="G103" s="10" t="s">
        <v>77</v>
      </c>
      <c r="H103" s="10" t="s">
        <v>173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128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157</v>
      </c>
      <c r="F104" s="10" t="s">
        <v>77</v>
      </c>
      <c r="G104" s="10" t="s">
        <v>77</v>
      </c>
      <c r="H104" s="10" t="s">
        <v>173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128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157</v>
      </c>
      <c r="F105" s="10" t="s">
        <v>77</v>
      </c>
      <c r="G105" s="10" t="s">
        <v>77</v>
      </c>
      <c r="H105" s="10" t="s">
        <v>174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128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157</v>
      </c>
      <c r="F106" s="10" t="s">
        <v>77</v>
      </c>
      <c r="G106" s="10" t="s">
        <v>77</v>
      </c>
      <c r="H106" s="10" t="s">
        <v>174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128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157</v>
      </c>
      <c r="F107" s="10" t="s">
        <v>77</v>
      </c>
      <c r="G107" s="10" t="s">
        <v>77</v>
      </c>
      <c r="H107" s="10" t="s">
        <v>174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128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157</v>
      </c>
      <c r="F108" s="10" t="s">
        <v>77</v>
      </c>
      <c r="G108" s="10" t="s">
        <v>77</v>
      </c>
      <c r="H108" s="10" t="s">
        <v>174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128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157</v>
      </c>
      <c r="F109" s="10" t="s">
        <v>77</v>
      </c>
      <c r="G109" s="10" t="s">
        <v>77</v>
      </c>
      <c r="H109" s="10" t="s">
        <v>174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128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157</v>
      </c>
      <c r="F110" s="10" t="s">
        <v>77</v>
      </c>
      <c r="G110" s="10" t="s">
        <v>77</v>
      </c>
      <c r="H110" s="10" t="s">
        <v>174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128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157</v>
      </c>
      <c r="F111" s="10" t="s">
        <v>77</v>
      </c>
      <c r="G111" s="10" t="s">
        <v>77</v>
      </c>
      <c r="H111" s="10" t="s">
        <v>174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128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157</v>
      </c>
      <c r="F112" s="10" t="s">
        <v>77</v>
      </c>
      <c r="G112" s="10" t="s">
        <v>77</v>
      </c>
      <c r="H112" s="10" t="s">
        <v>174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128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157</v>
      </c>
      <c r="F113" s="10" t="s">
        <v>77</v>
      </c>
      <c r="G113" s="10" t="s">
        <v>77</v>
      </c>
      <c r="H113" s="10" t="s">
        <v>174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128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157</v>
      </c>
      <c r="F114" s="10" t="s">
        <v>77</v>
      </c>
      <c r="G114" s="10" t="s">
        <v>77</v>
      </c>
      <c r="H114" s="10" t="s">
        <v>174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128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157</v>
      </c>
      <c r="F115" s="10" t="s">
        <v>77</v>
      </c>
      <c r="G115" s="10" t="s">
        <v>77</v>
      </c>
      <c r="H115" s="10" t="s">
        <v>174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128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157</v>
      </c>
      <c r="F116" s="10" t="s">
        <v>77</v>
      </c>
      <c r="G116" s="10" t="s">
        <v>77</v>
      </c>
      <c r="H116" s="10" t="s">
        <v>175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128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157</v>
      </c>
      <c r="F117" s="10" t="s">
        <v>77</v>
      </c>
      <c r="G117" s="10" t="s">
        <v>77</v>
      </c>
      <c r="H117" s="10" t="s">
        <v>175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128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157</v>
      </c>
      <c r="F118" s="10" t="s">
        <v>77</v>
      </c>
      <c r="G118" s="10" t="s">
        <v>77</v>
      </c>
      <c r="H118" s="10" t="s">
        <v>175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128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157</v>
      </c>
      <c r="F119" s="10" t="s">
        <v>77</v>
      </c>
      <c r="G119" s="10" t="s">
        <v>77</v>
      </c>
      <c r="H119" s="10" t="s">
        <v>175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128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157</v>
      </c>
      <c r="F120" s="10" t="s">
        <v>77</v>
      </c>
      <c r="G120" s="10" t="s">
        <v>77</v>
      </c>
      <c r="H120" s="10" t="s">
        <v>175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128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157</v>
      </c>
      <c r="F121" s="10" t="s">
        <v>77</v>
      </c>
      <c r="G121" s="10" t="s">
        <v>77</v>
      </c>
      <c r="H121" s="10" t="s">
        <v>175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128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157</v>
      </c>
      <c r="F122" s="10" t="s">
        <v>77</v>
      </c>
      <c r="G122" s="10" t="s">
        <v>77</v>
      </c>
      <c r="H122" s="10" t="s">
        <v>175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128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157</v>
      </c>
      <c r="F123" s="10" t="s">
        <v>77</v>
      </c>
      <c r="G123" s="10" t="s">
        <v>77</v>
      </c>
      <c r="H123" s="10" t="s">
        <v>175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128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157</v>
      </c>
      <c r="F124" s="10" t="s">
        <v>77</v>
      </c>
      <c r="G124" s="10" t="s">
        <v>77</v>
      </c>
      <c r="H124" s="10" t="s">
        <v>176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128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157</v>
      </c>
      <c r="F125" s="10" t="s">
        <v>77</v>
      </c>
      <c r="G125" s="10" t="s">
        <v>77</v>
      </c>
      <c r="H125" s="10" t="s">
        <v>176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128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157</v>
      </c>
      <c r="F126" s="10" t="s">
        <v>77</v>
      </c>
      <c r="G126" s="10" t="s">
        <v>77</v>
      </c>
      <c r="H126" s="10" t="s">
        <v>176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128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157</v>
      </c>
      <c r="F127" s="10" t="s">
        <v>77</v>
      </c>
      <c r="G127" s="10" t="s">
        <v>77</v>
      </c>
      <c r="H127" s="10" t="s">
        <v>176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128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157</v>
      </c>
      <c r="F128" s="10" t="s">
        <v>77</v>
      </c>
      <c r="G128" s="10" t="s">
        <v>77</v>
      </c>
      <c r="H128" s="10" t="s">
        <v>176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128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157</v>
      </c>
      <c r="F129" s="10" t="s">
        <v>77</v>
      </c>
      <c r="G129" s="10" t="s">
        <v>77</v>
      </c>
      <c r="H129" s="10" t="s">
        <v>176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128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157</v>
      </c>
      <c r="F130" s="10" t="s">
        <v>77</v>
      </c>
      <c r="G130" s="10" t="s">
        <v>77</v>
      </c>
      <c r="H130" s="10" t="s">
        <v>176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128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157</v>
      </c>
      <c r="F131" s="10" t="s">
        <v>77</v>
      </c>
      <c r="G131" s="10" t="s">
        <v>77</v>
      </c>
      <c r="H131" s="10" t="s">
        <v>176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128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72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72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42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42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42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98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42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69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69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69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69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69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98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98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98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83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83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83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83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83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83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83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83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83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177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177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177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89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89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89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177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177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177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177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F91" sqref="F91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57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57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57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57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57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57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57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57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-19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179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179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179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179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179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179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84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84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179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179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179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179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179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179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179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179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179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179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179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179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179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179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179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179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179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179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179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179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179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179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179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179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179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179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179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179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179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179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179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179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179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179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6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157</v>
      </c>
      <c r="F54" s="14">
        <v>1</v>
      </c>
      <c r="G54" s="14" t="s">
        <v>77</v>
      </c>
      <c r="H54" s="14" t="s">
        <v>77</v>
      </c>
      <c r="I54" s="6" t="s">
        <v>159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159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157</v>
      </c>
      <c r="F55" s="14">
        <v>1</v>
      </c>
      <c r="G55" s="14" t="s">
        <v>77</v>
      </c>
      <c r="H55" s="14" t="s">
        <v>77</v>
      </c>
      <c r="I55" s="6" t="s">
        <v>159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159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157</v>
      </c>
      <c r="F56" s="14">
        <v>1</v>
      </c>
      <c r="G56" s="14" t="s">
        <v>77</v>
      </c>
      <c r="H56" s="14" t="s">
        <v>77</v>
      </c>
      <c r="I56" s="6" t="s">
        <v>160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159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157</v>
      </c>
      <c r="F57" s="14">
        <v>1</v>
      </c>
      <c r="G57" s="14" t="s">
        <v>77</v>
      </c>
      <c r="H57" s="14" t="s">
        <v>77</v>
      </c>
      <c r="I57" s="6" t="s">
        <v>160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159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157</v>
      </c>
      <c r="F58" s="14">
        <v>1</v>
      </c>
      <c r="G58" s="14" t="s">
        <v>77</v>
      </c>
      <c r="H58" s="14" t="s">
        <v>77</v>
      </c>
      <c r="I58" s="6" t="s">
        <v>161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159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157</v>
      </c>
      <c r="F59" s="14">
        <v>1</v>
      </c>
      <c r="G59" s="14" t="s">
        <v>77</v>
      </c>
      <c r="H59" s="14" t="s">
        <v>77</v>
      </c>
      <c r="I59" s="6" t="s">
        <v>161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159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157</v>
      </c>
      <c r="F60" s="14">
        <v>1</v>
      </c>
      <c r="G60" s="14" t="s">
        <v>77</v>
      </c>
      <c r="H60" s="14" t="s">
        <v>77</v>
      </c>
      <c r="I60" s="6" t="s">
        <v>162</v>
      </c>
      <c r="J60" s="7">
        <v>46295</v>
      </c>
      <c r="L60" s="7">
        <v>46356</v>
      </c>
      <c r="N60" s="13">
        <f ca="1">Tabela4[[#This Row],[Prazo
Entrega]]-TODAY()</f>
        <v>159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157</v>
      </c>
      <c r="F61" s="14">
        <v>1</v>
      </c>
      <c r="G61" s="14" t="s">
        <v>77</v>
      </c>
      <c r="H61" s="14" t="s">
        <v>77</v>
      </c>
      <c r="I61" s="6" t="s">
        <v>162</v>
      </c>
      <c r="J61" s="7">
        <v>46295</v>
      </c>
      <c r="L61" s="7">
        <v>46356</v>
      </c>
      <c r="N61" s="13">
        <f ca="1">Tabela4[[#This Row],[Prazo
Entrega]]-TODAY()</f>
        <v>159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157</v>
      </c>
      <c r="F62" s="14">
        <v>1</v>
      </c>
      <c r="G62" s="14" t="s">
        <v>77</v>
      </c>
      <c r="H62" s="14" t="s">
        <v>77</v>
      </c>
      <c r="I62" s="6" t="s">
        <v>163</v>
      </c>
      <c r="J62" s="7">
        <v>46295</v>
      </c>
      <c r="L62" s="7">
        <v>46356</v>
      </c>
      <c r="N62" s="13">
        <f ca="1">Tabela4[[#This Row],[Prazo
Entrega]]-TODAY()</f>
        <v>159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157</v>
      </c>
      <c r="F63" s="14">
        <v>1</v>
      </c>
      <c r="G63" s="14" t="s">
        <v>77</v>
      </c>
      <c r="H63" s="14" t="s">
        <v>77</v>
      </c>
      <c r="I63" s="6" t="s">
        <v>164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159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157</v>
      </c>
      <c r="F64" s="14">
        <v>1</v>
      </c>
      <c r="G64" s="14" t="s">
        <v>77</v>
      </c>
      <c r="H64" s="14" t="s">
        <v>77</v>
      </c>
      <c r="I64" s="6" t="s">
        <v>164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159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157</v>
      </c>
      <c r="F65" s="14">
        <v>1</v>
      </c>
      <c r="G65" s="14" t="s">
        <v>77</v>
      </c>
      <c r="H65" s="14" t="s">
        <v>77</v>
      </c>
      <c r="I65" s="6" t="s">
        <v>164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159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157</v>
      </c>
      <c r="F66" s="14">
        <v>1</v>
      </c>
      <c r="G66" s="14" t="s">
        <v>77</v>
      </c>
      <c r="H66" s="14" t="s">
        <v>77</v>
      </c>
      <c r="I66" s="6" t="s">
        <v>164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159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157</v>
      </c>
      <c r="F67" s="14">
        <v>1</v>
      </c>
      <c r="G67" s="14" t="s">
        <v>77</v>
      </c>
      <c r="H67" s="14" t="s">
        <v>77</v>
      </c>
      <c r="I67" s="6" t="s">
        <v>164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159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157</v>
      </c>
      <c r="F68" s="14">
        <v>1</v>
      </c>
      <c r="G68" s="14" t="s">
        <v>77</v>
      </c>
      <c r="H68" s="14" t="s">
        <v>77</v>
      </c>
      <c r="I68" s="6" t="s">
        <v>165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159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157</v>
      </c>
      <c r="F69" s="14">
        <v>1</v>
      </c>
      <c r="G69" s="14" t="s">
        <v>77</v>
      </c>
      <c r="H69" s="14" t="s">
        <v>77</v>
      </c>
      <c r="I69" s="6" t="s">
        <v>165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159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157</v>
      </c>
      <c r="F70" s="14">
        <v>1</v>
      </c>
      <c r="G70" s="14" t="s">
        <v>77</v>
      </c>
      <c r="H70" s="14" t="s">
        <v>77</v>
      </c>
      <c r="I70" s="6" t="s">
        <v>165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159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157</v>
      </c>
      <c r="F71" s="14">
        <v>1</v>
      </c>
      <c r="G71" s="14" t="s">
        <v>77</v>
      </c>
      <c r="H71" s="14" t="s">
        <v>77</v>
      </c>
      <c r="I71" s="6" t="s">
        <v>165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159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157</v>
      </c>
      <c r="F72" s="14">
        <v>1</v>
      </c>
      <c r="G72" s="14" t="s">
        <v>77</v>
      </c>
      <c r="H72" s="14" t="s">
        <v>77</v>
      </c>
      <c r="I72" s="6" t="s">
        <v>165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159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157</v>
      </c>
      <c r="F73" s="14">
        <v>1</v>
      </c>
      <c r="G73" s="14" t="s">
        <v>77</v>
      </c>
      <c r="H73" s="14" t="s">
        <v>77</v>
      </c>
      <c r="I73" s="6" t="s">
        <v>165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159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157</v>
      </c>
      <c r="F74" s="14">
        <v>1</v>
      </c>
      <c r="G74" s="14" t="s">
        <v>77</v>
      </c>
      <c r="H74" s="14" t="s">
        <v>77</v>
      </c>
      <c r="I74" s="6" t="s">
        <v>165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159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157</v>
      </c>
      <c r="F75" s="14">
        <v>1</v>
      </c>
      <c r="G75" s="14" t="s">
        <v>77</v>
      </c>
      <c r="H75" s="14" t="s">
        <v>77</v>
      </c>
      <c r="I75" s="6" t="s">
        <v>165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159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157</v>
      </c>
      <c r="F76" s="14">
        <v>1</v>
      </c>
      <c r="G76" s="14" t="s">
        <v>77</v>
      </c>
      <c r="H76" s="14" t="s">
        <v>77</v>
      </c>
      <c r="I76" s="6" t="s">
        <v>165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159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157</v>
      </c>
      <c r="F77" s="14">
        <v>1</v>
      </c>
      <c r="G77" s="14" t="s">
        <v>77</v>
      </c>
      <c r="H77" s="14" t="s">
        <v>77</v>
      </c>
      <c r="I77" s="6" t="s">
        <v>165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159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157</v>
      </c>
      <c r="F78" s="14">
        <v>160</v>
      </c>
      <c r="G78" s="14" t="s">
        <v>77</v>
      </c>
      <c r="H78" s="14" t="s">
        <v>77</v>
      </c>
      <c r="I78" s="6" t="s">
        <v>166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159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157</v>
      </c>
      <c r="F79" s="14">
        <v>160</v>
      </c>
      <c r="G79" s="14" t="s">
        <v>77</v>
      </c>
      <c r="H79" s="14" t="s">
        <v>77</v>
      </c>
      <c r="I79" s="6" t="s">
        <v>167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159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157</v>
      </c>
      <c r="F80" s="14">
        <v>20</v>
      </c>
      <c r="G80" s="14" t="s">
        <v>77</v>
      </c>
      <c r="H80" s="14" t="s">
        <v>77</v>
      </c>
      <c r="I80" s="6" t="s">
        <v>168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159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20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157</v>
      </c>
      <c r="F81" s="14">
        <v>1</v>
      </c>
      <c r="G81" s="14" t="s">
        <v>77</v>
      </c>
      <c r="H81" s="14" t="s">
        <v>77</v>
      </c>
      <c r="I81" s="6" t="s">
        <v>169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159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20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157</v>
      </c>
      <c r="F82" s="14">
        <v>1</v>
      </c>
      <c r="G82" s="14" t="s">
        <v>77</v>
      </c>
      <c r="H82" s="14" t="s">
        <v>77</v>
      </c>
      <c r="I82" s="6" t="s">
        <v>169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159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20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157</v>
      </c>
      <c r="F83" s="14">
        <v>1</v>
      </c>
      <c r="G83" s="14" t="s">
        <v>77</v>
      </c>
      <c r="H83" s="14" t="s">
        <v>77</v>
      </c>
      <c r="I83" s="6" t="s">
        <v>170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159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20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157</v>
      </c>
      <c r="F84" s="14">
        <v>1</v>
      </c>
      <c r="G84" s="14" t="s">
        <v>77</v>
      </c>
      <c r="H84" s="14" t="s">
        <v>77</v>
      </c>
      <c r="I84" s="6" t="s">
        <v>170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159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20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157</v>
      </c>
      <c r="F85" s="14">
        <v>1</v>
      </c>
      <c r="G85" s="14" t="s">
        <v>77</v>
      </c>
      <c r="H85" s="14" t="s">
        <v>77</v>
      </c>
      <c r="I85" s="6" t="s">
        <v>171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159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20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157</v>
      </c>
      <c r="F86" s="14">
        <v>1</v>
      </c>
      <c r="G86" s="14" t="s">
        <v>77</v>
      </c>
      <c r="H86" s="14" t="s">
        <v>77</v>
      </c>
      <c r="I86" s="6" t="s">
        <v>171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159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20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157</v>
      </c>
      <c r="F87" s="14">
        <v>1</v>
      </c>
      <c r="G87" s="14" t="s">
        <v>77</v>
      </c>
      <c r="H87" s="14" t="s">
        <v>77</v>
      </c>
      <c r="I87" s="6" t="s">
        <v>171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159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20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157</v>
      </c>
      <c r="F88" s="14">
        <v>1</v>
      </c>
      <c r="G88" s="14" t="s">
        <v>77</v>
      </c>
      <c r="H88" s="14" t="s">
        <v>77</v>
      </c>
      <c r="I88" s="6" t="s">
        <v>171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159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20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183</v>
      </c>
      <c r="F89" s="14">
        <v>1</v>
      </c>
      <c r="G89" s="14" t="s">
        <v>77</v>
      </c>
      <c r="H89" s="14" t="s">
        <v>77</v>
      </c>
      <c r="I89" s="6" t="s">
        <v>184</v>
      </c>
      <c r="J89" s="16" t="s">
        <v>77</v>
      </c>
      <c r="K89" s="16" t="s">
        <v>77</v>
      </c>
      <c r="L89" s="7">
        <v>46203</v>
      </c>
      <c r="M89" s="51">
        <v>46172</v>
      </c>
      <c r="N89" s="48">
        <f ca="1">Tabela4[[#This Row],[Prazo
Entrega]]-TODAY()</f>
        <v>6</v>
      </c>
      <c r="O89" s="49" t="s">
        <v>154</v>
      </c>
      <c r="P89" s="16" t="s">
        <v>77</v>
      </c>
      <c r="Q89" s="52" t="s">
        <v>69</v>
      </c>
      <c r="R89" s="50" t="s">
        <v>69</v>
      </c>
      <c r="S89" s="47" t="s">
        <v>101</v>
      </c>
      <c r="T89" s="47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D1"/>
  <sheetViews>
    <sheetView workbookViewId="0">
      <selection activeCell="G15" sqref="G15"/>
    </sheetView>
  </sheetViews>
  <sheetFormatPr defaultRowHeight="15" x14ac:dyDescent="0.25"/>
  <sheetData>
    <row r="1" spans="1:4" x14ac:dyDescent="0.25">
      <c r="A1" t="s">
        <v>7</v>
      </c>
      <c r="B1" t="s">
        <v>155</v>
      </c>
      <c r="C1" t="s">
        <v>49</v>
      </c>
      <c r="D1" t="s">
        <v>156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tabSelected="1" view="pageBreakPreview" zoomScale="106" zoomScaleNormal="100" zoomScaleSheetLayoutView="106" workbookViewId="0">
      <selection activeCell="F14" sqref="F14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202</v>
      </c>
      <c r="G1" s="22" t="s">
        <v>203</v>
      </c>
      <c r="H1" s="22" t="s">
        <v>196</v>
      </c>
      <c r="I1" s="22" t="s">
        <v>195</v>
      </c>
      <c r="J1" s="22" t="s">
        <v>197</v>
      </c>
      <c r="K1" s="22" t="s">
        <v>198</v>
      </c>
      <c r="L1" s="22" t="s">
        <v>199</v>
      </c>
      <c r="M1" s="22" t="s">
        <v>199</v>
      </c>
      <c r="N1" s="22" t="s">
        <v>200</v>
      </c>
      <c r="O1" s="22" t="s">
        <v>201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177</v>
      </c>
      <c r="D2" s="23">
        <v>299368</v>
      </c>
      <c r="E2" s="24" t="s">
        <v>208</v>
      </c>
      <c r="F2" s="55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6"/>
    </row>
    <row r="3" spans="1:18" x14ac:dyDescent="0.25">
      <c r="A3" s="23">
        <v>27330</v>
      </c>
      <c r="B3" s="23">
        <v>1</v>
      </c>
      <c r="C3" s="24" t="s">
        <v>177</v>
      </c>
      <c r="D3" s="23">
        <v>299368</v>
      </c>
      <c r="E3" s="24" t="s">
        <v>208</v>
      </c>
      <c r="F3" s="55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6"/>
    </row>
    <row r="4" spans="1:18" x14ac:dyDescent="0.25">
      <c r="A4" s="53">
        <v>27507</v>
      </c>
      <c r="B4" s="53">
        <v>1</v>
      </c>
      <c r="C4" s="54" t="s">
        <v>178</v>
      </c>
      <c r="D4" s="23">
        <v>1449018</v>
      </c>
      <c r="E4" s="24" t="s">
        <v>209</v>
      </c>
      <c r="F4" s="55">
        <v>1</v>
      </c>
      <c r="G4" s="25">
        <v>46195</v>
      </c>
      <c r="H4" s="25">
        <v>46196</v>
      </c>
      <c r="I4" s="25"/>
      <c r="J4" s="25">
        <v>46202</v>
      </c>
      <c r="K4" s="25"/>
      <c r="L4" s="25" t="s">
        <v>77</v>
      </c>
      <c r="M4" s="25" t="s">
        <v>77</v>
      </c>
      <c r="N4" s="25" t="s">
        <v>77</v>
      </c>
      <c r="O4" s="25" t="s">
        <v>77</v>
      </c>
      <c r="P4" s="25" t="s">
        <v>61</v>
      </c>
      <c r="Q4" s="23">
        <v>496</v>
      </c>
      <c r="R4" s="56"/>
    </row>
    <row r="5" spans="1:18" x14ac:dyDescent="0.25">
      <c r="A5" s="53">
        <v>27507</v>
      </c>
      <c r="B5" s="53">
        <v>2</v>
      </c>
      <c r="C5" s="54" t="s">
        <v>178</v>
      </c>
      <c r="D5" s="23">
        <v>1449018</v>
      </c>
      <c r="E5" s="24" t="s">
        <v>209</v>
      </c>
      <c r="F5" s="55">
        <v>1</v>
      </c>
      <c r="G5" s="25">
        <v>46195</v>
      </c>
      <c r="H5" s="25">
        <v>46196</v>
      </c>
      <c r="I5" s="25"/>
      <c r="J5" s="25">
        <v>46202</v>
      </c>
      <c r="K5" s="25"/>
      <c r="L5" s="25" t="s">
        <v>77</v>
      </c>
      <c r="M5" s="25" t="s">
        <v>77</v>
      </c>
      <c r="N5" s="25" t="s">
        <v>77</v>
      </c>
      <c r="O5" s="25" t="s">
        <v>77</v>
      </c>
      <c r="P5" s="25" t="s">
        <v>61</v>
      </c>
      <c r="Q5" s="23">
        <v>496</v>
      </c>
      <c r="R5" s="56"/>
    </row>
    <row r="6" spans="1:18" x14ac:dyDescent="0.25">
      <c r="A6" s="53">
        <v>27522</v>
      </c>
      <c r="B6" s="53">
        <v>1</v>
      </c>
      <c r="C6" s="54" t="s">
        <v>177</v>
      </c>
      <c r="D6" s="23">
        <v>299374</v>
      </c>
      <c r="E6" s="24" t="s">
        <v>210</v>
      </c>
      <c r="F6" s="55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6"/>
    </row>
    <row r="7" spans="1:18" x14ac:dyDescent="0.25">
      <c r="A7" s="53">
        <v>27473</v>
      </c>
      <c r="B7" s="53">
        <v>1</v>
      </c>
      <c r="C7" s="54" t="s">
        <v>179</v>
      </c>
      <c r="D7" s="23">
        <v>1281005</v>
      </c>
      <c r="E7" s="24" t="s">
        <v>204</v>
      </c>
      <c r="F7" s="55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188</v>
      </c>
      <c r="R7" s="56"/>
    </row>
    <row r="8" spans="1:18" x14ac:dyDescent="0.25">
      <c r="A8" s="53">
        <v>27473</v>
      </c>
      <c r="B8" s="53">
        <v>2</v>
      </c>
      <c r="C8" s="54" t="s">
        <v>179</v>
      </c>
      <c r="D8" s="23">
        <v>1281006</v>
      </c>
      <c r="E8" s="24" t="s">
        <v>205</v>
      </c>
      <c r="F8" s="55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189</v>
      </c>
      <c r="R8" s="56"/>
    </row>
    <row r="9" spans="1:18" x14ac:dyDescent="0.25">
      <c r="A9" s="53">
        <v>27473</v>
      </c>
      <c r="B9" s="53">
        <v>3</v>
      </c>
      <c r="C9" s="54" t="s">
        <v>179</v>
      </c>
      <c r="D9" s="23">
        <v>1281007</v>
      </c>
      <c r="E9" s="24" t="s">
        <v>206</v>
      </c>
      <c r="F9" s="55">
        <v>1</v>
      </c>
      <c r="G9" s="25">
        <v>46209</v>
      </c>
      <c r="H9" s="25">
        <v>46192</v>
      </c>
      <c r="I9" s="25"/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190</v>
      </c>
      <c r="R9" s="56"/>
    </row>
    <row r="10" spans="1:18" x14ac:dyDescent="0.25">
      <c r="A10" s="53">
        <v>27473</v>
      </c>
      <c r="B10" s="53">
        <v>4</v>
      </c>
      <c r="C10" s="54" t="s">
        <v>179</v>
      </c>
      <c r="D10" s="23">
        <v>1281007</v>
      </c>
      <c r="E10" s="24" t="s">
        <v>206</v>
      </c>
      <c r="F10" s="55">
        <v>1</v>
      </c>
      <c r="G10" s="25">
        <v>46209</v>
      </c>
      <c r="H10" s="25">
        <v>46192</v>
      </c>
      <c r="I10" s="25"/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190</v>
      </c>
      <c r="R10" s="56"/>
    </row>
    <row r="11" spans="1:18" x14ac:dyDescent="0.25">
      <c r="A11" s="53">
        <v>27473</v>
      </c>
      <c r="B11" s="53">
        <v>5</v>
      </c>
      <c r="C11" s="54" t="s">
        <v>179</v>
      </c>
      <c r="D11" s="23">
        <v>1281007</v>
      </c>
      <c r="E11" s="24" t="s">
        <v>206</v>
      </c>
      <c r="F11" s="55">
        <v>1</v>
      </c>
      <c r="G11" s="25">
        <v>46209</v>
      </c>
      <c r="H11" s="25">
        <v>46192</v>
      </c>
      <c r="I11" s="25"/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190</v>
      </c>
      <c r="R11" s="56"/>
    </row>
    <row r="12" spans="1:18" x14ac:dyDescent="0.25">
      <c r="A12" s="53">
        <v>27473</v>
      </c>
      <c r="B12" s="53">
        <v>6</v>
      </c>
      <c r="C12" s="54" t="s">
        <v>179</v>
      </c>
      <c r="D12" s="23">
        <v>1281007</v>
      </c>
      <c r="E12" s="24" t="s">
        <v>206</v>
      </c>
      <c r="F12" s="55">
        <v>1</v>
      </c>
      <c r="G12" s="25">
        <v>46209</v>
      </c>
      <c r="H12" s="25">
        <v>46192</v>
      </c>
      <c r="I12" s="25"/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190</v>
      </c>
      <c r="R12" s="56"/>
    </row>
    <row r="13" spans="1:18" x14ac:dyDescent="0.25">
      <c r="A13" s="53">
        <v>27473</v>
      </c>
      <c r="B13" s="53">
        <v>7</v>
      </c>
      <c r="C13" s="54" t="s">
        <v>179</v>
      </c>
      <c r="D13" s="23">
        <v>1281007</v>
      </c>
      <c r="E13" s="24" t="s">
        <v>206</v>
      </c>
      <c r="F13" s="55">
        <v>1</v>
      </c>
      <c r="G13" s="25">
        <v>46209</v>
      </c>
      <c r="H13" s="25">
        <v>46192</v>
      </c>
      <c r="I13" s="25"/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190</v>
      </c>
      <c r="R13" s="56"/>
    </row>
    <row r="14" spans="1:18" x14ac:dyDescent="0.25">
      <c r="A14" s="53">
        <v>27473</v>
      </c>
      <c r="B14" s="53">
        <v>8</v>
      </c>
      <c r="C14" s="54" t="s">
        <v>179</v>
      </c>
      <c r="D14" s="23">
        <v>1281008</v>
      </c>
      <c r="E14" s="24" t="s">
        <v>207</v>
      </c>
      <c r="F14" s="55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190</v>
      </c>
      <c r="R14" s="56"/>
    </row>
    <row r="15" spans="1:18" x14ac:dyDescent="0.25">
      <c r="A15" s="53">
        <v>27416</v>
      </c>
      <c r="B15" s="53">
        <v>1</v>
      </c>
      <c r="C15" s="54" t="s">
        <v>180</v>
      </c>
      <c r="D15" s="23">
        <v>392291</v>
      </c>
      <c r="E15" s="24" t="s">
        <v>211</v>
      </c>
      <c r="F15" s="55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6"/>
    </row>
    <row r="16" spans="1:18" x14ac:dyDescent="0.25">
      <c r="A16" s="53">
        <v>27476</v>
      </c>
      <c r="B16" s="53">
        <v>1</v>
      </c>
      <c r="C16" s="54" t="s">
        <v>177</v>
      </c>
      <c r="D16" s="23">
        <v>299529</v>
      </c>
      <c r="E16" s="24" t="s">
        <v>212</v>
      </c>
      <c r="F16" s="55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191</v>
      </c>
      <c r="R16" s="56"/>
    </row>
    <row r="17" spans="1:18" x14ac:dyDescent="0.25">
      <c r="A17" s="53">
        <v>27490</v>
      </c>
      <c r="B17" s="53">
        <v>1</v>
      </c>
      <c r="C17" s="54" t="s">
        <v>177</v>
      </c>
      <c r="D17" s="23">
        <v>299302</v>
      </c>
      <c r="E17" s="24" t="s">
        <v>213</v>
      </c>
      <c r="F17" s="55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6"/>
    </row>
    <row r="18" spans="1:18" x14ac:dyDescent="0.25">
      <c r="A18" s="53">
        <v>27416</v>
      </c>
      <c r="B18" s="53">
        <v>2</v>
      </c>
      <c r="C18" s="54" t="s">
        <v>180</v>
      </c>
      <c r="D18" s="23">
        <v>392292</v>
      </c>
      <c r="E18" s="24" t="s">
        <v>214</v>
      </c>
      <c r="F18" s="55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6"/>
    </row>
    <row r="19" spans="1:18" x14ac:dyDescent="0.25">
      <c r="A19" s="23">
        <v>27521</v>
      </c>
      <c r="B19" s="23">
        <v>1</v>
      </c>
      <c r="C19" s="24" t="s">
        <v>177</v>
      </c>
      <c r="D19" s="23">
        <v>299303</v>
      </c>
      <c r="E19" s="24" t="s">
        <v>215</v>
      </c>
      <c r="F19" s="55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6"/>
    </row>
    <row r="20" spans="1:18" x14ac:dyDescent="0.25">
      <c r="A20" s="23">
        <v>26974</v>
      </c>
      <c r="B20" s="23">
        <v>3</v>
      </c>
      <c r="C20" s="24" t="s">
        <v>177</v>
      </c>
      <c r="D20" s="23">
        <v>299217</v>
      </c>
      <c r="E20" s="24" t="s">
        <v>216</v>
      </c>
      <c r="F20" s="55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6"/>
    </row>
    <row r="21" spans="1:18" x14ac:dyDescent="0.25">
      <c r="A21" s="23">
        <v>26970</v>
      </c>
      <c r="B21" s="23">
        <v>3</v>
      </c>
      <c r="C21" s="24" t="s">
        <v>177</v>
      </c>
      <c r="D21" s="23">
        <v>299209</v>
      </c>
      <c r="E21" s="24" t="s">
        <v>217</v>
      </c>
      <c r="F21" s="55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6"/>
    </row>
    <row r="22" spans="1:18" x14ac:dyDescent="0.25">
      <c r="A22" s="23">
        <v>26641</v>
      </c>
      <c r="B22" s="23">
        <v>2</v>
      </c>
      <c r="C22" s="24" t="s">
        <v>177</v>
      </c>
      <c r="D22" s="23">
        <v>299217</v>
      </c>
      <c r="E22" s="24" t="s">
        <v>216</v>
      </c>
      <c r="F22" s="55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6"/>
    </row>
    <row r="23" spans="1:18" x14ac:dyDescent="0.25">
      <c r="A23" s="23">
        <v>27547</v>
      </c>
      <c r="B23" s="23">
        <v>1</v>
      </c>
      <c r="C23" s="24" t="s">
        <v>181</v>
      </c>
      <c r="D23" s="23">
        <v>1573002</v>
      </c>
      <c r="E23" s="24" t="s">
        <v>130</v>
      </c>
      <c r="F23" s="55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192</v>
      </c>
      <c r="R23" s="56"/>
    </row>
    <row r="24" spans="1:18" x14ac:dyDescent="0.25">
      <c r="A24" s="23">
        <v>27547</v>
      </c>
      <c r="B24" s="23">
        <v>2</v>
      </c>
      <c r="C24" s="24" t="s">
        <v>181</v>
      </c>
      <c r="D24" s="23">
        <v>1573001</v>
      </c>
      <c r="E24" s="24" t="s">
        <v>131</v>
      </c>
      <c r="F24" s="55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192</v>
      </c>
      <c r="R24" s="56"/>
    </row>
    <row r="25" spans="1:18" x14ac:dyDescent="0.25">
      <c r="A25" s="23">
        <v>27575</v>
      </c>
      <c r="B25" s="23">
        <v>1</v>
      </c>
      <c r="C25" s="24" t="s">
        <v>182</v>
      </c>
      <c r="D25" s="23">
        <v>774016</v>
      </c>
      <c r="E25" s="24" t="s">
        <v>218</v>
      </c>
      <c r="F25" s="55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193</v>
      </c>
      <c r="R25" s="56"/>
    </row>
    <row r="26" spans="1:18" x14ac:dyDescent="0.25">
      <c r="A26" s="23">
        <v>27575</v>
      </c>
      <c r="B26" s="23">
        <v>2</v>
      </c>
      <c r="C26" s="24" t="s">
        <v>182</v>
      </c>
      <c r="D26" s="23">
        <v>774016</v>
      </c>
      <c r="E26" s="24" t="s">
        <v>218</v>
      </c>
      <c r="F26" s="55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193</v>
      </c>
      <c r="R26" s="56"/>
    </row>
    <row r="27" spans="1:18" x14ac:dyDescent="0.25">
      <c r="A27" s="23">
        <v>27575</v>
      </c>
      <c r="B27" s="23">
        <v>3</v>
      </c>
      <c r="C27" s="24" t="s">
        <v>182</v>
      </c>
      <c r="D27" s="23">
        <v>774017</v>
      </c>
      <c r="E27" s="24" t="s">
        <v>219</v>
      </c>
      <c r="F27" s="55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193</v>
      </c>
      <c r="R27" s="56"/>
    </row>
    <row r="28" spans="1:18" x14ac:dyDescent="0.25">
      <c r="A28" s="23">
        <v>27575</v>
      </c>
      <c r="B28" s="23">
        <v>4</v>
      </c>
      <c r="C28" s="24" t="s">
        <v>182</v>
      </c>
      <c r="D28" s="23">
        <v>774017</v>
      </c>
      <c r="E28" s="24" t="s">
        <v>219</v>
      </c>
      <c r="F28" s="55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193</v>
      </c>
      <c r="R28" s="56"/>
    </row>
    <row r="29" spans="1:18" x14ac:dyDescent="0.25">
      <c r="A29" s="23">
        <v>27524</v>
      </c>
      <c r="B29" s="23">
        <v>1</v>
      </c>
      <c r="C29" s="24" t="s">
        <v>177</v>
      </c>
      <c r="D29" s="23">
        <v>299528</v>
      </c>
      <c r="E29" s="24" t="s">
        <v>220</v>
      </c>
      <c r="F29" s="55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191</v>
      </c>
      <c r="R29" s="56"/>
    </row>
    <row r="30" spans="1:18" x14ac:dyDescent="0.25">
      <c r="A30" s="23">
        <v>27587</v>
      </c>
      <c r="B30" s="23">
        <v>1</v>
      </c>
      <c r="C30" s="24" t="s">
        <v>186</v>
      </c>
      <c r="D30" s="23">
        <v>1608001</v>
      </c>
      <c r="E30" s="24" t="s">
        <v>221</v>
      </c>
      <c r="F30" s="55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6"/>
    </row>
    <row r="31" spans="1:18" x14ac:dyDescent="0.25">
      <c r="A31" s="23">
        <v>27587</v>
      </c>
      <c r="B31" s="23">
        <v>2</v>
      </c>
      <c r="C31" s="24" t="s">
        <v>186</v>
      </c>
      <c r="D31" s="23">
        <v>1608002</v>
      </c>
      <c r="E31" s="24" t="s">
        <v>221</v>
      </c>
      <c r="F31" s="55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6"/>
    </row>
    <row r="32" spans="1:18" x14ac:dyDescent="0.25">
      <c r="A32" s="23">
        <v>27587</v>
      </c>
      <c r="B32" s="23">
        <v>3</v>
      </c>
      <c r="C32" s="24" t="s">
        <v>186</v>
      </c>
      <c r="D32" s="23">
        <v>1608002</v>
      </c>
      <c r="E32" s="24" t="s">
        <v>221</v>
      </c>
      <c r="F32" s="55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6"/>
    </row>
    <row r="33" spans="1:18" x14ac:dyDescent="0.25">
      <c r="A33" s="23">
        <v>27593</v>
      </c>
      <c r="B33" s="23">
        <v>1</v>
      </c>
      <c r="C33" s="24" t="s">
        <v>187</v>
      </c>
      <c r="D33" s="23">
        <v>1609001</v>
      </c>
      <c r="E33" s="24" t="s">
        <v>222</v>
      </c>
      <c r="F33" s="55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194</v>
      </c>
      <c r="R33" s="56"/>
    </row>
    <row r="34" spans="1:18" x14ac:dyDescent="0.25">
      <c r="A34" s="23">
        <v>27599</v>
      </c>
      <c r="B34" s="23">
        <v>1</v>
      </c>
      <c r="C34" s="54" t="s">
        <v>177</v>
      </c>
      <c r="D34" s="23">
        <v>299374</v>
      </c>
      <c r="E34" s="24" t="s">
        <v>223</v>
      </c>
      <c r="F34" s="55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6"/>
    </row>
    <row r="35" spans="1:18" x14ac:dyDescent="0.25">
      <c r="A35" s="23">
        <v>27542</v>
      </c>
      <c r="B35" s="23">
        <v>1</v>
      </c>
      <c r="C35" s="54" t="s">
        <v>177</v>
      </c>
      <c r="D35" s="23">
        <v>299528</v>
      </c>
      <c r="E35" s="24" t="s">
        <v>220</v>
      </c>
      <c r="F35" s="55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191</v>
      </c>
      <c r="R35" s="56"/>
    </row>
    <row r="36" spans="1:18" x14ac:dyDescent="0.25">
      <c r="A36" s="23">
        <v>27600</v>
      </c>
      <c r="B36" s="23">
        <v>1</v>
      </c>
      <c r="C36" s="24" t="s">
        <v>185</v>
      </c>
      <c r="D36" s="23" t="s">
        <v>77</v>
      </c>
      <c r="E36" s="24" t="s">
        <v>224</v>
      </c>
      <c r="F36" s="55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6"/>
    </row>
    <row r="37" spans="1:18" x14ac:dyDescent="0.25">
      <c r="A37" s="23">
        <v>27600</v>
      </c>
      <c r="B37" s="23">
        <v>5</v>
      </c>
      <c r="C37" s="24" t="s">
        <v>185</v>
      </c>
      <c r="D37" s="23" t="s">
        <v>77</v>
      </c>
      <c r="E37" s="24" t="s">
        <v>225</v>
      </c>
      <c r="F37" s="55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6"/>
    </row>
    <row r="38" spans="1:18" x14ac:dyDescent="0.25">
      <c r="A38" s="23">
        <v>27600</v>
      </c>
      <c r="B38" s="23">
        <v>9</v>
      </c>
      <c r="C38" s="24" t="s">
        <v>185</v>
      </c>
      <c r="D38" s="23" t="s">
        <v>77</v>
      </c>
      <c r="E38" s="24" t="s">
        <v>224</v>
      </c>
      <c r="F38" s="55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6"/>
    </row>
    <row r="39" spans="1:18" x14ac:dyDescent="0.25">
      <c r="A39" s="23">
        <v>27600</v>
      </c>
      <c r="B39" s="23">
        <v>13</v>
      </c>
      <c r="C39" s="24" t="s">
        <v>185</v>
      </c>
      <c r="D39" s="23" t="s">
        <v>77</v>
      </c>
      <c r="E39" s="24" t="s">
        <v>225</v>
      </c>
      <c r="F39" s="55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6"/>
    </row>
    <row r="40" spans="1:18" x14ac:dyDescent="0.25">
      <c r="A40" s="23">
        <v>27600</v>
      </c>
      <c r="B40" s="23">
        <v>2</v>
      </c>
      <c r="C40" s="24" t="s">
        <v>185</v>
      </c>
      <c r="D40" s="23" t="s">
        <v>77</v>
      </c>
      <c r="E40" s="24" t="s">
        <v>224</v>
      </c>
      <c r="F40" s="55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6"/>
    </row>
    <row r="41" spans="1:18" x14ac:dyDescent="0.25">
      <c r="A41" s="23">
        <v>27600</v>
      </c>
      <c r="B41" s="23">
        <v>6</v>
      </c>
      <c r="C41" s="24" t="s">
        <v>185</v>
      </c>
      <c r="D41" s="23" t="s">
        <v>77</v>
      </c>
      <c r="E41" s="24" t="s">
        <v>225</v>
      </c>
      <c r="F41" s="55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6"/>
    </row>
    <row r="42" spans="1:18" x14ac:dyDescent="0.25">
      <c r="A42" s="23">
        <v>27600</v>
      </c>
      <c r="B42" s="23">
        <v>10</v>
      </c>
      <c r="C42" s="24" t="s">
        <v>185</v>
      </c>
      <c r="D42" s="23" t="s">
        <v>77</v>
      </c>
      <c r="E42" s="24" t="s">
        <v>224</v>
      </c>
      <c r="F42" s="55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6"/>
    </row>
    <row r="43" spans="1:18" x14ac:dyDescent="0.25">
      <c r="A43" s="23">
        <v>27600</v>
      </c>
      <c r="B43" s="23">
        <v>14</v>
      </c>
      <c r="C43" s="24" t="s">
        <v>185</v>
      </c>
      <c r="D43" s="23" t="s">
        <v>77</v>
      </c>
      <c r="E43" s="24" t="s">
        <v>225</v>
      </c>
      <c r="F43" s="55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6"/>
    </row>
    <row r="44" spans="1:18" x14ac:dyDescent="0.25">
      <c r="A44" s="23">
        <v>27496</v>
      </c>
      <c r="B44" s="23">
        <v>1</v>
      </c>
      <c r="C44" s="24" t="s">
        <v>177</v>
      </c>
      <c r="D44" s="23">
        <v>299208</v>
      </c>
      <c r="E44" s="24" t="s">
        <v>226</v>
      </c>
      <c r="F44" s="55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6"/>
    </row>
    <row r="45" spans="1:18" x14ac:dyDescent="0.25">
      <c r="A45" s="23">
        <v>27600</v>
      </c>
      <c r="B45" s="23">
        <v>3</v>
      </c>
      <c r="C45" s="24" t="s">
        <v>185</v>
      </c>
      <c r="D45" s="23" t="s">
        <v>77</v>
      </c>
      <c r="E45" s="24" t="s">
        <v>224</v>
      </c>
      <c r="F45" s="55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6"/>
    </row>
    <row r="46" spans="1:18" x14ac:dyDescent="0.25">
      <c r="A46" s="23">
        <v>27600</v>
      </c>
      <c r="B46" s="23">
        <v>7</v>
      </c>
      <c r="C46" s="24" t="s">
        <v>185</v>
      </c>
      <c r="D46" s="23" t="s">
        <v>77</v>
      </c>
      <c r="E46" s="24" t="s">
        <v>225</v>
      </c>
      <c r="F46" s="55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6"/>
    </row>
    <row r="47" spans="1:18" x14ac:dyDescent="0.25">
      <c r="A47" s="23">
        <v>27600</v>
      </c>
      <c r="B47" s="23">
        <v>11</v>
      </c>
      <c r="C47" s="24" t="s">
        <v>185</v>
      </c>
      <c r="D47" s="23" t="s">
        <v>77</v>
      </c>
      <c r="E47" s="24" t="s">
        <v>224</v>
      </c>
      <c r="F47" s="55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6"/>
    </row>
    <row r="48" spans="1:18" x14ac:dyDescent="0.25">
      <c r="A48" s="23">
        <v>27600</v>
      </c>
      <c r="B48" s="23">
        <v>15</v>
      </c>
      <c r="C48" s="24" t="s">
        <v>185</v>
      </c>
      <c r="D48" s="23" t="s">
        <v>77</v>
      </c>
      <c r="E48" s="24" t="s">
        <v>225</v>
      </c>
      <c r="F48" s="55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6"/>
    </row>
    <row r="49" spans="1:18" x14ac:dyDescent="0.25">
      <c r="A49" s="23">
        <v>27600</v>
      </c>
      <c r="B49" s="23">
        <v>4</v>
      </c>
      <c r="C49" s="24" t="s">
        <v>185</v>
      </c>
      <c r="D49" s="23" t="s">
        <v>77</v>
      </c>
      <c r="E49" s="24" t="s">
        <v>224</v>
      </c>
      <c r="F49" s="55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6"/>
    </row>
    <row r="50" spans="1:18" x14ac:dyDescent="0.25">
      <c r="A50" s="23">
        <v>27600</v>
      </c>
      <c r="B50" s="23">
        <v>8</v>
      </c>
      <c r="C50" s="24" t="s">
        <v>185</v>
      </c>
      <c r="D50" s="23" t="s">
        <v>77</v>
      </c>
      <c r="E50" s="24" t="s">
        <v>225</v>
      </c>
      <c r="F50" s="55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6"/>
    </row>
    <row r="51" spans="1:18" x14ac:dyDescent="0.25">
      <c r="A51" s="23">
        <v>27600</v>
      </c>
      <c r="B51" s="23">
        <v>12</v>
      </c>
      <c r="C51" s="24" t="s">
        <v>185</v>
      </c>
      <c r="D51" s="23" t="s">
        <v>77</v>
      </c>
      <c r="E51" s="24" t="s">
        <v>224</v>
      </c>
      <c r="F51" s="55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6"/>
    </row>
    <row r="52" spans="1:18" x14ac:dyDescent="0.25">
      <c r="A52" s="23">
        <v>27600</v>
      </c>
      <c r="B52" s="23">
        <v>16</v>
      </c>
      <c r="C52" s="24" t="s">
        <v>185</v>
      </c>
      <c r="D52" s="23" t="s">
        <v>77</v>
      </c>
      <c r="E52" s="24" t="s">
        <v>225</v>
      </c>
      <c r="F52" s="55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6"/>
    </row>
    <row r="53" spans="1:18" x14ac:dyDescent="0.25">
      <c r="A53" s="23">
        <v>27597</v>
      </c>
      <c r="B53" s="23">
        <v>1</v>
      </c>
      <c r="C53" s="24" t="s">
        <v>177</v>
      </c>
      <c r="D53" s="23">
        <v>299303</v>
      </c>
      <c r="E53" s="24" t="s">
        <v>227</v>
      </c>
      <c r="F53" s="55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6"/>
    </row>
  </sheetData>
  <autoFilter ref="A1:N53" xr:uid="{276B14C1-1A52-4B27-91DF-D329FDD63C7A}"/>
  <pageMargins left="0.25" right="0.25" top="0.75" bottom="0.75" header="0.3" footer="0.3"/>
  <pageSetup paperSize="9" scale="3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BAGACEIRAS</vt:lpstr>
      <vt:lpstr>PENTES</vt:lpstr>
      <vt:lpstr>RODETES NOVOS</vt:lpstr>
      <vt:lpstr>PERIFÉRICOS</vt:lpstr>
      <vt:lpstr>CAMISAS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2026-06-24T18:48:17Z</dcterms:modified>
</cp:coreProperties>
</file>