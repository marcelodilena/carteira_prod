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5F6B78E2-E4E6-40AB-9C1E-A5F0E784E082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Q164" i="8"/>
  <c r="R164" i="8" s="1"/>
  <c r="Q165" i="8"/>
  <c r="R165" i="8" s="1"/>
  <c r="Q166" i="8"/>
  <c r="R166" i="8" s="1"/>
  <c r="Q167" i="8"/>
  <c r="R167" i="8" s="1"/>
  <c r="S164" i="8"/>
  <c r="S165" i="8"/>
  <c r="S166" i="8"/>
  <c r="S167" i="8"/>
  <c r="K157" i="8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<sst xmlns="http://schemas.openxmlformats.org/spreadsheetml/2006/main" count="7404" uniqueCount="434">
  <si>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</si>
  <si>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</si>
  <si>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</si>
  <si>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</si>
  <si>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</si>
  <si>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</si>
  <si>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</si>
  <si>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</si>
  <si>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</si>
  <si>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</si>
  <si>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</si>
  <si>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</si>
  <si>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</si>
  <si>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</si>
  <si>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</si>
  <si>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</si>
  <si>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</si>
  <si>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</si>
  <si>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</si>
  <si>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</si>
  <si>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</si>
  <si>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</si>
  <si>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</si>
  <si>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</si>
  <si>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</si>
  <si>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</si>
  <si>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</si>
  <si>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</si>
  <si>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</si>
  <si>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</si>
  <si>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</si>
  <si>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</si>
  <si>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</si>
  <si>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</si>
  <si>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</si>
  <si>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</si>
  <si>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</si>
  <si>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</si>
  <si>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</si>
  <si>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</si>
  <si>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</si>
  <si>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</si>
  <si>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</si>
  <si>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</si>
  <si>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</si>
  <si>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</si>
  <si>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</si>
  <si>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</si>
  <si>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</si>
  <si>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</si>
  <si>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</si>
  <si>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</si>
  <si>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</si>
  <si>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</si>
  <si>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</si>
  <si>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</si>
  <si>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</si>
  <si>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</si>
  <si>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</si>
  <si>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</si>
  <si>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</si>
  <si>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</si>
  <si>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</si>
  <si>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</si>
  <si>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</si>
  <si>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</si>
  <si>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</si>
  <si>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</si>
  <si>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</si>
  <si>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</si>
  <si>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</si>
  <si>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</si>
  <si>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</si>
  <si>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</si>
  <si>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</si>
  <si>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</si>
  <si>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</si>
  <si>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</si>
  <si>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</si>
  <si>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</si>
  <si>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</si>
  <si>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</si>
  <si>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</si>
  <si>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</si>
  <si>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</si>
  <si>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</si>
  <si>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</si>
  <si>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</si>
  <si>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</si>
  <si>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</si>
  <si>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</si>
  <si>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</si>
  <si>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</si>
  <si>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</si>
  <si>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</si>
  <si>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</si>
  <si>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</si>
  <si>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</si>
  <si>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</si>
  <si>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</si>
  <si>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</si>
  <si>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</si>
  <si>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</si>
  <si>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</si>
  <si>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</si>
  <si>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</si>
  <si>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</si>
  <si>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</si>
  <si>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</si>
  <si>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</si>
  <si>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</si>
  <si>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</si>
  <si>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</si>
  <si>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</si>
  <si>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</si>
  <si>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</si>
  <si>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</si>
  <si>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</si>
  <si>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</si>
  <si>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</si>
  <si>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</si>
  <si>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</si>
  <si>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</si>
  <si>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</si>
  <si>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</si>
  <si>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</si>
  <si>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</si>
  <si>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</si>
  <si>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</si>
  <si>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</si>
  <si>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</si>
  <si>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</si>
  <si>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</si>
  <si>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</si>
  <si>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</si>
  <si>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</si>
  <si>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</si>
  <si>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</si>
  <si>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</si>
  <si>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</si>
  <si>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</si>
  <si>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</si>
  <si>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</si>
  <si>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</si>
  <si>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</si>
  <si>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</si>
  <si>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</si>
  <si>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</si>
  <si>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</si>
  <si>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</si>
  <si>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</si>
  <si>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</si>
  <si>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</si>
  <si>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</si>
  <si>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</si>
  <si>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</si>
  <si>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</si>
  <si>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</si>
  <si>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</si>
  <si>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</si>
  <si>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</si>
  <si>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</si>
  <si>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</si>
  <si>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</si>
  <si>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</si>
  <si>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</si>
  <si>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</si>
  <si>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</si>
  <si>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</si>
  <si>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</si>
  <si>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</si>
  <si>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</si>
  <si>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</si>
  <si>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</si>
  <si>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</si>
  <si>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</si>
  <si>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</si>
  <si>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</si>
  <si>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</si>
  <si>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</si>
  <si>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</si>
  <si>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</si>
  <si>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</si>
  <si>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</si>
  <si>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</si>
  <si>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</si>
  <si>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</si>
  <si>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</si>
  <si>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</si>
  <si>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</si>
  <si>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</si>
  <si>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</si>
  <si>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</si>
  <si>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</si>
  <si>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</si>
  <si>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</si>
  <si>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</si>
  <si>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</si>
  <si>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</si>
  <si>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</si>
  <si>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</si>
  <si>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</si>
  <si>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</si>
  <si>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</si>
  <si>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</si>
  <si>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</si>
  <si>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</si>
  <si>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</si>
  <si>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</si>
  <si>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</si>
  <si>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</si>
  <si>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</si>
  <si>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</si>
  <si>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</si>
  <si>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</si>
  <si>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</si>
  <si>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</si>
  <si>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</si>
  <si>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</si>
  <si>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</si>
  <si>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</si>
  <si>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</si>
  <si>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</si>
  <si>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</si>
  <si>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</si>
  <si>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</si>
  <si>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</si>
  <si>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</si>
  <si>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</si>
  <si>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</si>
  <si>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</si>
  <si>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</si>
  <si>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</si>
  <si>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</si>
  <si>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</si>
  <si>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</si>
  <si>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</si>
  <si>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</si>
  <si>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</si>
  <si>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</si>
  <si>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</si>
  <si>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</si>
  <si>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</si>
  <si>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</si>
  <si>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</si>
  <si>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</si>
  <si>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</si>
  <si>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</si>
  <si>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</si>
  <si>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</si>
  <si>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</si>
  <si>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</si>
  <si>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</si>
  <si>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</si>
  <si>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</si>
  <si>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</si>
  <si>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</si>
  <si>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</si>
  <si>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</si>
  <si>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</si>
  <si>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</si>
  <si>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</si>
  <si>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</si>
  <si>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</si>
  <si>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</si>
  <si>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</si>
  <si>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</si>
  <si>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</si>
  <si>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</si>
  <si>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</si>
  <si>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</si>
  <si>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</si>
  <si>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</si>
  <si>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</si>
  <si>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</si>
  <si>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</si>
  <si>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</si>
  <si>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</si>
  <si>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</si>
  <si>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</si>
  <si>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</si>
  <si>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Laudo</t>
  </si>
  <si>
    <t>AG. LIB. CLIENTE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</si>
  <si>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</si>
  <si>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</si>
  <si>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</si>
  <si>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</si>
  <si>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</si>
  <si>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</si>
  <si>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</si>
  <si>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</si>
  <si>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</si>
  <si>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</si>
  <si>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</si>
  <si>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</si>
  <si>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</si>
  <si>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</si>
  <si>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</si>
  <si>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</si>
  <si>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</si>
  <si>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</si>
  <si>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</si>
  <si>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</si>
  <si>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</si>
  <si>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</si>
  <si>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</si>
  <si>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</si>
  <si>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</si>
  <si>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</si>
  <si>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</si>
  <si>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</si>
  <si>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</si>
  <si>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</si>
  <si>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</si>
  <si>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</si>
  <si>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</si>
  <si>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</si>
  <si>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</si>
  <si>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</si>
  <si>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</si>
  <si>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</si>
  <si>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</si>
  <si>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</si>
  <si>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</si>
  <si>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</si>
  <si>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</si>
  <si>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</si>
  <si>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</si>
  <si>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</si>
  <si>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</si>
  <si>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</si>
  <si>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</si>
  <si>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</si>
  <si>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</si>
  <si>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</si>
  <si>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</si>
  <si>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</si>
  <si>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</si>
  <si>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</si>
  <si>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</si>
  <si>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</si>
  <si>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</si>
  <si>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</si>
  <si>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</si>
  <si>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</si>
  <si>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</si>
  <si>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</si>
  <si>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</si>
  <si>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</si>
  <si>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</si>
  <si>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</si>
  <si>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</si>
  <si>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</si>
  <si>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</si>
  <si>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</si>
  <si>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</si>
  <si>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</si>
  <si>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</si>
  <si>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</si>
  <si>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</si>
  <si>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</si>
  <si>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</si>
  <si>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</si>
  <si>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</si>
  <si>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</si>
  <si>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</si>
  <si>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</si>
  <si>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</si>
  <si>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</si>
  <si>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</si>
  <si>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</si>
  <si>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</si>
  <si>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</si>
  <si>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</si>
  <si>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</si>
  <si>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</si>
  <si>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</si>
  <si>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</si>
  <si>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</si>
  <si>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</si>
  <si>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</si>
  <si>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</si>
  <si>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</si>
  <si>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</si>
  <si>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</si>
  <si>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</si>
  <si>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</si>
  <si>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</si>
  <si>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</si>
  <si>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</si>
  <si>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</si>
  <si>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</si>
  <si>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</si>
  <si>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</si>
  <si>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</si>
  <si>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</si>
  <si>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</si>
  <si>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</si>
  <si>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</si>
  <si>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</si>
  <si>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</si>
  <si>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</si>
  <si>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</si>
  <si>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</si>
  <si>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</si>
  <si>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</si>
  <si>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</si>
  <si>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</si>
  <si>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</si>
  <si>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</si>
  <si>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</si>
  <si>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</si>
  <si>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</si>
  <si>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</si>
  <si>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</si>
  <si>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</si>
  <si>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</si>
  <si>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</si>
  <si>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</si>
  <si>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</si>
  <si>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</si>
  <si>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</si>
  <si>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</si>
  <si>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</si>
  <si>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</si>
  <si>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</si>
  <si>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</si>
  <si>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</si>
  <si>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</si>
  <si>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</si>
  <si>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</si>
  <si>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Eixo de Moenda</t>
  </si>
  <si>
    <t>Insp</t>
  </si>
  <si>
    <t>Coluna2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</si>
</sst>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/>
    <xf numFmtId="0" fontId="23" fillId="0" borderId="0" xfId="0" applyFont="1" applyFill="1" applyAlignment="1">
      <alignment horizontal="center" vertical="center"/>
    </xf>
    <xf numFmtId="0" fontId="9" fillId="0" borderId="5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19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71" dataDxfId="170">
  <autoFilter ref="A1:AI114" xr:uid="{0B979512-8F08-4F92-A755-B1320B33B48D}">
    <filterColumn colId="4">
      <filters>
        <filter val="Santo Angelo"/>
      </filters>
    </filterColumn>
  </autoFilter>
  <tableColumns count="35">
    <tableColumn id="1" xr3:uid="{2AE87B23-57FB-4D7F-8BFD-D65EC0053BA3}" name="PV" dataDxfId="169"/>
    <tableColumn id="2" xr3:uid="{81052488-0765-4420-B185-DA73AE55FD88}" name="Item" dataDxfId="168"/>
    <tableColumn id="3" xr3:uid="{0E7DB960-0044-4341-ADB4-2A033B27B993}" name="O.S." dataDxfId="167"/>
    <tableColumn id="4" xr3:uid="{B0F20CBE-FFF4-445B-B0BF-7A9C6A140189}" name="Item2" dataDxfId="166"/>
    <tableColumn id="5" xr3:uid="{D1656E30-4AB0-4CD0-BF13-6D5A49C6E4A0}" name="Cliente" dataDxfId="165"/>
    <tableColumn id="6" xr3:uid="{71A11213-5711-429D-A6E0-A2F44677AD5D}" name="Peça" dataDxfId="164"/>
    <tableColumn id="7" xr3:uid="{3F7FD9F6-0726-4021-82B3-E31575A97A46}" name="Seq." dataDxfId="163"/>
    <tableColumn id="8" xr3:uid="{0D871CDA-AC7B-4365-B4FD-95C8967CF254}" name="Descrição" dataDxfId="162"/>
    <tableColumn id="9" xr3:uid="{9C6311D3-DE8E-4A12-8716-11D7CF745EA9}" name="Qtde." dataDxfId="161"/>
    <tableColumn id="10" xr3:uid="{0D119764-5D6A-44D7-A0C6-EAAE37326AEF}" name="Prazo_x000a_Fundido" dataDxfId="160"/>
    <tableColumn id="20" xr3:uid="{2835FDBA-B893-4E1E-9252-D088967B6B9B}" name="Semana_x000a_Fundido" dataDxfId="159">
      <calculatedColumnFormula>WEEKNUM(Tabela1[[#This Row],[Prazo
Fundido]])</calculatedColumnFormula>
    </tableColumn>
    <tableColumn id="11" xr3:uid="{357F67DE-6B6F-4353-906F-4FBB26ED7226}" name="Pz Fundido_x000a_Real" dataDxfId="158"/>
    <tableColumn id="12" xr3:uid="{5CF37CA2-8EC2-4A06-8A50-1305C1129D14}" name="Prazo_x000a_Entrega" dataDxfId="157"/>
    <tableColumn id="36" xr3:uid="{903E641C-0F4A-465E-9B87-4C77A3724350}" name="Pz Entrega_x000a_Real" dataDxfId="156"/>
    <tableColumn id="14" xr3:uid="{49E3A48F-4FBA-45ED-9BE5-0D3F2C039F64}" name="Dias_x000a_Falta2" dataDxfId="155">
      <calculatedColumnFormula>Tabela1[[#This Row],[Prazo
Entrega]]-TODAY()</calculatedColumnFormula>
    </tableColumn>
    <tableColumn id="24" xr3:uid="{FE82CCB3-C196-4A10-9CDF-EC3AAB610284}" name="Indicador" dataDxfId="154">
      <calculatedColumnFormula>IF(O2&lt;0,"ATRASADO",IF(O2&lt;=15,"ATENÇÃO","NO PRAZO"))</calculatedColumnFormula>
    </tableColumn>
    <tableColumn id="21" xr3:uid="{0E3EA19A-D149-4026-9EFA-582C442CDE24}" name="Semana_x000a_Entrega" dataDxfId="153">
      <calculatedColumnFormula>WEEKNUM(Tabela1[[#This Row],[Prazo
Entrega]],1)</calculatedColumnFormula>
    </tableColumn>
    <tableColumn id="22" xr3:uid="{8BBF8940-A612-415C-B30B-5BED69C42E59}" name="CONDIÇÃO" dataDxfId="152"/>
    <tableColumn id="35" xr3:uid="{DF0F32C7-2632-41CB-B20E-BE67D32DDFF8}" name="Desenho_x000a_Previsão" dataDxfId="151"/>
    <tableColumn id="33" xr3:uid="{B0C0F319-983E-42D8-8584-16523AED9BC7}" name="Des." dataDxfId="150"/>
    <tableColumn id="32" xr3:uid="{BB84EAAB-24E7-433E-8DE8-B7705F525D65}" name="Plainar" dataDxfId="149"/>
    <tableColumn id="31" xr3:uid="{811011C2-9E33-4F8A-BCD2-260DDF4CC060}" name="Facear" dataDxfId="148"/>
    <tableColumn id="30" xr3:uid="{EFE986D2-325F-4223-A6FC-89AFC0782517}" name="Serrar" dataDxfId="147"/>
    <tableColumn id="29" xr3:uid="{806CC413-43AC-4EDE-9413-A2852780B283}" name="Solda Dura" dataDxfId="146"/>
    <tableColumn id="28" xr3:uid="{669E3B74-6C47-4551-B95C-DE764412CB09}" name="Encaixe" dataDxfId="145"/>
    <tableColumn id="27" xr3:uid="{33B1427B-026C-4955-BEDC-C39ECFB35542}" name="Furação" dataDxfId="144"/>
    <tableColumn id="34" xr3:uid="{2004DA6B-65E8-4CFF-8DD6-03937C8E23A7}" name="Acabam." dataDxfId="143"/>
    <tableColumn id="25" xr3:uid="{94AD153B-B1BE-422C-9B64-A3F125946AE5}" name="Liberação" dataDxfId="142"/>
    <tableColumn id="23" xr3:uid="{6FFD36BA-4C85-4732-ACA9-BC9D46F4C26B}" name="Status Usinagem" dataDxfId="141">
      <calculatedColumnFormula>IF(L2="","AG. FUNDIDO",IF(U2="AG","AG. USINAGEM","EM USINAGEM"))</calculatedColumnFormula>
    </tableColumn>
    <tableColumn id="26" xr3:uid="{DF8CD1DA-6F25-4291-9F78-DB8D5E9AF463}" name="Observação" dataDxfId="140"/>
    <tableColumn id="15" xr3:uid="{8F53CFFE-8E1C-41F5-9090-488AE701829C}" name="Plainar_x000a_Facear" dataDxfId="139"/>
    <tableColumn id="16" xr3:uid="{EB12A620-BA24-453B-B639-A28F83CF7950}" name="Serrar2" dataDxfId="138"/>
    <tableColumn id="17" xr3:uid="{46D65A07-940A-4560-AFE5-056D37171937}" name="Solda_x000a_Dura2" dataDxfId="137"/>
    <tableColumn id="18" xr3:uid="{97823986-0C6D-4D6F-9BEE-2E43C2286AB2}" name="Encaixe /_x000a_Furação" dataDxfId="136"/>
    <tableColumn id="19" xr3:uid="{6F1924AE-480F-421A-BD70-FA16D1D4E641}" name="Acabam./_x000a_Inspeção" dataDxfId="13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7" totalsRowShown="0" headerRowDxfId="195" dataDxfId="194">
  <autoFilter ref="A1:V167" xr:uid="{71E71FAB-CF6D-4765-90BA-ABDE8C3299DB}">
    <filterColumn colId="4">
      <filters>
        <filter val="Pagrisa"/>
      </filters>
    </filterColumn>
  </autoFilter>
  <tableColumns count="22">
    <tableColumn id="1" xr3:uid="{8F000DF9-1B1A-450A-B138-9EDBA7F17698}" name="PV" dataDxfId="193"/>
    <tableColumn id="2" xr3:uid="{4269DD7F-E557-42AF-949B-69AB74B45D7E}" name="Item" dataDxfId="192"/>
    <tableColumn id="3" xr3:uid="{B8E3D127-9007-43BC-9B71-611446984BAE}" name="O.S." dataDxfId="191"/>
    <tableColumn id="4" xr3:uid="{8A9FBC4E-431D-4132-B7C4-86DD1CC31C1D}" name="Item2" dataDxfId="190"/>
    <tableColumn id="5" xr3:uid="{E43CCBA4-A724-44DA-9BFB-2AD45322EC54}" name="Cliente" dataDxfId="189"/>
    <tableColumn id="6" xr3:uid="{301560AA-7C28-4FE5-AC00-2A14532B12A0}" name="Peça" dataDxfId="188"/>
    <tableColumn id="7" xr3:uid="{864BB541-5CD2-4DAB-AEC1-ADDD341A77F2}" name="Seq." dataDxfId="187"/>
    <tableColumn id="8" xr3:uid="{39F09B1D-71EC-461C-93C5-C5FCECCA0EC0}" name="Descrição" dataDxfId="186"/>
    <tableColumn id="9" xr3:uid="{0CC8781A-4370-473C-AD18-F562622EB79C}" name="Qtde." dataDxfId="185"/>
    <tableColumn id="10" xr3:uid="{8FC48674-090B-441A-B05D-5E7E4AB5177C}" name="Prazo_x000a_Fundido" dataDxfId="184"/>
    <tableColumn id="11" xr3:uid="{2B85402B-261F-4CF1-8AC4-DE439E438480}" name="Semana_x000a_Fundido" dataDxfId="183">
      <calculatedColumnFormula>WEEKNUM(Tabela3[[#This Row],[Prazo
Fundido]])</calculatedColumnFormula>
    </tableColumn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IF(Q2&lt;0,"ATRASADO",IF(Q2&lt;=15,"ATENÇÃO","NO PRAZO"))</calculatedColumnFormula>
    </tableColumn>
    <tableColumn id="17" xr3:uid="{37B1BAB9-4A72-4AB5-85A7-CFF0F27D94A6}" name="Semana_x000a_Entrega" dataDxfId="175">
      <calculatedColumnFormula>WEEKNUM(Tabela3[[#This Row],[Prazo
Entrega]])</calculatedColumnFormula>
    </tableColumn>
    <tableColumn id="19" xr3:uid="{A127FC22-0D53-4D0F-B783-28394B3FD90C}" name="CONDIÇÃO" dataDxfId="174"/>
    <tableColumn id="20" xr3:uid="{F610A49E-78E2-480E-B901-6B99A41E5174}" name="Status Usinagem" dataDxfId="173"/>
    <tableColumn id="21" xr3:uid="{FA7288EB-0143-4C36-8591-BF7231A8226E}" name="Observação" dataDxfId="17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34" dataDxfId="13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32"/>
    <tableColumn id="2" xr3:uid="{4F16CD54-AAD4-4149-8D48-CC3FFEA93AA5}" name="Item" dataDxfId="131"/>
    <tableColumn id="3" xr3:uid="{27DB1DBC-B9DA-4067-9696-8CA5ACAAA450}" name="OS" dataDxfId="130"/>
    <tableColumn id="4" xr3:uid="{02C5E283-8ABF-44F8-B3B8-C3F186B4DF63}" name="Item2" dataDxfId="129"/>
    <tableColumn id="5" xr3:uid="{B1051CBE-EA72-4A43-8721-8756F3E2C9C9}" name="Cliente" dataDxfId="128"/>
    <tableColumn id="6" xr3:uid="{D81DBB81-327B-4EA3-89A3-229D33F3C14C}" name="Cod." dataDxfId="127"/>
    <tableColumn id="7" xr3:uid="{05B3DC4D-BFB9-401F-A18F-0D1B8527380B}" name="Seq." dataDxfId="126"/>
    <tableColumn id="8" xr3:uid="{9EBF401A-1F29-4CB3-BFA3-F2B326242AB0}" name="Descrição" dataDxfId="125"/>
    <tableColumn id="14" xr3:uid="{85D3397C-7F95-49C7-BFFB-35012CA3B716}" name="Qtd." dataDxfId="124"/>
    <tableColumn id="9" xr3:uid="{0D04583C-577A-446B-9773-A173C5C1C166}" name="Data Prev._x000a_Fundido" dataDxfId="123"/>
    <tableColumn id="10" xr3:uid="{935D3899-0C12-4408-89DF-490A507F79BA}" name="Data Real_x000a_Fundido" dataDxfId="122"/>
    <tableColumn id="11" xr3:uid="{0F06941F-293B-4C15-9764-BB3495C5D3BD}" name="Data Prev._x000a_Entrega" dataDxfId="121"/>
    <tableColumn id="12" xr3:uid="{92FF2511-5498-45BF-9B68-94DBEA588C5A}" name="Data Real_x000a_Entrega" dataDxfId="120"/>
    <tableColumn id="25" xr3:uid="{98545C7E-9674-485C-A07D-715E8945B00E}" name="Falta_x000a_Dias" dataDxfId="119">
      <calculatedColumnFormula>Tabela13[[#This Row],[Data Prev.
Entrega]]-TODAY()</calculatedColumnFormula>
    </tableColumn>
    <tableColumn id="27" xr3:uid="{4EB63243-AA79-4695-93C8-CEA977B11387}" name="Indicador" dataDxfId="118">
      <calculatedColumnFormula>IF(N2&lt;0,"ATRASADO",IF(N2&lt;=15,"ATENÇÃO","NO PRAZO"))</calculatedColumnFormula>
    </tableColumn>
    <tableColumn id="15" xr3:uid="{7AB992C1-F70E-4469-85BB-EBB7763B2038}" name="Condição" dataDxfId="117"/>
    <tableColumn id="24" xr3:uid="{B5965349-4BC8-4DF7-9EB4-857B6D471E8A}" name="Desenho_x000a_Previsão" dataDxfId="116"/>
    <tableColumn id="13" xr3:uid="{FD827F61-5F7F-4B65-8A60-B59D23455B46}" name="Des." dataDxfId="115"/>
    <tableColumn id="16" xr3:uid="{3D186A5F-076F-4232-B21C-37E58E5373B2}" name="Desb." dataDxfId="114"/>
    <tableColumn id="17" xr3:uid="{6EEDF11E-F341-4B3E-8CD2-5595785C3427}" name="T.T." dataDxfId="113"/>
    <tableColumn id="18" xr3:uid="{A84EFCF4-218F-4B17-8F46-8D5412141429}" name="Us. Final" dataDxfId="112"/>
    <tableColumn id="19" xr3:uid="{EBD50149-594D-440E-BFBB-E73ACAF7B6F8}" name="Fundo D." dataDxfId="111"/>
    <tableColumn id="20" xr3:uid="{91BE30ED-20C1-4F30-9041-45A50CCA04F0}" name="Acabam." dataDxfId="110"/>
    <tableColumn id="21" xr3:uid="{A1A12DF6-FC3D-4466-8284-DBD00DEAF994}" name="Liberação" dataDxfId="109"/>
    <tableColumn id="22" xr3:uid="{436F202D-DCF4-4376-A550-2541153BD99F}" name="Status Usinagem" dataDxfId="108">
      <calculatedColumnFormula>IF(K2="","AG. FUNDIDO",IF(X2="OK","LIBERADA","EM USINAGEM"))</calculatedColumnFormula>
    </tableColumn>
    <tableColumn id="23" xr3:uid="{F71E5739-8B79-47B3-9A24-E2E4D1DD46E6}" name="Observação" dataDxfId="10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06" dataDxfId="105">
  <autoFilter ref="A1:T123" xr:uid="{8F2F252D-0322-4579-B9EF-622E98B5994C}"/>
  <tableColumns count="20">
    <tableColumn id="1" xr3:uid="{56D3DA8E-4CA8-4DC6-8208-BAB93CDE51C0}" name="PV" dataDxfId="104"/>
    <tableColumn id="2" xr3:uid="{B14AE1B6-8C05-4725-BF42-3DBDB37AA4E3}" name="item" dataDxfId="103"/>
    <tableColumn id="3" xr3:uid="{24FE1002-C88A-4623-8882-5F391ECAB319}" name="OS" dataDxfId="102"/>
    <tableColumn id="4" xr3:uid="{4ED6249C-2003-4F3F-AE5A-67316434275E}" name="Item2" dataDxfId="101"/>
    <tableColumn id="5" xr3:uid="{6CE5B2E1-F32C-4D32-93F0-A17C05267ADB}" name="Cliente" dataDxfId="100"/>
    <tableColumn id="6" xr3:uid="{605F51C8-79D3-407B-8642-02F131952C62}" name="Qtd." dataDxfId="99"/>
    <tableColumn id="7" xr3:uid="{3AC59FFB-0DC5-477B-B780-880A1FD84811}" name="Peça" dataDxfId="98"/>
    <tableColumn id="8" xr3:uid="{2EE377A7-B17C-442E-A107-012310DB953B}" name="Seq." dataDxfId="97"/>
    <tableColumn id="9" xr3:uid="{5366226E-7F3B-42E4-AC0C-86C659505CC8}" name="Descrição" dataDxfId="96"/>
    <tableColumn id="10" xr3:uid="{B0D229C5-5F5A-4951-A0B4-FEA62AEFBB36}" name="Prazo_x000a_Fundido" dataDxfId="95"/>
    <tableColumn id="11" xr3:uid="{8AE09F18-EB17-4537-8FBD-24671292144B}" name="Pz Fundido_x000a_Real" dataDxfId="94"/>
    <tableColumn id="12" xr3:uid="{965E0234-7E4B-482D-8943-132C1520AD21}" name="Prazo_x000a_Entrega" dataDxfId="93"/>
    <tableColumn id="13" xr3:uid="{D70BE32E-86AF-4C0F-893D-AC939E731683}" name="Pz Entrega_x000a_Real" dataDxfId="92"/>
    <tableColumn id="15" xr3:uid="{2FE637E5-62E2-4AE9-AE5A-BC264DC93D4F}" name="Falta_x000a_Dias" dataDxfId="91">
      <calculatedColumnFormula>Tabela4[[#This Row],[Prazo
Entrega]]-TODAY()</calculatedColumnFormula>
    </tableColumn>
    <tableColumn id="14" xr3:uid="{23AEF4D3-817F-4A15-AFBA-EC837E4BE1AE}" name="Indicador" dataDxfId="90">
      <calculatedColumnFormula>IF(N2&lt;0,"ATRASADO",IF(N2&lt;=15,"ATENÇÃO","NO PRAZO"))</calculatedColumnFormula>
    </tableColumn>
    <tableColumn id="16" xr3:uid="{78F55B7C-8E60-49C5-B1F7-B023E76BDA6E}" name="Condição" dataDxfId="89"/>
    <tableColumn id="20" xr3:uid="{A889C1FB-2FE0-407A-B849-FEB9F2CA4F96}" name="Desenho_x000a_Previsão" dataDxfId="88"/>
    <tableColumn id="19" xr3:uid="{FB1E21D0-A118-422F-AA5B-F56FFBA7B5E4}" name="Des." dataDxfId="87"/>
    <tableColumn id="17" xr3:uid="{C14325D6-C653-45B3-B85F-6AF107A71546}" name="Status" dataDxfId="86"/>
    <tableColumn id="18" xr3:uid="{C6F7CA6A-B8B3-4E22-B3E8-05FFB1A03AB6}" name="Observação" dataDxfId="8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84" dataDxfId="83">
  <autoFilter ref="A1:AB94" xr:uid="{08F50CE1-35A6-4ABA-9594-79B9C39908E8}"/>
  <tableColumns count="28">
    <tableColumn id="1" xr3:uid="{C25E2119-68FD-4765-BAFB-8CC2FA75E790}" name="PV" dataDxfId="82"/>
    <tableColumn id="2" xr3:uid="{39E67E43-7C76-4E6C-9319-15A91DE1C08C}" name="Item" dataDxfId="81"/>
    <tableColumn id="4" xr3:uid="{5B6759FC-B832-438E-B60C-770FAF7723FA}" name="Cliente" dataDxfId="80"/>
    <tableColumn id="5" xr3:uid="{20CFBF4C-4BD9-4F05-86D4-8A4AFFC243B2}" name="_x000a_O.S./Peça" dataDxfId="79"/>
    <tableColumn id="6" xr3:uid="{3994BD48-BFFD-46D2-9740-EDD282F2590D}" name="Descrição" dataDxfId="78"/>
    <tableColumn id="7" xr3:uid="{261AA518-FC82-431F-8839-D26554B59355}" name="Qtde." dataDxfId="77"/>
    <tableColumn id="24" xr3:uid="{0C566A21-B9D9-4AD7-A8B3-328E480EA286}" name="Bit" dataDxfId="76"/>
    <tableColumn id="17" xr3:uid="{7631FA30-8167-4961-B0E8-981A96ADEF58}" name="Tipo" dataDxfId="75"/>
    <tableColumn id="3" xr3:uid="{4F794446-D6E6-4C06-B881-9408CC542675}" name="Pos." dataDxfId="74"/>
    <tableColumn id="26" xr3:uid="{C41F63A6-DC4C-42FE-A13B-3E56F237270D}" name="Terno" dataDxfId="73"/>
    <tableColumn id="16" xr3:uid="{FF0A908E-E8EE-4CA0-96FA-38C032BFEFDE}" name="Forma" dataDxfId="72"/>
    <tableColumn id="12" xr3:uid="{C314135B-6E96-4285-97CB-3F7155419270}" name="Nº Eixo" dataDxfId="31"/>
    <tableColumn id="9" xr3:uid="{DE0283F8-D4F6-449C-A9CA-7DBCB898DFD9}" name="Prazo_x000a_Fund" dataDxfId="71"/>
    <tableColumn id="10" xr3:uid="{663D9716-4C25-4ACC-A105-E9E7A474BCE6}" name="Prazo_x000a_Fund Real" dataDxfId="70"/>
    <tableColumn id="11" xr3:uid="{6EF58C27-546C-4B57-B05D-BB07C2046388}" name="Prazo_x000a_Entrega_x000a_Camisa" dataDxfId="69"/>
    <tableColumn id="13" xr3:uid="{506EC589-7ED2-4A3B-BED8-6CA8F57277E1}" name="Desenho_x000a_Previsão" dataDxfId="68"/>
    <tableColumn id="14" xr3:uid="{A31AB572-7F13-4A5C-A42E-7E7A20433BDA}" name="Des." dataDxfId="67"/>
    <tableColumn id="33" xr3:uid="{9D21190D-5788-4F29-AED2-63644BCE6C32}" name="OP1" dataDxfId="66"/>
    <tableColumn id="30" xr3:uid="{6C8FD4D3-300E-4009-A264-D6FBC780DE60}" name="OP2" dataDxfId="65"/>
    <tableColumn id="28" xr3:uid="{533BCCB9-B72A-4E3A-BE20-626EE2E49D83}" name="OP3" dataDxfId="64"/>
    <tableColumn id="27" xr3:uid="{58435D6B-01D7-44DD-9B21-62EB23C9AA4F}" name="OP4" dataDxfId="63"/>
    <tableColumn id="25" xr3:uid="{B00B175A-D2BA-4783-8EBD-A000C46B6055}" name="OP5" dataDxfId="62"/>
    <tableColumn id="20" xr3:uid="{1C48207C-2D30-42CB-BD4E-0C9B569C9BCB}" name="OP6" dataDxfId="61"/>
    <tableColumn id="35" xr3:uid="{5857075F-D742-43D2-AD1F-F2BB8219D8E7}" name="OP7" dataDxfId="60"/>
    <tableColumn id="15" xr3:uid="{46F62312-EE93-4C00-9352-8A9BF48479C9}" name="OP8" dataDxfId="59"/>
    <tableColumn id="8" xr3:uid="{81AAED83-3114-4366-BECD-21F933A26FE9}" name="OP9" dataDxfId="58"/>
    <tableColumn id="18" xr3:uid="{F5387D14-C7D5-4022-901B-04E5D65304C7}" name="Status_x000a_Camisa" dataDxfId="57"/>
    <tableColumn id="19" xr3:uid="{A08285BC-8B0E-4492-A6AF-090B851B036D}" name="Observação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5" dataDxfId="54">
  <autoFilter ref="A1:W35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 eixo" dataDxfId="33"/>
    <tableColumn id="3" xr3:uid="{C1512D5D-E928-4CC2-9A29-8484494EA1A7}" name="Item" dataDxfId="32"/>
    <tableColumn id="4" xr3:uid="{DD6014DD-F2DC-47D0-A44B-A9397730BE4E}" name="Cliente" dataDxfId="53"/>
    <tableColumn id="6" xr3:uid="{59911696-06D3-45A5-970B-2AD22F609E28}" name="Descrição" dataDxfId="52"/>
    <tableColumn id="7" xr3:uid="{8F359B2A-1452-4DD5-8078-A592FF1FAEDA}" name="Qtde." dataDxfId="51"/>
    <tableColumn id="24" xr3:uid="{6ACDF30B-4FA5-46F2-B973-769AFF1A7ED5}" name="Bit" dataDxfId="50"/>
    <tableColumn id="9" xr3:uid="{E800A3D3-0303-4259-A58F-C223C4C1BA42}" name="Coluna2" dataDxfId="30"/>
    <tableColumn id="26" xr3:uid="{CA14875A-A13A-4CA2-81ED-1A988AD78208}" name="Terno" dataDxfId="49"/>
    <tableColumn id="11" xr3:uid="{2AE87132-0DBA-40D2-AB92-CEAC0877A62E}" name="Prazo_x000a_Entrega_x000a_Eixo" dataDxfId="48"/>
    <tableColumn id="13" xr3:uid="{75F62D18-9AFA-4320-9551-17D7D3F48733}" name="Desenho_x000a_Previsão" dataDxfId="47"/>
    <tableColumn id="14" xr3:uid="{0E91F17A-D1CD-4B1F-B5BA-F593FF862042}" name="Des." dataDxfId="46"/>
    <tableColumn id="1" xr3:uid="{94AA572C-41FE-43EA-AB0E-69CD585A6CEF}" name="Nº Eixo" dataDxfId="34"/>
    <tableColumn id="33" xr3:uid="{49915B29-1E2A-403B-BB52-E050204325AB}" name="OP1" dataDxfId="45"/>
    <tableColumn id="30" xr3:uid="{918DBD98-C28A-4CAB-8273-DEB81CE88B05}" name="OP2" dataDxfId="44"/>
    <tableColumn id="28" xr3:uid="{F99FDFD5-3B70-48B1-93CD-89C55B3CE706}" name="OP3" dataDxfId="43"/>
    <tableColumn id="27" xr3:uid="{3B6FF2E7-14DF-4DBF-B5AB-5AC8D2BE1CDD}" name="OP4" dataDxfId="42"/>
    <tableColumn id="25" xr3:uid="{0837249B-09C0-43AA-A6F1-42C6831ED1C4}" name="OP5" dataDxfId="41"/>
    <tableColumn id="20" xr3:uid="{9AB76328-313A-4CD8-9CB1-5AB1453CAE9E}" name="OP6" dataDxfId="40"/>
    <tableColumn id="35" xr3:uid="{B32C0B30-5F3F-42B0-8DFF-98B0B8FB2893}" name="OP7" dataDxfId="39"/>
    <tableColumn id="15" xr3:uid="{AF3E8433-61CF-422E-9FA2-91C9BA8DC757}" name="OP8" dataDxfId="38"/>
    <tableColumn id="8" xr3:uid="{A6F4F508-1C53-4E9B-9746-79444D0123BB}" name="OP9" dataDxfId="37"/>
    <tableColumn id="23" xr3:uid="{4DFCA09F-8E46-42D4-9163-40353BAA4ACE}" name="Status_x000a_Eixo" dataDxfId="36"/>
    <tableColumn id="19" xr3:uid="{E3D32BDE-09FA-4F17-8CE6-8B2139F9BB8A}" name="Observação" dataDxfId="3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L69" sqref="L6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-1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6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6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251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6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6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358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6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-1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-1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-1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-1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6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6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6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6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-1</v>
      </c>
      <c r="P16" s="40" t="str">
        <f t="shared" ca="1" si="0"/>
        <v>ATRASADO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251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-1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-1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-1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251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13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6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13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13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-4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-4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-4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-4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-4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-4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13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-1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13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13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13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13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13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13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357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20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20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20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20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20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20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20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20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20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20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27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27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27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27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27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27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27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27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27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27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34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34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20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20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20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20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20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20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20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34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34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41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41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41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41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41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41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45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45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45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21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81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21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52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52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81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96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96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96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96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96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96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67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67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67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67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67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1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142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1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142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1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142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1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142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1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142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142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142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142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142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142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142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142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142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142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142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111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111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111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111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111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7"/>
  <sheetViews>
    <sheetView topLeftCell="E1" workbookViewId="0">
      <selection activeCell="Q182" sqref="Q18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-3</v>
      </c>
      <c r="R2" s="10" t="str">
        <f t="shared" ref="R2:R33" ca="1" si="0">IF(Q2&lt;0,"ATRASADO",IF(Q2&lt;=15,"ATENÇÃO","NO PRAZO"))</f>
        <v>ATRASADO</v>
      </c>
      <c r="S2" s="10">
        <f>WEEKNUM(Tabela3[[#This Row],[Prazo
Entrega]])</f>
        <v>28</v>
      </c>
      <c r="T2" s="10" t="s">
        <v>43</v>
      </c>
      <c r="U2" s="10" t="s">
        <v>350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-3</v>
      </c>
      <c r="R3" s="10" t="str">
        <f t="shared" ca="1" si="0"/>
        <v>ATRASADO</v>
      </c>
      <c r="S3" s="10">
        <f>WEEKNUM(Tabela3[[#This Row],[Prazo
Entrega]])</f>
        <v>28</v>
      </c>
      <c r="T3" s="10" t="s">
        <v>43</v>
      </c>
      <c r="U3" s="10" t="s">
        <v>350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-3</v>
      </c>
      <c r="R4" s="10" t="str">
        <f t="shared" ca="1" si="0"/>
        <v>ATRASADO</v>
      </c>
      <c r="S4" s="10">
        <f>WEEKNUM(Tabela3[[#This Row],[Prazo
Entrega]])</f>
        <v>28</v>
      </c>
      <c r="T4" s="10" t="s">
        <v>43</v>
      </c>
      <c r="U4" s="10" t="s">
        <v>350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-3</v>
      </c>
      <c r="R5" s="10" t="str">
        <f t="shared" ca="1" si="0"/>
        <v>ATRASADO</v>
      </c>
      <c r="S5" s="10">
        <f>WEEKNUM(Tabela3[[#This Row],[Prazo
Entrega]])</f>
        <v>28</v>
      </c>
      <c r="T5" s="10" t="s">
        <v>43</v>
      </c>
      <c r="U5" s="10" t="s">
        <v>350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-3</v>
      </c>
      <c r="R6" s="10" t="str">
        <f t="shared" ca="1" si="0"/>
        <v>ATRASADO</v>
      </c>
      <c r="S6" s="10">
        <f>WEEKNUM(Tabela3[[#This Row],[Prazo
Entrega]])</f>
        <v>28</v>
      </c>
      <c r="T6" s="10" t="s">
        <v>43</v>
      </c>
      <c r="U6" s="10" t="s">
        <v>350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-3</v>
      </c>
      <c r="R7" s="10" t="str">
        <f t="shared" ca="1" si="0"/>
        <v>ATRASADO</v>
      </c>
      <c r="S7" s="10">
        <f>WEEKNUM(Tabela3[[#This Row],[Prazo
Entrega]])</f>
        <v>28</v>
      </c>
      <c r="T7" s="10" t="s">
        <v>43</v>
      </c>
      <c r="U7" s="10" t="s">
        <v>350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-3</v>
      </c>
      <c r="R8" s="10" t="str">
        <f t="shared" ca="1" si="0"/>
        <v>ATRASADO</v>
      </c>
      <c r="S8" s="10">
        <f>WEEKNUM(Tabela3[[#This Row],[Prazo
Entrega]])</f>
        <v>28</v>
      </c>
      <c r="T8" s="10" t="s">
        <v>43</v>
      </c>
      <c r="U8" s="10" t="s">
        <v>350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-3</v>
      </c>
      <c r="R9" s="10" t="str">
        <f t="shared" ca="1" si="0"/>
        <v>ATRASADO</v>
      </c>
      <c r="S9" s="10">
        <f>WEEKNUM(Tabela3[[#This Row],[Prazo
Entrega]])</f>
        <v>28</v>
      </c>
      <c r="T9" s="10" t="s">
        <v>43</v>
      </c>
      <c r="U9" s="10" t="s">
        <v>350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-3</v>
      </c>
      <c r="R10" s="10" t="str">
        <f t="shared" ca="1" si="0"/>
        <v>ATRASADO</v>
      </c>
      <c r="S10" s="10">
        <f>WEEKNUM(Tabela3[[#This Row],[Prazo
Entrega]])</f>
        <v>28</v>
      </c>
      <c r="T10" s="10" t="s">
        <v>43</v>
      </c>
      <c r="U10" s="10" t="s">
        <v>350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-3</v>
      </c>
      <c r="R11" s="10" t="str">
        <f t="shared" ca="1" si="0"/>
        <v>ATRASADO</v>
      </c>
      <c r="S11" s="10">
        <f>WEEKNUM(Tabela3[[#This Row],[Prazo
Entrega]])</f>
        <v>28</v>
      </c>
      <c r="T11" s="10" t="s">
        <v>43</v>
      </c>
      <c r="U11" s="10" t="s">
        <v>350</v>
      </c>
      <c r="V11" s="10" t="s">
        <v>277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-3</v>
      </c>
      <c r="R12" s="10" t="str">
        <f t="shared" ca="1" si="0"/>
        <v>ATRASADO</v>
      </c>
      <c r="S12" s="10">
        <f>WEEKNUM(Tabela3[[#This Row],[Prazo
Entrega]])</f>
        <v>28</v>
      </c>
      <c r="T12" s="10" t="s">
        <v>43</v>
      </c>
      <c r="U12" s="10" t="s">
        <v>350</v>
      </c>
      <c r="V12" s="10" t="s">
        <v>278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-3</v>
      </c>
      <c r="R13" s="10" t="str">
        <f t="shared" ca="1" si="0"/>
        <v>ATRASADO</v>
      </c>
      <c r="S13" s="10">
        <f>WEEKNUM(Tabela3[[#This Row],[Prazo
Entrega]])</f>
        <v>28</v>
      </c>
      <c r="T13" s="10" t="s">
        <v>43</v>
      </c>
      <c r="U13" s="10" t="s">
        <v>350</v>
      </c>
      <c r="V13" s="10" t="s">
        <v>279</v>
      </c>
    </row>
    <row r="14" spans="1:22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-3</v>
      </c>
      <c r="R14" s="10" t="str">
        <f t="shared" ca="1" si="0"/>
        <v>ATRASADO</v>
      </c>
      <c r="S14" s="10">
        <f>WEEKNUM(Tabela3[[#This Row],[Prazo
Entrega]])</f>
        <v>28</v>
      </c>
      <c r="T14" s="10" t="s">
        <v>43</v>
      </c>
      <c r="U14" s="10" t="s">
        <v>251</v>
      </c>
      <c r="V14" s="10"/>
    </row>
    <row r="15" spans="1:22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-3</v>
      </c>
      <c r="R15" s="10" t="str">
        <f t="shared" ca="1" si="0"/>
        <v>ATRASADO</v>
      </c>
      <c r="S15" s="10">
        <f>WEEKNUM(Tabela3[[#This Row],[Prazo
Entrega]])</f>
        <v>28</v>
      </c>
      <c r="T15" s="10" t="s">
        <v>43</v>
      </c>
      <c r="U15" s="10" t="s">
        <v>251</v>
      </c>
      <c r="V15" s="10"/>
    </row>
    <row r="16" spans="1:22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-3</v>
      </c>
      <c r="R16" s="10" t="str">
        <f t="shared" ca="1" si="0"/>
        <v>ATRASADO</v>
      </c>
      <c r="S16" s="10">
        <f>WEEKNUM(Tabela3[[#This Row],[Prazo
Entrega]])</f>
        <v>28</v>
      </c>
      <c r="T16" s="10" t="s">
        <v>43</v>
      </c>
      <c r="U16" s="10" t="s">
        <v>251</v>
      </c>
      <c r="V16" s="10"/>
    </row>
    <row r="17" spans="1:22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-3</v>
      </c>
      <c r="R17" s="10" t="str">
        <f t="shared" ca="1" si="0"/>
        <v>ATRASADO</v>
      </c>
      <c r="S17" s="10">
        <f>WEEKNUM(Tabela3[[#This Row],[Prazo
Entrega]])</f>
        <v>28</v>
      </c>
      <c r="T17" s="10" t="s">
        <v>43</v>
      </c>
      <c r="U17" s="10" t="s">
        <v>251</v>
      </c>
      <c r="V17" s="10"/>
    </row>
    <row r="18" spans="1:22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-3</v>
      </c>
      <c r="R18" s="10" t="str">
        <f t="shared" ca="1" si="0"/>
        <v>ATRASADO</v>
      </c>
      <c r="S18" s="10">
        <f>WEEKNUM(Tabela3[[#This Row],[Prazo
Entrega]])</f>
        <v>28</v>
      </c>
      <c r="T18" s="10" t="s">
        <v>43</v>
      </c>
      <c r="U18" s="10" t="s">
        <v>251</v>
      </c>
      <c r="V18" s="10"/>
    </row>
    <row r="19" spans="1:22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-3</v>
      </c>
      <c r="R19" s="10" t="str">
        <f t="shared" ca="1" si="0"/>
        <v>ATRASADO</v>
      </c>
      <c r="S19" s="10">
        <f>WEEKNUM(Tabela3[[#This Row],[Prazo
Entrega]])</f>
        <v>28</v>
      </c>
      <c r="T19" s="10" t="s">
        <v>43</v>
      </c>
      <c r="U19" s="10" t="s">
        <v>251</v>
      </c>
      <c r="V19" s="10"/>
    </row>
    <row r="20" spans="1:22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-3</v>
      </c>
      <c r="R20" s="10" t="str">
        <f t="shared" ca="1" si="0"/>
        <v>ATRASADO</v>
      </c>
      <c r="S20" s="10">
        <f>WEEKNUM(Tabela3[[#This Row],[Prazo
Entrega]])</f>
        <v>28</v>
      </c>
      <c r="T20" s="10" t="s">
        <v>43</v>
      </c>
      <c r="U20" s="10" t="s">
        <v>251</v>
      </c>
      <c r="V20" s="10"/>
    </row>
    <row r="21" spans="1:22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-3</v>
      </c>
      <c r="R21" s="10" t="str">
        <f t="shared" ca="1" si="0"/>
        <v>ATRASADO</v>
      </c>
      <c r="S21" s="10">
        <f>WEEKNUM(Tabela3[[#This Row],[Prazo
Entrega]])</f>
        <v>28</v>
      </c>
      <c r="T21" s="10" t="s">
        <v>43</v>
      </c>
      <c r="U21" s="10" t="s">
        <v>251</v>
      </c>
      <c r="V21" s="10"/>
    </row>
    <row r="22" spans="1:22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-3</v>
      </c>
      <c r="R22" s="10" t="str">
        <f t="shared" ca="1" si="0"/>
        <v>ATRASADO</v>
      </c>
      <c r="S22" s="10">
        <f>WEEKNUM(Tabela3[[#This Row],[Prazo
Entrega]])</f>
        <v>28</v>
      </c>
      <c r="T22" s="10" t="s">
        <v>43</v>
      </c>
      <c r="U22" s="10" t="s">
        <v>251</v>
      </c>
      <c r="V22" s="10"/>
    </row>
    <row r="23" spans="1:22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-3</v>
      </c>
      <c r="R23" s="10" t="str">
        <f t="shared" ca="1" si="0"/>
        <v>ATRASADO</v>
      </c>
      <c r="S23" s="10">
        <f>WEEKNUM(Tabela3[[#This Row],[Prazo
Entrega]])</f>
        <v>28</v>
      </c>
      <c r="T23" s="10" t="s">
        <v>43</v>
      </c>
      <c r="U23" s="10" t="s">
        <v>251</v>
      </c>
      <c r="V23" s="10"/>
    </row>
    <row r="24" spans="1:22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-3</v>
      </c>
      <c r="R24" s="10" t="str">
        <f t="shared" ca="1" si="0"/>
        <v>ATRASADO</v>
      </c>
      <c r="S24" s="10">
        <f>WEEKNUM(Tabela3[[#This Row],[Prazo
Entrega]])</f>
        <v>28</v>
      </c>
      <c r="T24" s="10" t="s">
        <v>43</v>
      </c>
      <c r="U24" s="10" t="s">
        <v>251</v>
      </c>
      <c r="V24" s="10"/>
    </row>
    <row r="25" spans="1:22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-3</v>
      </c>
      <c r="R25" s="10" t="str">
        <f t="shared" ca="1" si="0"/>
        <v>ATRASADO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-3</v>
      </c>
      <c r="R26" s="10" t="str">
        <f t="shared" ca="1" si="0"/>
        <v>ATRASADO</v>
      </c>
      <c r="S26" s="10">
        <f>WEEKNUM(Tabela3[[#This Row],[Prazo
Entrega]])</f>
        <v>28</v>
      </c>
      <c r="T26" s="10" t="s">
        <v>43</v>
      </c>
      <c r="U26" s="10" t="s">
        <v>251</v>
      </c>
      <c r="V26" s="10"/>
    </row>
    <row r="27" spans="1:22" hidden="1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-3</v>
      </c>
      <c r="R27" s="10" t="str">
        <f t="shared" ca="1" si="0"/>
        <v>ATRASADO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hidden="1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-3</v>
      </c>
      <c r="R28" s="10" t="str">
        <f t="shared" ca="1" si="0"/>
        <v>ATRASADO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hidden="1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-3</v>
      </c>
      <c r="R29" s="10" t="str">
        <f t="shared" ca="1" si="0"/>
        <v>ATRASADO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hidden="1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-3</v>
      </c>
      <c r="R30" s="10" t="str">
        <f t="shared" ca="1" si="0"/>
        <v>ATRASADO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hidden="1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-3</v>
      </c>
      <c r="R31" s="10" t="str">
        <f t="shared" ca="1" si="0"/>
        <v>ATRASADO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hidden="1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-3</v>
      </c>
      <c r="R32" s="10" t="str">
        <f t="shared" ca="1" si="0"/>
        <v>ATRASADO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19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351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19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351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19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351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19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351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19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351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 t="s">
        <v>69</v>
      </c>
      <c r="P38" s="10" t="s">
        <v>69</v>
      </c>
      <c r="Q38" s="12">
        <f ca="1">Tabela3[[#This Row],[Prazo
Entrega]]-TODAY()</f>
        <v>52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 t="s">
        <v>69</v>
      </c>
      <c r="P39" s="10" t="s">
        <v>69</v>
      </c>
      <c r="Q39" s="12">
        <f ca="1">Tabela3[[#This Row],[Prazo
Entrega]]-TODAY()</f>
        <v>52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 t="s">
        <v>69</v>
      </c>
      <c r="P40" s="10" t="s">
        <v>69</v>
      </c>
      <c r="Q40" s="12">
        <f ca="1">Tabela3[[#This Row],[Prazo
Entrega]]-TODAY()</f>
        <v>52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 t="s">
        <v>69</v>
      </c>
      <c r="P41" s="10" t="s">
        <v>69</v>
      </c>
      <c r="Q41" s="12">
        <f ca="1">Tabela3[[#This Row],[Prazo
Entrega]]-TODAY()</f>
        <v>52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 t="s">
        <v>69</v>
      </c>
      <c r="P42" s="10" t="s">
        <v>69</v>
      </c>
      <c r="Q42" s="12">
        <f ca="1">Tabela3[[#This Row],[Prazo
Entrega]]-TODAY()</f>
        <v>52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 t="s">
        <v>69</v>
      </c>
      <c r="P43" s="10" t="s">
        <v>69</v>
      </c>
      <c r="Q43" s="12">
        <f ca="1">Tabela3[[#This Row],[Prazo
Entrega]]-TODAY()</f>
        <v>52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 t="s">
        <v>69</v>
      </c>
      <c r="P44" s="10" t="s">
        <v>69</v>
      </c>
      <c r="Q44" s="12">
        <f ca="1">Tabela3[[#This Row],[Prazo
Entrega]]-TODAY()</f>
        <v>52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 t="s">
        <v>69</v>
      </c>
      <c r="P45" s="10" t="s">
        <v>69</v>
      </c>
      <c r="Q45" s="12">
        <f ca="1">Tabela3[[#This Row],[Prazo
Entrega]]-TODAY()</f>
        <v>52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 t="s">
        <v>69</v>
      </c>
      <c r="P46" s="10" t="s">
        <v>69</v>
      </c>
      <c r="Q46" s="12">
        <f ca="1">Tabela3[[#This Row],[Prazo
Entrega]]-TODAY()</f>
        <v>52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 t="s">
        <v>69</v>
      </c>
      <c r="P47" s="10" t="s">
        <v>69</v>
      </c>
      <c r="Q47" s="12">
        <f ca="1">Tabela3[[#This Row],[Prazo
Entrega]]-TODAY()</f>
        <v>52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 t="s">
        <v>69</v>
      </c>
      <c r="P48" s="10" t="s">
        <v>69</v>
      </c>
      <c r="Q48" s="12">
        <f ca="1">Tabela3[[#This Row],[Prazo
Entrega]]-TODAY()</f>
        <v>52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 t="s">
        <v>69</v>
      </c>
      <c r="P49" s="10" t="s">
        <v>69</v>
      </c>
      <c r="Q49" s="12">
        <f ca="1">Tabela3[[#This Row],[Prazo
Entrega]]-TODAY()</f>
        <v>52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 t="s">
        <v>69</v>
      </c>
      <c r="P50" s="10" t="s">
        <v>69</v>
      </c>
      <c r="Q50" s="12">
        <f ca="1">Tabela3[[#This Row],[Prazo
Entrega]]-TODAY()</f>
        <v>62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 t="s">
        <v>69</v>
      </c>
      <c r="P51" s="10" t="s">
        <v>69</v>
      </c>
      <c r="Q51" s="12">
        <f ca="1">Tabela3[[#This Row],[Prazo
Entrega]]-TODAY()</f>
        <v>62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 t="s">
        <v>69</v>
      </c>
      <c r="P52" s="10" t="s">
        <v>69</v>
      </c>
      <c r="Q52" s="12">
        <f ca="1">Tabela3[[#This Row],[Prazo
Entrega]]-TODAY()</f>
        <v>62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 t="s">
        <v>69</v>
      </c>
      <c r="P53" s="10" t="s">
        <v>69</v>
      </c>
      <c r="Q53" s="12">
        <f ca="1">Tabela3[[#This Row],[Prazo
Entrega]]-TODAY()</f>
        <v>62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 t="s">
        <v>69</v>
      </c>
      <c r="P54" s="10" t="s">
        <v>69</v>
      </c>
      <c r="Q54" s="12">
        <f ca="1">Tabela3[[#This Row],[Prazo
Entrega]]-TODAY()</f>
        <v>62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 t="s">
        <v>69</v>
      </c>
      <c r="P55" s="10" t="s">
        <v>69</v>
      </c>
      <c r="Q55" s="12">
        <f ca="1">Tabela3[[#This Row],[Prazo
Entrega]]-TODAY()</f>
        <v>62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 t="s">
        <v>69</v>
      </c>
      <c r="P56" s="10" t="s">
        <v>69</v>
      </c>
      <c r="Q56" s="12">
        <f ca="1">Tabela3[[#This Row],[Prazo
Entrega]]-TODAY()</f>
        <v>62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 t="s">
        <v>69</v>
      </c>
      <c r="P57" s="10" t="s">
        <v>69</v>
      </c>
      <c r="Q57" s="12">
        <f ca="1">Tabela3[[#This Row],[Prazo
Entrega]]-TODAY()</f>
        <v>62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 t="s">
        <v>69</v>
      </c>
      <c r="P58" s="10" t="s">
        <v>69</v>
      </c>
      <c r="Q58" s="12">
        <f ca="1">Tabela3[[#This Row],[Prazo
Entrega]]-TODAY()</f>
        <v>62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 t="s">
        <v>69</v>
      </c>
      <c r="P59" s="10" t="s">
        <v>69</v>
      </c>
      <c r="Q59" s="12">
        <f ca="1">Tabela3[[#This Row],[Prazo
Entrega]]-TODAY()</f>
        <v>62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 t="s">
        <v>69</v>
      </c>
      <c r="P60" s="10" t="s">
        <v>69</v>
      </c>
      <c r="Q60" s="12">
        <f ca="1">Tabela3[[#This Row],[Prazo
Entrega]]-TODAY()</f>
        <v>62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 t="s">
        <v>69</v>
      </c>
      <c r="P61" s="10" t="s">
        <v>69</v>
      </c>
      <c r="Q61" s="12">
        <f ca="1">Tabela3[[#This Row],[Prazo
Entrega]]-TODAY()</f>
        <v>62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 t="s">
        <v>69</v>
      </c>
      <c r="P62" s="10" t="s">
        <v>69</v>
      </c>
      <c r="Q62" s="12">
        <f ca="1">Tabela3[[#This Row],[Prazo
Entrega]]-TODAY()</f>
        <v>62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 t="s">
        <v>69</v>
      </c>
      <c r="P63" s="10" t="s">
        <v>69</v>
      </c>
      <c r="Q63" s="12">
        <f ca="1">Tabela3[[#This Row],[Prazo
Entrega]]-TODAY()</f>
        <v>62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 t="s">
        <v>69</v>
      </c>
      <c r="P64" s="10" t="s">
        <v>69</v>
      </c>
      <c r="Q64" s="12">
        <f ca="1">Tabela3[[#This Row],[Prazo
Entrega]]-TODAY()</f>
        <v>62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 t="s">
        <v>69</v>
      </c>
      <c r="P65" s="10" t="s">
        <v>69</v>
      </c>
      <c r="Q65" s="12">
        <f ca="1">Tabela3[[#This Row],[Prazo
Entrega]]-TODAY()</f>
        <v>72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 t="s">
        <v>69</v>
      </c>
      <c r="P66" s="10" t="s">
        <v>69</v>
      </c>
      <c r="Q66" s="12">
        <f ca="1">Tabela3[[#This Row],[Prazo
Entrega]]-TODAY()</f>
        <v>72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 t="s">
        <v>69</v>
      </c>
      <c r="P67" s="10" t="s">
        <v>69</v>
      </c>
      <c r="Q67" s="12">
        <f ca="1">Tabela3[[#This Row],[Prazo
Entrega]]-TODAY()</f>
        <v>72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 t="s">
        <v>69</v>
      </c>
      <c r="P68" s="10" t="s">
        <v>69</v>
      </c>
      <c r="Q68" s="12">
        <f ca="1">Tabela3[[#This Row],[Prazo
Entrega]]-TODAY()</f>
        <v>72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 t="s">
        <v>69</v>
      </c>
      <c r="P69" s="10" t="s">
        <v>69</v>
      </c>
      <c r="Q69" s="12">
        <f ca="1">Tabela3[[#This Row],[Prazo
Entrega]]-TODAY()</f>
        <v>72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 t="s">
        <v>69</v>
      </c>
      <c r="P70" s="10" t="s">
        <v>69</v>
      </c>
      <c r="Q70" s="12">
        <f ca="1">Tabela3[[#This Row],[Prazo
Entrega]]-TODAY()</f>
        <v>72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 t="s">
        <v>69</v>
      </c>
      <c r="P71" s="10" t="s">
        <v>69</v>
      </c>
      <c r="Q71" s="12">
        <f ca="1">Tabela3[[#This Row],[Prazo
Entrega]]-TODAY()</f>
        <v>72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 t="s">
        <v>69</v>
      </c>
      <c r="P72" s="10" t="s">
        <v>69</v>
      </c>
      <c r="Q72" s="12">
        <f ca="1">Tabela3[[#This Row],[Prazo
Entrega]]-TODAY()</f>
        <v>72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 t="s">
        <v>69</v>
      </c>
      <c r="P73" s="10" t="s">
        <v>69</v>
      </c>
      <c r="Q73" s="12">
        <f ca="1">Tabela3[[#This Row],[Prazo
Entrega]]-TODAY()</f>
        <v>72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 t="s">
        <v>69</v>
      </c>
      <c r="P74" s="10" t="s">
        <v>69</v>
      </c>
      <c r="Q74" s="12">
        <f ca="1">Tabela3[[#This Row],[Prazo
Entrega]]-TODAY()</f>
        <v>72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 t="s">
        <v>69</v>
      </c>
      <c r="P75" s="10" t="s">
        <v>69</v>
      </c>
      <c r="Q75" s="12">
        <f ca="1">Tabela3[[#This Row],[Prazo
Entrega]]-TODAY()</f>
        <v>72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 t="s">
        <v>69</v>
      </c>
      <c r="P76" s="10" t="s">
        <v>69</v>
      </c>
      <c r="Q76" s="12">
        <f ca="1">Tabela3[[#This Row],[Prazo
Entrega]]-TODAY()</f>
        <v>72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 t="s">
        <v>69</v>
      </c>
      <c r="P77" s="10" t="s">
        <v>69</v>
      </c>
      <c r="Q77" s="12">
        <f ca="1">Tabela3[[#This Row],[Prazo
Entrega]]-TODAY()</f>
        <v>72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 t="s">
        <v>69</v>
      </c>
      <c r="P78" s="10" t="s">
        <v>69</v>
      </c>
      <c r="Q78" s="12">
        <f ca="1">Tabela3[[#This Row],[Prazo
Entrega]]-TODAY()</f>
        <v>72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 t="s">
        <v>69</v>
      </c>
      <c r="P79" s="10" t="s">
        <v>69</v>
      </c>
      <c r="Q79" s="12">
        <f ca="1">Tabela3[[#This Row],[Prazo
Entrega]]-TODAY()</f>
        <v>72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 t="s">
        <v>69</v>
      </c>
      <c r="P80" s="10" t="s">
        <v>69</v>
      </c>
      <c r="Q80" s="12">
        <f ca="1">Tabela3[[#This Row],[Prazo
Entrega]]-TODAY()</f>
        <v>52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 t="s">
        <v>69</v>
      </c>
      <c r="P81" s="10" t="s">
        <v>69</v>
      </c>
      <c r="Q81" s="12">
        <f ca="1">Tabela3[[#This Row],[Prazo
Entrega]]-TODAY()</f>
        <v>52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 t="s">
        <v>69</v>
      </c>
      <c r="P82" s="10" t="s">
        <v>69</v>
      </c>
      <c r="Q82" s="12">
        <f ca="1">Tabela3[[#This Row],[Prazo
Entrega]]-TODAY()</f>
        <v>52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 t="s">
        <v>69</v>
      </c>
      <c r="P83" s="10" t="s">
        <v>69</v>
      </c>
      <c r="Q83" s="12">
        <f ca="1">Tabela3[[#This Row],[Prazo
Entrega]]-TODAY()</f>
        <v>82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 t="s">
        <v>69</v>
      </c>
      <c r="P84" s="10" t="s">
        <v>69</v>
      </c>
      <c r="Q84" s="12">
        <f ca="1">Tabela3[[#This Row],[Prazo
Entrega]]-TODAY()</f>
        <v>82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 t="s">
        <v>69</v>
      </c>
      <c r="P85" s="10" t="s">
        <v>69</v>
      </c>
      <c r="Q85" s="12">
        <f ca="1">Tabela3[[#This Row],[Prazo
Entrega]]-TODAY()</f>
        <v>82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 t="s">
        <v>69</v>
      </c>
      <c r="P86" s="10" t="s">
        <v>69</v>
      </c>
      <c r="Q86" s="12">
        <f ca="1">Tabela3[[#This Row],[Prazo
Entrega]]-TODAY()</f>
        <v>82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 t="s">
        <v>69</v>
      </c>
      <c r="P87" s="10" t="s">
        <v>69</v>
      </c>
      <c r="Q87" s="12">
        <f ca="1">Tabela3[[#This Row],[Prazo
Entrega]]-TODAY()</f>
        <v>82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 t="s">
        <v>69</v>
      </c>
      <c r="P88" s="10" t="s">
        <v>69</v>
      </c>
      <c r="Q88" s="12">
        <f ca="1">Tabela3[[#This Row],[Prazo
Entrega]]-TODAY()</f>
        <v>82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 t="s">
        <v>69</v>
      </c>
      <c r="P89" s="10" t="s">
        <v>69</v>
      </c>
      <c r="Q89" s="12">
        <f ca="1">Tabela3[[#This Row],[Prazo
Entrega]]-TODAY()</f>
        <v>82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 t="s">
        <v>69</v>
      </c>
      <c r="P90" s="10" t="s">
        <v>69</v>
      </c>
      <c r="Q90" s="12">
        <f ca="1">Tabela3[[#This Row],[Prazo
Entrega]]-TODAY()</f>
        <v>82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 t="s">
        <v>69</v>
      </c>
      <c r="P91" s="10" t="s">
        <v>69</v>
      </c>
      <c r="Q91" s="12">
        <f ca="1">Tabela3[[#This Row],[Prazo
Entrega]]-TODAY()</f>
        <v>82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111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111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111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111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111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111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111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111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111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111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111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111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111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111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111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111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111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111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111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111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111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111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111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111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111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111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111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111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111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111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111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111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111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111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111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111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111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111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111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111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349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354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 t="s">
        <v>69</v>
      </c>
      <c r="P132" s="10" t="s">
        <v>69</v>
      </c>
      <c r="Q132" s="12">
        <f ca="1">Tabela3[[#This Row],[Prazo
Entrega]]-TODAY()</f>
        <v>6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352</v>
      </c>
      <c r="V132" s="10" t="s">
        <v>356</v>
      </c>
    </row>
    <row r="133" spans="1:22" hidden="1" x14ac:dyDescent="0.25">
      <c r="A133" s="10">
        <v>2335</v>
      </c>
      <c r="B133" s="10">
        <v>2</v>
      </c>
      <c r="C133" s="10" t="s">
        <v>349</v>
      </c>
      <c r="D133" s="10">
        <v>0</v>
      </c>
      <c r="E133" s="10" t="s">
        <v>103</v>
      </c>
      <c r="F133" s="10">
        <v>190014</v>
      </c>
      <c r="G133" s="10">
        <v>4</v>
      </c>
      <c r="H133" s="10" t="s">
        <v>354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 t="s">
        <v>69</v>
      </c>
      <c r="P133" s="10" t="s">
        <v>69</v>
      </c>
      <c r="Q133" s="12">
        <f ca="1">Tabela3[[#This Row],[Prazo
Entrega]]-TODAY()</f>
        <v>6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352</v>
      </c>
      <c r="V133" s="10" t="s">
        <v>356</v>
      </c>
    </row>
    <row r="134" spans="1:22" hidden="1" x14ac:dyDescent="0.25">
      <c r="A134" s="10">
        <v>2335</v>
      </c>
      <c r="B134" s="10">
        <v>3</v>
      </c>
      <c r="C134" s="10" t="s">
        <v>349</v>
      </c>
      <c r="D134" s="10">
        <v>0</v>
      </c>
      <c r="E134" s="10" t="s">
        <v>103</v>
      </c>
      <c r="F134" s="10">
        <v>190014</v>
      </c>
      <c r="G134" s="10">
        <v>8</v>
      </c>
      <c r="H134" s="10" t="s">
        <v>354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 t="s">
        <v>69</v>
      </c>
      <c r="P134" s="10" t="s">
        <v>69</v>
      </c>
      <c r="Q134" s="12">
        <f ca="1">Tabela3[[#This Row],[Prazo
Entrega]]-TODAY()</f>
        <v>6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352</v>
      </c>
      <c r="V134" s="10" t="s">
        <v>356</v>
      </c>
    </row>
    <row r="135" spans="1:22" hidden="1" x14ac:dyDescent="0.25">
      <c r="A135" s="10">
        <v>2335</v>
      </c>
      <c r="B135" s="10">
        <v>4</v>
      </c>
      <c r="C135" s="10" t="s">
        <v>349</v>
      </c>
      <c r="D135" s="10">
        <v>0</v>
      </c>
      <c r="E135" s="10" t="s">
        <v>103</v>
      </c>
      <c r="F135" s="10">
        <v>190014</v>
      </c>
      <c r="G135" s="10">
        <v>9</v>
      </c>
      <c r="H135" s="10" t="s">
        <v>355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 t="s">
        <v>69</v>
      </c>
      <c r="P135" s="10" t="s">
        <v>69</v>
      </c>
      <c r="Q135" s="12">
        <f ca="1">Tabela3[[#This Row],[Prazo
Entrega]]-TODAY()</f>
        <v>6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352</v>
      </c>
      <c r="V135" s="10" t="s">
        <v>356</v>
      </c>
    </row>
    <row r="136" spans="1:22" hidden="1" x14ac:dyDescent="0.25">
      <c r="A136" s="10">
        <v>2335</v>
      </c>
      <c r="B136" s="10">
        <v>5</v>
      </c>
      <c r="C136" s="10" t="s">
        <v>349</v>
      </c>
      <c r="D136" s="10">
        <v>0</v>
      </c>
      <c r="E136" s="10" t="s">
        <v>103</v>
      </c>
      <c r="F136" s="10">
        <v>190014</v>
      </c>
      <c r="G136" s="10">
        <v>13</v>
      </c>
      <c r="H136" s="10" t="s">
        <v>355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 t="s">
        <v>69</v>
      </c>
      <c r="P136" s="10" t="s">
        <v>69</v>
      </c>
      <c r="Q136" s="12">
        <f ca="1">Tabela3[[#This Row],[Prazo
Entrega]]-TODAY()</f>
        <v>6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352</v>
      </c>
      <c r="V136" s="10" t="s">
        <v>356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103</v>
      </c>
      <c r="F137" s="10">
        <v>1127018</v>
      </c>
      <c r="G137" s="10"/>
      <c r="H137" s="10" t="s">
        <v>252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 t="s">
        <v>69</v>
      </c>
      <c r="P137" s="10" t="s">
        <v>69</v>
      </c>
      <c r="Q137" s="12">
        <f ca="1">Tabela3[[#This Row],[Prazo
Entrega]]-TODAY()</f>
        <v>19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103</v>
      </c>
      <c r="F138" s="10">
        <v>1127018</v>
      </c>
      <c r="G138" s="10"/>
      <c r="H138" s="10" t="s">
        <v>252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 t="s">
        <v>69</v>
      </c>
      <c r="P138" s="10" t="s">
        <v>69</v>
      </c>
      <c r="Q138" s="12">
        <f ca="1">Tabela3[[#This Row],[Prazo
Entrega]]-TODAY()</f>
        <v>34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103</v>
      </c>
      <c r="F139" s="10">
        <v>1127018</v>
      </c>
      <c r="G139" s="10"/>
      <c r="H139" s="10" t="s">
        <v>252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 t="s">
        <v>69</v>
      </c>
      <c r="P139" s="10" t="s">
        <v>69</v>
      </c>
      <c r="Q139" s="12">
        <f ca="1">Tabela3[[#This Row],[Prazo
Entrega]]-TODAY()</f>
        <v>34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103</v>
      </c>
      <c r="F140" s="10">
        <v>1127018</v>
      </c>
      <c r="G140" s="10"/>
      <c r="H140" s="10" t="s">
        <v>254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 t="s">
        <v>69</v>
      </c>
      <c r="P140" s="10" t="s">
        <v>69</v>
      </c>
      <c r="Q140" s="12">
        <f ca="1">Tabela3[[#This Row],[Prazo
Entrega]]-TODAY()</f>
        <v>19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103</v>
      </c>
      <c r="F141" s="10">
        <v>1127018</v>
      </c>
      <c r="G141" s="10"/>
      <c r="H141" s="10" t="s">
        <v>254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 t="s">
        <v>69</v>
      </c>
      <c r="P141" s="10" t="s">
        <v>69</v>
      </c>
      <c r="Q141" s="12">
        <f ca="1">Tabela3[[#This Row],[Prazo
Entrega]]-TODAY()</f>
        <v>19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103</v>
      </c>
      <c r="F142" s="10">
        <v>1127018</v>
      </c>
      <c r="G142" s="10"/>
      <c r="H142" s="10" t="s">
        <v>254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 t="s">
        <v>69</v>
      </c>
      <c r="P142" s="10" t="s">
        <v>69</v>
      </c>
      <c r="Q142" s="12">
        <f ca="1">Tabela3[[#This Row],[Prazo
Entrega]]-TODAY()</f>
        <v>34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103</v>
      </c>
      <c r="F143" s="10">
        <v>1127018</v>
      </c>
      <c r="G143" s="10"/>
      <c r="H143" s="10" t="s">
        <v>254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 t="s">
        <v>69</v>
      </c>
      <c r="P143" s="10" t="s">
        <v>69</v>
      </c>
      <c r="Q143" s="12">
        <f ca="1">Tabela3[[#This Row],[Prazo
Entrega]]-TODAY()</f>
        <v>34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x14ac:dyDescent="0.25">
      <c r="A144" s="10">
        <v>2342</v>
      </c>
      <c r="B144" s="10">
        <v>1</v>
      </c>
      <c r="C144" s="10" t="s">
        <v>349</v>
      </c>
      <c r="D144" s="10" t="s">
        <v>77</v>
      </c>
      <c r="E144" s="10" t="s">
        <v>343</v>
      </c>
      <c r="F144" s="10" t="s">
        <v>344</v>
      </c>
      <c r="G144" s="10" t="s">
        <v>77</v>
      </c>
      <c r="H144" s="10" t="s">
        <v>345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19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352</v>
      </c>
      <c r="V144" s="10" t="s">
        <v>353</v>
      </c>
    </row>
    <row r="145" spans="1:22" x14ac:dyDescent="0.25">
      <c r="A145" s="10">
        <v>2342</v>
      </c>
      <c r="B145" s="10">
        <v>2</v>
      </c>
      <c r="C145" s="10" t="s">
        <v>349</v>
      </c>
      <c r="D145" s="10" t="s">
        <v>77</v>
      </c>
      <c r="E145" s="10" t="s">
        <v>343</v>
      </c>
      <c r="F145" s="10" t="s">
        <v>344</v>
      </c>
      <c r="G145" s="10" t="s">
        <v>77</v>
      </c>
      <c r="H145" s="10" t="s">
        <v>345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19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352</v>
      </c>
      <c r="V145" s="10" t="s">
        <v>353</v>
      </c>
    </row>
    <row r="146" spans="1:22" x14ac:dyDescent="0.25">
      <c r="A146" s="10">
        <v>2342</v>
      </c>
      <c r="B146" s="10">
        <v>3</v>
      </c>
      <c r="C146" s="10" t="s">
        <v>349</v>
      </c>
      <c r="D146" s="10" t="s">
        <v>77</v>
      </c>
      <c r="E146" s="10" t="s">
        <v>343</v>
      </c>
      <c r="F146" s="10" t="s">
        <v>344</v>
      </c>
      <c r="G146" s="10" t="s">
        <v>77</v>
      </c>
      <c r="H146" s="10" t="s">
        <v>346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19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352</v>
      </c>
      <c r="V146" s="10" t="s">
        <v>353</v>
      </c>
    </row>
    <row r="147" spans="1:22" x14ac:dyDescent="0.25">
      <c r="A147" s="10">
        <v>2342</v>
      </c>
      <c r="B147" s="10">
        <v>4</v>
      </c>
      <c r="C147" s="10" t="s">
        <v>349</v>
      </c>
      <c r="D147" s="10" t="s">
        <v>77</v>
      </c>
      <c r="E147" s="10" t="s">
        <v>343</v>
      </c>
      <c r="F147" s="10" t="s">
        <v>344</v>
      </c>
      <c r="G147" s="10" t="s">
        <v>77</v>
      </c>
      <c r="H147" s="10" t="s">
        <v>346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19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352</v>
      </c>
      <c r="V147" s="10" t="s">
        <v>353</v>
      </c>
    </row>
    <row r="148" spans="1:22" x14ac:dyDescent="0.25">
      <c r="A148" s="10">
        <v>2342</v>
      </c>
      <c r="B148" s="10">
        <v>5</v>
      </c>
      <c r="C148" s="10" t="s">
        <v>349</v>
      </c>
      <c r="D148" s="10" t="s">
        <v>77</v>
      </c>
      <c r="E148" s="10" t="s">
        <v>343</v>
      </c>
      <c r="F148" s="10" t="s">
        <v>77</v>
      </c>
      <c r="G148" s="10" t="s">
        <v>77</v>
      </c>
      <c r="H148" s="10" t="s">
        <v>347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19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352</v>
      </c>
      <c r="V148" s="10" t="s">
        <v>353</v>
      </c>
    </row>
    <row r="149" spans="1:22" x14ac:dyDescent="0.25">
      <c r="A149" s="10">
        <v>2342</v>
      </c>
      <c r="B149" s="10">
        <v>6</v>
      </c>
      <c r="C149" s="10" t="s">
        <v>349</v>
      </c>
      <c r="D149" s="10" t="s">
        <v>77</v>
      </c>
      <c r="E149" s="10" t="s">
        <v>343</v>
      </c>
      <c r="F149" s="10" t="s">
        <v>77</v>
      </c>
      <c r="G149" s="10" t="s">
        <v>77</v>
      </c>
      <c r="H149" s="10" t="s">
        <v>347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19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352</v>
      </c>
      <c r="V149" s="10" t="s">
        <v>353</v>
      </c>
    </row>
    <row r="150" spans="1:22" x14ac:dyDescent="0.25">
      <c r="A150" s="10">
        <v>2342</v>
      </c>
      <c r="B150" s="10">
        <v>7</v>
      </c>
      <c r="C150" s="10" t="s">
        <v>349</v>
      </c>
      <c r="D150" s="10" t="s">
        <v>77</v>
      </c>
      <c r="E150" s="10" t="s">
        <v>343</v>
      </c>
      <c r="F150" s="10" t="s">
        <v>77</v>
      </c>
      <c r="G150" s="10" t="s">
        <v>77</v>
      </c>
      <c r="H150" s="10" t="s">
        <v>348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19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352</v>
      </c>
      <c r="V150" s="10" t="s">
        <v>353</v>
      </c>
    </row>
    <row r="151" spans="1:22" x14ac:dyDescent="0.25">
      <c r="A151" s="10">
        <v>2342</v>
      </c>
      <c r="B151" s="10">
        <v>8</v>
      </c>
      <c r="C151" s="10" t="s">
        <v>349</v>
      </c>
      <c r="D151" s="10" t="s">
        <v>77</v>
      </c>
      <c r="E151" s="10" t="s">
        <v>343</v>
      </c>
      <c r="F151" s="10" t="s">
        <v>77</v>
      </c>
      <c r="G151" s="10" t="s">
        <v>77</v>
      </c>
      <c r="H151" s="10" t="s">
        <v>348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19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352</v>
      </c>
      <c r="V151" s="10" t="s">
        <v>353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103</v>
      </c>
      <c r="F152" s="10">
        <v>1127018</v>
      </c>
      <c r="G152" s="10"/>
      <c r="H152" s="10" t="s">
        <v>254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 t="s">
        <v>69</v>
      </c>
      <c r="P152" s="12" t="s">
        <v>69</v>
      </c>
      <c r="Q152" s="12">
        <f ca="1">Tabela3[[#This Row],[Prazo
Entrega]]-TODAY()</f>
        <v>34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103</v>
      </c>
      <c r="F153" s="10">
        <v>1127018</v>
      </c>
      <c r="G153" s="10"/>
      <c r="H153" s="10" t="s">
        <v>253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 t="s">
        <v>69</v>
      </c>
      <c r="P153" s="12" t="s">
        <v>69</v>
      </c>
      <c r="Q153" s="12">
        <f ca="1">Tabela3[[#This Row],[Prazo
Entrega]]-TODAY()</f>
        <v>19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103</v>
      </c>
      <c r="F154" s="10">
        <v>1127018</v>
      </c>
      <c r="G154" s="10"/>
      <c r="H154" s="10" t="s">
        <v>253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 t="s">
        <v>69</v>
      </c>
      <c r="P154" s="12" t="s">
        <v>69</v>
      </c>
      <c r="Q154" s="12">
        <f ca="1">Tabela3[[#This Row],[Prazo
Entrega]]-TODAY()</f>
        <v>19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103</v>
      </c>
      <c r="F155" s="10">
        <v>1127018</v>
      </c>
      <c r="G155" s="10"/>
      <c r="H155" s="10" t="s">
        <v>253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 t="s">
        <v>69</v>
      </c>
      <c r="P155" s="12" t="s">
        <v>69</v>
      </c>
      <c r="Q155" s="12">
        <f ca="1">Tabela3[[#This Row],[Prazo
Entrega]]-TODAY()</f>
        <v>34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103</v>
      </c>
      <c r="F156" s="10">
        <v>1127018</v>
      </c>
      <c r="G156" s="10"/>
      <c r="H156" s="10" t="s">
        <v>253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 t="s">
        <v>69</v>
      </c>
      <c r="P156" s="12" t="s">
        <v>69</v>
      </c>
      <c r="Q156" s="12">
        <f ca="1">Tabela3[[#This Row],[Prazo
Entrega]]-TODAY()</f>
        <v>34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381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27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381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27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381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27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381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27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381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27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381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27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380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27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  <row r="164" spans="1:22" hidden="1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103</v>
      </c>
      <c r="F164" s="10">
        <v>1127018</v>
      </c>
      <c r="G164" s="10"/>
      <c r="H164" s="10" t="s">
        <v>252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1">
        <v>46248</v>
      </c>
      <c r="N164" s="18"/>
      <c r="O164" s="11" t="s">
        <v>72</v>
      </c>
      <c r="P164" s="12" t="s">
        <v>72</v>
      </c>
      <c r="Q164" s="12">
        <f ca="1">Tabela3[[#This Row],[Prazo
Entrega]]-TODAY()</f>
        <v>34</v>
      </c>
      <c r="R164" s="10" t="str">
        <f t="shared" ref="R164:R167" ca="1" si="8">IF(Q164&lt;0,"ATRASADO",IF(Q164&lt;=15,"ATENÇÃO","NO PRAZO"))</f>
        <v>NO PRAZO</v>
      </c>
      <c r="S164" s="10">
        <f>WEEKNUM(Tabela3[[#This Row],[Prazo
Entrega]])</f>
        <v>33</v>
      </c>
      <c r="T164" s="10" t="s">
        <v>43</v>
      </c>
      <c r="U164" s="10" t="s">
        <v>61</v>
      </c>
      <c r="V164" s="10"/>
    </row>
    <row r="165" spans="1:22" hidden="1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103</v>
      </c>
      <c r="F165" s="10">
        <v>1127018</v>
      </c>
      <c r="G165" s="10"/>
      <c r="H165" s="10" t="s">
        <v>252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1">
        <v>46248</v>
      </c>
      <c r="N165" s="18"/>
      <c r="O165" s="11" t="s">
        <v>72</v>
      </c>
      <c r="P165" s="12" t="s">
        <v>72</v>
      </c>
      <c r="Q165" s="12">
        <f ca="1">Tabela3[[#This Row],[Prazo
Entrega]]-TODAY()</f>
        <v>34</v>
      </c>
      <c r="R165" s="10" t="str">
        <f t="shared" ca="1" si="8"/>
        <v>NO PRAZO</v>
      </c>
      <c r="S165" s="10">
        <f>WEEKNUM(Tabela3[[#This Row],[Prazo
Entrega]])</f>
        <v>33</v>
      </c>
      <c r="T165" s="10" t="s">
        <v>43</v>
      </c>
      <c r="U165" s="10" t="s">
        <v>61</v>
      </c>
      <c r="V165" s="10"/>
    </row>
    <row r="166" spans="1:22" hidden="1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103</v>
      </c>
      <c r="F166" s="10">
        <v>1127018</v>
      </c>
      <c r="G166" s="10"/>
      <c r="H166" s="10" t="s">
        <v>252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1">
        <v>46248</v>
      </c>
      <c r="N166" s="18"/>
      <c r="O166" s="11" t="s">
        <v>72</v>
      </c>
      <c r="P166" s="12" t="s">
        <v>72</v>
      </c>
      <c r="Q166" s="12">
        <f ca="1">Tabela3[[#This Row],[Prazo
Entrega]]-TODAY()</f>
        <v>34</v>
      </c>
      <c r="R166" s="10" t="str">
        <f t="shared" ca="1" si="8"/>
        <v>NO PRAZO</v>
      </c>
      <c r="S166" s="10">
        <f>WEEKNUM(Tabela3[[#This Row],[Prazo
Entrega]])</f>
        <v>33</v>
      </c>
      <c r="T166" s="10" t="s">
        <v>43</v>
      </c>
      <c r="U166" s="10" t="s">
        <v>61</v>
      </c>
      <c r="V166" s="10"/>
    </row>
    <row r="167" spans="1:22" hidden="1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103</v>
      </c>
      <c r="F167" s="10">
        <v>1127018</v>
      </c>
      <c r="G167" s="10"/>
      <c r="H167" s="10" t="s">
        <v>252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1">
        <v>46248</v>
      </c>
      <c r="N167" s="18"/>
      <c r="O167" s="11" t="s">
        <v>72</v>
      </c>
      <c r="P167" s="12" t="s">
        <v>72</v>
      </c>
      <c r="Q167" s="12">
        <f ca="1">Tabela3[[#This Row],[Prazo
Entrega]]-TODAY()</f>
        <v>34</v>
      </c>
      <c r="R167" s="10" t="str">
        <f t="shared" ca="1" si="8"/>
        <v>NO PRAZO</v>
      </c>
      <c r="S167" s="10">
        <f>WEEKNUM(Tabela3[[#This Row],[Prazo
Entrega]])</f>
        <v>33</v>
      </c>
      <c r="T167" s="10" t="s">
        <v>43</v>
      </c>
      <c r="U167" s="10" t="s">
        <v>61</v>
      </c>
      <c r="V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55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55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25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25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25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81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25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52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52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52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52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52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81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81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81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66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66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66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66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66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66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66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66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66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160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160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160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72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72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72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160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160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160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160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255</v>
      </c>
      <c r="F36" s="14" t="s">
        <v>77</v>
      </c>
      <c r="G36" s="14" t="s">
        <v>77</v>
      </c>
      <c r="H36" s="6" t="s">
        <v>256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81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255</v>
      </c>
      <c r="F37" s="14" t="s">
        <v>77</v>
      </c>
      <c r="G37" s="14" t="s">
        <v>77</v>
      </c>
      <c r="H37" s="6" t="s">
        <v>257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81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255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81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255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81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40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360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40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360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40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360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40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360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40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360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40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360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40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360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40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360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-36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162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363</v>
      </c>
      <c r="T11" t="s">
        <v>364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162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363</v>
      </c>
      <c r="T12" t="s">
        <v>365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162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363</v>
      </c>
      <c r="T13" t="s">
        <v>366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162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361</v>
      </c>
      <c r="T14" t="s">
        <v>362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162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361</v>
      </c>
      <c r="T15" t="s">
        <v>362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162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361</v>
      </c>
      <c r="T16" t="s">
        <v>362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67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67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162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162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162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162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162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162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162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162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162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162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162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162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162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162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162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162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162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162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162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162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162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162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162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162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162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162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162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162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162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162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162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162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162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162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-11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142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142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142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142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142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142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142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359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142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359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142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359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142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142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142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142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142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142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142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142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142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142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142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142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142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142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142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142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142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142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142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142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142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142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142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142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142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142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-11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8" t="s">
        <v>367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157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8" t="s">
        <v>367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157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8" t="s">
        <v>368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157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8" t="s">
        <v>368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157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8" t="s">
        <v>369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157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8" t="s">
        <v>369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157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8" t="s">
        <v>370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157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8" t="s">
        <v>371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157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375</v>
      </c>
      <c r="F98" s="69">
        <v>2</v>
      </c>
      <c r="G98" s="14" t="s">
        <v>77</v>
      </c>
      <c r="H98" s="14" t="s">
        <v>77</v>
      </c>
      <c r="I98" s="68" t="s">
        <v>373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111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375</v>
      </c>
      <c r="F99" s="69">
        <v>2</v>
      </c>
      <c r="G99" s="14" t="s">
        <v>77</v>
      </c>
      <c r="H99" s="14" t="s">
        <v>77</v>
      </c>
      <c r="I99" s="68" t="s">
        <v>373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111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375</v>
      </c>
      <c r="F100" s="69">
        <v>2</v>
      </c>
      <c r="G100" s="14" t="s">
        <v>77</v>
      </c>
      <c r="H100" s="14" t="s">
        <v>77</v>
      </c>
      <c r="I100" s="68" t="s">
        <v>373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111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375</v>
      </c>
      <c r="F101" s="69">
        <v>1</v>
      </c>
      <c r="G101" s="14" t="s">
        <v>77</v>
      </c>
      <c r="H101" s="14" t="s">
        <v>77</v>
      </c>
      <c r="I101" s="68" t="s">
        <v>374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111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375</v>
      </c>
      <c r="F102" s="69">
        <v>1</v>
      </c>
      <c r="G102" s="14" t="s">
        <v>77</v>
      </c>
      <c r="H102" s="14" t="s">
        <v>77</v>
      </c>
      <c r="I102" s="68" t="s">
        <v>374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111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375</v>
      </c>
      <c r="F103" s="69">
        <v>8</v>
      </c>
      <c r="G103" s="14" t="s">
        <v>77</v>
      </c>
      <c r="H103" s="14" t="s">
        <v>77</v>
      </c>
      <c r="I103" s="68" t="s">
        <v>372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111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0">
        <v>6</v>
      </c>
      <c r="C104" s="71" t="s">
        <v>77</v>
      </c>
      <c r="D104" s="71" t="s">
        <v>77</v>
      </c>
      <c r="E104" s="72" t="s">
        <v>152</v>
      </c>
      <c r="F104" s="73">
        <v>1</v>
      </c>
      <c r="G104" s="14" t="s">
        <v>77</v>
      </c>
      <c r="H104" s="14" t="s">
        <v>77</v>
      </c>
      <c r="I104" s="74" t="s">
        <v>378</v>
      </c>
      <c r="J104" s="16" t="s">
        <v>77</v>
      </c>
      <c r="K104" s="16" t="s">
        <v>77</v>
      </c>
      <c r="L104" s="75">
        <v>46356</v>
      </c>
      <c r="M104" s="76"/>
      <c r="N104" s="77">
        <f ca="1">Tabela4[[#This Row],[Prazo
Entrega]]-TODAY()</f>
        <v>142</v>
      </c>
      <c r="O104" s="76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0">
        <v>7</v>
      </c>
      <c r="C105" s="71" t="s">
        <v>77</v>
      </c>
      <c r="D105" s="71" t="s">
        <v>77</v>
      </c>
      <c r="E105" s="72" t="s">
        <v>152</v>
      </c>
      <c r="F105" s="73">
        <v>1</v>
      </c>
      <c r="G105" s="14" t="s">
        <v>77</v>
      </c>
      <c r="H105" s="14" t="s">
        <v>77</v>
      </c>
      <c r="I105" s="74" t="s">
        <v>378</v>
      </c>
      <c r="J105" s="16" t="s">
        <v>77</v>
      </c>
      <c r="K105" s="16" t="s">
        <v>77</v>
      </c>
      <c r="L105" s="75">
        <v>46356</v>
      </c>
      <c r="M105" s="76"/>
      <c r="N105" s="77">
        <f ca="1">Tabela4[[#This Row],[Prazo
Entrega]]-TODAY()</f>
        <v>142</v>
      </c>
      <c r="O105" s="76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0">
        <v>8</v>
      </c>
      <c r="C106" s="71" t="s">
        <v>77</v>
      </c>
      <c r="D106" s="71" t="s">
        <v>77</v>
      </c>
      <c r="E106" s="72" t="s">
        <v>152</v>
      </c>
      <c r="F106" s="73">
        <v>1</v>
      </c>
      <c r="G106" s="14" t="s">
        <v>77</v>
      </c>
      <c r="H106" s="14" t="s">
        <v>77</v>
      </c>
      <c r="I106" s="74" t="s">
        <v>378</v>
      </c>
      <c r="J106" s="16" t="s">
        <v>77</v>
      </c>
      <c r="K106" s="16" t="s">
        <v>77</v>
      </c>
      <c r="L106" s="75">
        <v>46356</v>
      </c>
      <c r="M106" s="76"/>
      <c r="N106" s="77">
        <f ca="1">Tabela4[[#This Row],[Prazo
Entrega]]-TODAY()</f>
        <v>142</v>
      </c>
      <c r="O106" s="76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0">
        <v>9</v>
      </c>
      <c r="C107" s="71" t="s">
        <v>77</v>
      </c>
      <c r="D107" s="71" t="s">
        <v>77</v>
      </c>
      <c r="E107" s="72" t="s">
        <v>152</v>
      </c>
      <c r="F107" s="73">
        <v>1</v>
      </c>
      <c r="G107" s="14" t="s">
        <v>77</v>
      </c>
      <c r="H107" s="14" t="s">
        <v>77</v>
      </c>
      <c r="I107" s="74" t="s">
        <v>378</v>
      </c>
      <c r="J107" s="16" t="s">
        <v>77</v>
      </c>
      <c r="K107" s="16" t="s">
        <v>77</v>
      </c>
      <c r="L107" s="75">
        <v>46356</v>
      </c>
      <c r="M107" s="76"/>
      <c r="N107" s="77">
        <f ca="1">Tabela4[[#This Row],[Prazo
Entrega]]-TODAY()</f>
        <v>142</v>
      </c>
      <c r="O107" s="76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152</v>
      </c>
      <c r="F108" s="73">
        <v>1</v>
      </c>
      <c r="G108" s="14">
        <v>1343012</v>
      </c>
      <c r="H108" s="14"/>
      <c r="I108" s="74" t="s">
        <v>379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172</v>
      </c>
      <c r="O108" s="76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152</v>
      </c>
      <c r="F109" s="73">
        <v>1</v>
      </c>
      <c r="G109" s="14">
        <v>1343012</v>
      </c>
      <c r="H109" s="14"/>
      <c r="I109" s="74" t="s">
        <v>379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172</v>
      </c>
      <c r="O109" s="76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152</v>
      </c>
      <c r="F110" s="73">
        <v>1</v>
      </c>
      <c r="G110" s="14">
        <v>1343012</v>
      </c>
      <c r="H110" s="14"/>
      <c r="I110" s="74" t="s">
        <v>379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172</v>
      </c>
      <c r="O110" s="76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152</v>
      </c>
      <c r="F111" s="73">
        <v>1</v>
      </c>
      <c r="G111" s="14">
        <v>1343012</v>
      </c>
      <c r="H111" s="14"/>
      <c r="I111" s="74" t="s">
        <v>379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172</v>
      </c>
      <c r="O111" s="76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77</v>
      </c>
      <c r="D112" s="71" t="s">
        <v>77</v>
      </c>
      <c r="E112" s="72" t="s">
        <v>152</v>
      </c>
      <c r="F112" s="73">
        <v>1</v>
      </c>
      <c r="G112" s="14" t="s">
        <v>77</v>
      </c>
      <c r="H112" s="14" t="s">
        <v>77</v>
      </c>
      <c r="I112" s="74" t="s">
        <v>376</v>
      </c>
      <c r="J112" s="16" t="s">
        <v>77</v>
      </c>
      <c r="K112" s="16" t="s">
        <v>77</v>
      </c>
      <c r="L112" s="75">
        <v>46356</v>
      </c>
      <c r="M112" s="76"/>
      <c r="N112" s="77">
        <f ca="1">Tabela4[[#This Row],[Prazo
Entrega]]-TODAY()</f>
        <v>142</v>
      </c>
      <c r="O112" s="76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0">
        <v>15</v>
      </c>
      <c r="C113" s="71" t="s">
        <v>77</v>
      </c>
      <c r="D113" s="71" t="s">
        <v>77</v>
      </c>
      <c r="E113" s="72" t="s">
        <v>152</v>
      </c>
      <c r="F113" s="73">
        <v>1</v>
      </c>
      <c r="G113" s="14" t="s">
        <v>77</v>
      </c>
      <c r="H113" s="14" t="s">
        <v>77</v>
      </c>
      <c r="I113" s="74" t="s">
        <v>376</v>
      </c>
      <c r="J113" s="16" t="s">
        <v>77</v>
      </c>
      <c r="K113" s="16" t="s">
        <v>77</v>
      </c>
      <c r="L113" s="75">
        <v>46356</v>
      </c>
      <c r="M113" s="76"/>
      <c r="N113" s="77">
        <f ca="1">Tabela4[[#This Row],[Prazo
Entrega]]-TODAY()</f>
        <v>142</v>
      </c>
      <c r="O113" s="76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0">
        <v>16</v>
      </c>
      <c r="C114" s="71" t="s">
        <v>77</v>
      </c>
      <c r="D114" s="71" t="s">
        <v>77</v>
      </c>
      <c r="E114" s="72" t="s">
        <v>152</v>
      </c>
      <c r="F114" s="73">
        <v>1</v>
      </c>
      <c r="G114" s="14" t="s">
        <v>77</v>
      </c>
      <c r="H114" s="14" t="s">
        <v>77</v>
      </c>
      <c r="I114" s="74" t="s">
        <v>376</v>
      </c>
      <c r="J114" s="16" t="s">
        <v>77</v>
      </c>
      <c r="K114" s="16" t="s">
        <v>77</v>
      </c>
      <c r="L114" s="75">
        <v>46356</v>
      </c>
      <c r="M114" s="76"/>
      <c r="N114" s="77">
        <f ca="1">Tabela4[[#This Row],[Prazo
Entrega]]-TODAY()</f>
        <v>142</v>
      </c>
      <c r="O114" s="76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0">
        <v>17</v>
      </c>
      <c r="C115" s="71" t="s">
        <v>77</v>
      </c>
      <c r="D115" s="71" t="s">
        <v>77</v>
      </c>
      <c r="E115" s="72" t="s">
        <v>152</v>
      </c>
      <c r="F115" s="73">
        <v>1</v>
      </c>
      <c r="G115" s="14" t="s">
        <v>77</v>
      </c>
      <c r="H115" s="14" t="s">
        <v>77</v>
      </c>
      <c r="I115" s="74" t="s">
        <v>376</v>
      </c>
      <c r="J115" s="16" t="s">
        <v>77</v>
      </c>
      <c r="K115" s="16" t="s">
        <v>77</v>
      </c>
      <c r="L115" s="75">
        <v>46356</v>
      </c>
      <c r="M115" s="76"/>
      <c r="N115" s="77">
        <f ca="1">Tabela4[[#This Row],[Prazo
Entrega]]-TODAY()</f>
        <v>142</v>
      </c>
      <c r="O115" s="76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0">
        <v>18</v>
      </c>
      <c r="C116" s="71" t="s">
        <v>77</v>
      </c>
      <c r="D116" s="71" t="s">
        <v>77</v>
      </c>
      <c r="E116" s="72" t="s">
        <v>152</v>
      </c>
      <c r="F116" s="73">
        <v>1</v>
      </c>
      <c r="G116" s="14" t="s">
        <v>77</v>
      </c>
      <c r="H116" s="14" t="s">
        <v>77</v>
      </c>
      <c r="I116" s="74" t="s">
        <v>376</v>
      </c>
      <c r="J116" s="16" t="s">
        <v>77</v>
      </c>
      <c r="K116" s="16" t="s">
        <v>77</v>
      </c>
      <c r="L116" s="75">
        <v>46356</v>
      </c>
      <c r="M116" s="76"/>
      <c r="N116" s="77">
        <f ca="1">Tabela4[[#This Row],[Prazo
Entrega]]-TODAY()</f>
        <v>142</v>
      </c>
      <c r="O116" s="76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0">
        <v>19</v>
      </c>
      <c r="C117" s="71" t="s">
        <v>77</v>
      </c>
      <c r="D117" s="71" t="s">
        <v>77</v>
      </c>
      <c r="E117" s="72" t="s">
        <v>152</v>
      </c>
      <c r="F117" s="73">
        <v>1</v>
      </c>
      <c r="G117" s="14" t="s">
        <v>77</v>
      </c>
      <c r="H117" s="14" t="s">
        <v>77</v>
      </c>
      <c r="I117" s="74" t="s">
        <v>376</v>
      </c>
      <c r="J117" s="16" t="s">
        <v>77</v>
      </c>
      <c r="K117" s="16" t="s">
        <v>77</v>
      </c>
      <c r="L117" s="75">
        <v>46356</v>
      </c>
      <c r="M117" s="76"/>
      <c r="N117" s="77">
        <f ca="1">Tabela4[[#This Row],[Prazo
Entrega]]-TODAY()</f>
        <v>142</v>
      </c>
      <c r="O117" s="76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0">
        <v>20</v>
      </c>
      <c r="C118" s="71" t="s">
        <v>77</v>
      </c>
      <c r="D118" s="71" t="s">
        <v>77</v>
      </c>
      <c r="E118" s="72" t="s">
        <v>152</v>
      </c>
      <c r="F118" s="73">
        <v>1</v>
      </c>
      <c r="G118" s="14" t="s">
        <v>77</v>
      </c>
      <c r="H118" s="14" t="s">
        <v>77</v>
      </c>
      <c r="I118" s="74" t="s">
        <v>376</v>
      </c>
      <c r="J118" s="16" t="s">
        <v>77</v>
      </c>
      <c r="K118" s="16" t="s">
        <v>77</v>
      </c>
      <c r="L118" s="75">
        <v>46356</v>
      </c>
      <c r="M118" s="76"/>
      <c r="N118" s="77">
        <f ca="1">Tabela4[[#This Row],[Prazo
Entrega]]-TODAY()</f>
        <v>142</v>
      </c>
      <c r="O118" s="76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0">
        <v>21</v>
      </c>
      <c r="C119" s="71" t="s">
        <v>77</v>
      </c>
      <c r="D119" s="71" t="s">
        <v>77</v>
      </c>
      <c r="E119" s="72" t="s">
        <v>152</v>
      </c>
      <c r="F119" s="73">
        <v>1</v>
      </c>
      <c r="G119" s="14" t="s">
        <v>77</v>
      </c>
      <c r="H119" s="14" t="s">
        <v>77</v>
      </c>
      <c r="I119" s="74" t="s">
        <v>376</v>
      </c>
      <c r="J119" s="16" t="s">
        <v>77</v>
      </c>
      <c r="K119" s="16" t="s">
        <v>77</v>
      </c>
      <c r="L119" s="75">
        <v>46356</v>
      </c>
      <c r="M119" s="76"/>
      <c r="N119" s="77">
        <f ca="1">Tabela4[[#This Row],[Prazo
Entrega]]-TODAY()</f>
        <v>142</v>
      </c>
      <c r="O119" s="76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0">
        <v>23</v>
      </c>
      <c r="C120" s="71" t="s">
        <v>77</v>
      </c>
      <c r="D120" s="71" t="s">
        <v>77</v>
      </c>
      <c r="E120" s="72" t="s">
        <v>152</v>
      </c>
      <c r="F120" s="73">
        <v>1</v>
      </c>
      <c r="G120" s="14" t="s">
        <v>77</v>
      </c>
      <c r="H120" s="14" t="s">
        <v>77</v>
      </c>
      <c r="I120" s="74" t="s">
        <v>377</v>
      </c>
      <c r="J120" s="16" t="s">
        <v>77</v>
      </c>
      <c r="K120" s="16" t="s">
        <v>77</v>
      </c>
      <c r="L120" s="75">
        <v>46356</v>
      </c>
      <c r="M120" s="76"/>
      <c r="N120" s="77">
        <f ca="1">Tabela4[[#This Row],[Prazo
Entrega]]-TODAY()</f>
        <v>142</v>
      </c>
      <c r="O120" s="76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0">
        <v>24</v>
      </c>
      <c r="C121" s="71" t="s">
        <v>77</v>
      </c>
      <c r="D121" s="71" t="s">
        <v>77</v>
      </c>
      <c r="E121" s="72" t="s">
        <v>152</v>
      </c>
      <c r="F121" s="73">
        <v>1</v>
      </c>
      <c r="G121" s="14" t="s">
        <v>77</v>
      </c>
      <c r="H121" s="14" t="s">
        <v>77</v>
      </c>
      <c r="I121" s="74" t="s">
        <v>377</v>
      </c>
      <c r="J121" s="16" t="s">
        <v>77</v>
      </c>
      <c r="K121" s="16" t="s">
        <v>77</v>
      </c>
      <c r="L121" s="75">
        <v>46356</v>
      </c>
      <c r="M121" s="76"/>
      <c r="N121" s="77">
        <f ca="1">Tabela4[[#This Row],[Prazo
Entrega]]-TODAY()</f>
        <v>142</v>
      </c>
      <c r="O121" s="76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0">
        <v>25</v>
      </c>
      <c r="C122" s="71" t="s">
        <v>77</v>
      </c>
      <c r="D122" s="71" t="s">
        <v>77</v>
      </c>
      <c r="E122" s="72" t="s">
        <v>152</v>
      </c>
      <c r="F122" s="73">
        <v>1</v>
      </c>
      <c r="G122" s="14" t="s">
        <v>77</v>
      </c>
      <c r="H122" s="14" t="s">
        <v>77</v>
      </c>
      <c r="I122" s="74" t="s">
        <v>377</v>
      </c>
      <c r="J122" s="16" t="s">
        <v>77</v>
      </c>
      <c r="K122" s="16" t="s">
        <v>77</v>
      </c>
      <c r="L122" s="75">
        <v>46356</v>
      </c>
      <c r="M122" s="76"/>
      <c r="N122" s="77">
        <f ca="1">Tabela4[[#This Row],[Prazo
Entrega]]-TODAY()</f>
        <v>142</v>
      </c>
      <c r="O122" s="76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0">
        <v>26</v>
      </c>
      <c r="C123" s="71" t="s">
        <v>77</v>
      </c>
      <c r="D123" s="71" t="s">
        <v>77</v>
      </c>
      <c r="E123" s="72" t="s">
        <v>152</v>
      </c>
      <c r="F123" s="73">
        <v>1</v>
      </c>
      <c r="G123" s="14" t="s">
        <v>77</v>
      </c>
      <c r="H123" s="14" t="s">
        <v>77</v>
      </c>
      <c r="I123" s="74" t="s">
        <v>377</v>
      </c>
      <c r="J123" s="16" t="s">
        <v>77</v>
      </c>
      <c r="K123" s="16" t="s">
        <v>77</v>
      </c>
      <c r="L123" s="75">
        <v>46356</v>
      </c>
      <c r="M123" s="76"/>
      <c r="N123" s="77">
        <f ca="1">Tabela4[[#This Row],[Prazo
Entrega]]-TODAY()</f>
        <v>142</v>
      </c>
      <c r="O123" s="76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tabSelected="1" zoomScale="90" zoomScaleNormal="90" workbookViewId="0">
      <selection activeCell="C1" sqref="C1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249</v>
      </c>
      <c r="E1" s="51" t="s">
        <v>6</v>
      </c>
      <c r="F1" s="51" t="s">
        <v>2</v>
      </c>
      <c r="G1" s="51" t="s">
        <v>250</v>
      </c>
      <c r="H1" s="51" t="s">
        <v>290</v>
      </c>
      <c r="I1" s="51" t="s">
        <v>289</v>
      </c>
      <c r="J1" s="51" t="s">
        <v>234</v>
      </c>
      <c r="K1" s="51" t="s">
        <v>224</v>
      </c>
      <c r="L1" s="52" t="s">
        <v>287</v>
      </c>
      <c r="M1" s="52" t="s">
        <v>244</v>
      </c>
      <c r="N1" s="52" t="s">
        <v>245</v>
      </c>
      <c r="O1" s="52" t="s">
        <v>243</v>
      </c>
      <c r="P1" s="52" t="s">
        <v>109</v>
      </c>
      <c r="Q1" s="52" t="s">
        <v>84</v>
      </c>
      <c r="R1" s="52" t="s">
        <v>268</v>
      </c>
      <c r="S1" s="52" t="s">
        <v>269</v>
      </c>
      <c r="T1" s="52" t="s">
        <v>270</v>
      </c>
      <c r="U1" s="52" t="s">
        <v>271</v>
      </c>
      <c r="V1" s="52" t="s">
        <v>272</v>
      </c>
      <c r="W1" s="52" t="s">
        <v>273</v>
      </c>
      <c r="X1" s="52" t="s">
        <v>274</v>
      </c>
      <c r="Y1" s="52" t="s">
        <v>275</v>
      </c>
      <c r="Z1" s="52" t="s">
        <v>276</v>
      </c>
      <c r="AA1" s="52" t="s">
        <v>226</v>
      </c>
      <c r="AB1" s="52" t="s">
        <v>73</v>
      </c>
    </row>
    <row r="2" spans="1:28" ht="20.100000000000001" customHeight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246</v>
      </c>
      <c r="F2" s="54">
        <v>1</v>
      </c>
      <c r="G2" s="54">
        <v>2300</v>
      </c>
      <c r="H2" s="54" t="s">
        <v>292</v>
      </c>
      <c r="I2" s="54" t="s">
        <v>77</v>
      </c>
      <c r="J2" s="54" t="s">
        <v>77</v>
      </c>
      <c r="K2" s="54" t="s">
        <v>225</v>
      </c>
      <c r="L2" s="81">
        <v>121</v>
      </c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258</v>
      </c>
      <c r="S2" s="56" t="s">
        <v>260</v>
      </c>
      <c r="T2" s="56" t="s">
        <v>261</v>
      </c>
      <c r="U2" s="56" t="s">
        <v>263</v>
      </c>
      <c r="V2" s="56" t="s">
        <v>264</v>
      </c>
      <c r="W2" s="56" t="s">
        <v>265</v>
      </c>
      <c r="X2" s="54" t="s">
        <v>262</v>
      </c>
      <c r="Y2" s="54" t="s">
        <v>266</v>
      </c>
      <c r="Z2" s="54" t="s">
        <v>267</v>
      </c>
      <c r="AA2" s="54" t="s">
        <v>232</v>
      </c>
      <c r="AB2" s="54" t="s">
        <v>288</v>
      </c>
    </row>
    <row r="3" spans="1:28" ht="20.100000000000001" customHeight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247</v>
      </c>
      <c r="F3" s="54">
        <v>1</v>
      </c>
      <c r="G3" s="54" t="s">
        <v>231</v>
      </c>
      <c r="H3" s="54" t="s">
        <v>291</v>
      </c>
      <c r="I3" s="54" t="s">
        <v>428</v>
      </c>
      <c r="J3" s="54" t="s">
        <v>235</v>
      </c>
      <c r="K3" s="54" t="s">
        <v>240</v>
      </c>
      <c r="L3" s="81">
        <v>103</v>
      </c>
      <c r="M3" s="54" t="s">
        <v>77</v>
      </c>
      <c r="N3" s="54" t="s">
        <v>77</v>
      </c>
      <c r="O3" s="55">
        <v>46410</v>
      </c>
      <c r="P3" s="54" t="s">
        <v>72</v>
      </c>
      <c r="Q3" s="54" t="s">
        <v>72</v>
      </c>
      <c r="R3" s="54" t="s">
        <v>426</v>
      </c>
      <c r="S3" s="54" t="s">
        <v>259</v>
      </c>
      <c r="T3" s="54" t="s">
        <v>258</v>
      </c>
      <c r="U3" s="54" t="s">
        <v>262</v>
      </c>
      <c r="V3" s="54"/>
      <c r="W3" s="54"/>
      <c r="X3" s="54"/>
      <c r="Y3" s="54"/>
      <c r="Z3" s="54"/>
      <c r="AA3" s="54" t="s">
        <v>229</v>
      </c>
      <c r="AB3" s="54"/>
    </row>
    <row r="4" spans="1:28" ht="20.100000000000001" customHeight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247</v>
      </c>
      <c r="F4" s="54">
        <v>1</v>
      </c>
      <c r="G4" s="54" t="s">
        <v>231</v>
      </c>
      <c r="H4" s="54" t="s">
        <v>291</v>
      </c>
      <c r="I4" s="54" t="s">
        <v>429</v>
      </c>
      <c r="J4" s="54" t="s">
        <v>235</v>
      </c>
      <c r="K4" s="54" t="s">
        <v>240</v>
      </c>
      <c r="L4" s="81">
        <v>128</v>
      </c>
      <c r="M4" s="54" t="s">
        <v>77</v>
      </c>
      <c r="N4" s="54" t="s">
        <v>77</v>
      </c>
      <c r="O4" s="55">
        <v>46414</v>
      </c>
      <c r="P4" s="54" t="s">
        <v>72</v>
      </c>
      <c r="Q4" s="54" t="s">
        <v>72</v>
      </c>
      <c r="R4" s="54" t="s">
        <v>426</v>
      </c>
      <c r="S4" s="54" t="s">
        <v>259</v>
      </c>
      <c r="T4" s="54" t="s">
        <v>258</v>
      </c>
      <c r="U4" s="54" t="s">
        <v>262</v>
      </c>
      <c r="V4" s="54"/>
      <c r="W4" s="54"/>
      <c r="X4" s="54"/>
      <c r="Y4" s="54"/>
      <c r="Z4" s="54"/>
      <c r="AA4" s="54" t="s">
        <v>229</v>
      </c>
      <c r="AB4" s="54"/>
    </row>
    <row r="5" spans="1:28" ht="20.100000000000001" customHeight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247</v>
      </c>
      <c r="F5" s="54">
        <v>1</v>
      </c>
      <c r="G5" s="54" t="s">
        <v>231</v>
      </c>
      <c r="H5" s="54" t="s">
        <v>291</v>
      </c>
      <c r="I5" s="54" t="s">
        <v>428</v>
      </c>
      <c r="J5" s="54" t="s">
        <v>236</v>
      </c>
      <c r="K5" s="54" t="s">
        <v>240</v>
      </c>
      <c r="L5" s="81">
        <v>127</v>
      </c>
      <c r="M5" s="54" t="s">
        <v>77</v>
      </c>
      <c r="N5" s="54" t="s">
        <v>77</v>
      </c>
      <c r="O5" s="55">
        <v>46416</v>
      </c>
      <c r="P5" s="54" t="s">
        <v>72</v>
      </c>
      <c r="Q5" s="54" t="s">
        <v>72</v>
      </c>
      <c r="R5" s="54" t="s">
        <v>426</v>
      </c>
      <c r="S5" s="54" t="s">
        <v>259</v>
      </c>
      <c r="T5" s="54" t="s">
        <v>258</v>
      </c>
      <c r="U5" s="54" t="s">
        <v>262</v>
      </c>
      <c r="V5" s="54"/>
      <c r="W5" s="54"/>
      <c r="X5" s="54"/>
      <c r="Y5" s="54"/>
      <c r="Z5" s="54"/>
      <c r="AA5" s="54" t="s">
        <v>229</v>
      </c>
      <c r="AB5" s="54"/>
    </row>
    <row r="6" spans="1:28" ht="20.100000000000001" customHeight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247</v>
      </c>
      <c r="F6" s="54">
        <v>1</v>
      </c>
      <c r="G6" s="54">
        <v>1700</v>
      </c>
      <c r="H6" s="54" t="s">
        <v>291</v>
      </c>
      <c r="I6" s="54" t="s">
        <v>429</v>
      </c>
      <c r="J6" s="54" t="s">
        <v>236</v>
      </c>
      <c r="K6" s="54" t="s">
        <v>240</v>
      </c>
      <c r="L6" s="81" t="s">
        <v>421</v>
      </c>
      <c r="M6" s="54" t="s">
        <v>77</v>
      </c>
      <c r="N6" s="54" t="s">
        <v>77</v>
      </c>
      <c r="O6" s="55">
        <v>46417</v>
      </c>
      <c r="P6" s="54" t="s">
        <v>72</v>
      </c>
      <c r="Q6" s="54" t="s">
        <v>72</v>
      </c>
      <c r="R6" s="54" t="s">
        <v>426</v>
      </c>
      <c r="S6" s="54" t="s">
        <v>259</v>
      </c>
      <c r="T6" s="54" t="s">
        <v>258</v>
      </c>
      <c r="U6" s="54" t="s">
        <v>262</v>
      </c>
      <c r="V6" s="54"/>
      <c r="W6" s="54"/>
      <c r="X6" s="54"/>
      <c r="Y6" s="54"/>
      <c r="Z6" s="54"/>
      <c r="AA6" s="54" t="s">
        <v>229</v>
      </c>
      <c r="AB6" s="54"/>
    </row>
    <row r="7" spans="1:28" ht="20.100000000000001" customHeight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247</v>
      </c>
      <c r="F7" s="54">
        <v>1</v>
      </c>
      <c r="G7" s="54">
        <v>1700</v>
      </c>
      <c r="H7" s="54" t="s">
        <v>291</v>
      </c>
      <c r="I7" s="54" t="s">
        <v>428</v>
      </c>
      <c r="J7" s="54" t="s">
        <v>237</v>
      </c>
      <c r="K7" s="54" t="s">
        <v>240</v>
      </c>
      <c r="L7" s="81">
        <v>125</v>
      </c>
      <c r="M7" s="54" t="s">
        <v>77</v>
      </c>
      <c r="N7" s="54" t="s">
        <v>77</v>
      </c>
      <c r="O7" s="55">
        <v>46420</v>
      </c>
      <c r="P7" s="54" t="s">
        <v>72</v>
      </c>
      <c r="Q7" s="54" t="s">
        <v>72</v>
      </c>
      <c r="R7" s="54" t="s">
        <v>426</v>
      </c>
      <c r="S7" s="54" t="s">
        <v>259</v>
      </c>
      <c r="T7" s="54" t="s">
        <v>258</v>
      </c>
      <c r="U7" s="54" t="s">
        <v>262</v>
      </c>
      <c r="V7" s="54"/>
      <c r="W7" s="54"/>
      <c r="X7" s="54"/>
      <c r="Y7" s="54"/>
      <c r="Z7" s="54"/>
      <c r="AA7" s="54" t="s">
        <v>229</v>
      </c>
      <c r="AB7" s="54"/>
    </row>
    <row r="8" spans="1:28" ht="20.100000000000001" customHeight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247</v>
      </c>
      <c r="F8" s="54">
        <v>1</v>
      </c>
      <c r="G8" s="54">
        <v>1700</v>
      </c>
      <c r="H8" s="54" t="s">
        <v>291</v>
      </c>
      <c r="I8" s="54" t="s">
        <v>429</v>
      </c>
      <c r="J8" s="54" t="s">
        <v>237</v>
      </c>
      <c r="K8" s="54" t="s">
        <v>225</v>
      </c>
      <c r="L8" s="81" t="s">
        <v>422</v>
      </c>
      <c r="M8" s="55">
        <v>46233</v>
      </c>
      <c r="N8" s="54"/>
      <c r="O8" s="55">
        <v>46408</v>
      </c>
      <c r="P8" s="54" t="s">
        <v>72</v>
      </c>
      <c r="Q8" s="54" t="s">
        <v>72</v>
      </c>
      <c r="R8" s="54" t="s">
        <v>258</v>
      </c>
      <c r="S8" s="54" t="s">
        <v>261</v>
      </c>
      <c r="T8" s="54" t="s">
        <v>262</v>
      </c>
      <c r="U8" s="54" t="s">
        <v>266</v>
      </c>
      <c r="V8" s="54" t="s">
        <v>267</v>
      </c>
      <c r="W8" s="54"/>
      <c r="X8" s="54"/>
      <c r="Y8" s="54"/>
      <c r="Z8" s="54"/>
      <c r="AA8" s="54" t="s">
        <v>229</v>
      </c>
      <c r="AB8" s="54"/>
    </row>
    <row r="9" spans="1:28" ht="20.100000000000001" customHeight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247</v>
      </c>
      <c r="F9" s="54">
        <v>1</v>
      </c>
      <c r="G9" s="54">
        <v>1700</v>
      </c>
      <c r="H9" s="54" t="s">
        <v>291</v>
      </c>
      <c r="I9" s="54" t="s">
        <v>428</v>
      </c>
      <c r="J9" s="54" t="s">
        <v>238</v>
      </c>
      <c r="K9" s="54" t="s">
        <v>240</v>
      </c>
      <c r="L9" s="81">
        <v>119</v>
      </c>
      <c r="M9" s="54" t="s">
        <v>77</v>
      </c>
      <c r="N9" s="54" t="s">
        <v>77</v>
      </c>
      <c r="O9" s="55">
        <v>46421</v>
      </c>
      <c r="P9" s="54" t="s">
        <v>72</v>
      </c>
      <c r="Q9" s="54" t="s">
        <v>72</v>
      </c>
      <c r="R9" s="54" t="s">
        <v>426</v>
      </c>
      <c r="S9" s="54" t="s">
        <v>259</v>
      </c>
      <c r="T9" s="54" t="s">
        <v>258</v>
      </c>
      <c r="U9" s="54" t="s">
        <v>262</v>
      </c>
      <c r="V9" s="54"/>
      <c r="W9" s="54"/>
      <c r="X9" s="54"/>
      <c r="Y9" s="54"/>
      <c r="Z9" s="54"/>
      <c r="AA9" s="54" t="s">
        <v>229</v>
      </c>
      <c r="AB9" s="54"/>
    </row>
    <row r="10" spans="1:28" ht="20.100000000000001" customHeight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247</v>
      </c>
      <c r="F10" s="54">
        <v>1</v>
      </c>
      <c r="G10" s="54">
        <v>1700</v>
      </c>
      <c r="H10" s="54" t="s">
        <v>291</v>
      </c>
      <c r="I10" s="54" t="s">
        <v>429</v>
      </c>
      <c r="J10" s="54" t="s">
        <v>238</v>
      </c>
      <c r="K10" s="54" t="s">
        <v>225</v>
      </c>
      <c r="L10" s="81">
        <v>110</v>
      </c>
      <c r="M10" s="55">
        <v>46233</v>
      </c>
      <c r="N10" s="54"/>
      <c r="O10" s="55">
        <v>46403</v>
      </c>
      <c r="P10" s="54" t="s">
        <v>72</v>
      </c>
      <c r="Q10" s="54" t="s">
        <v>72</v>
      </c>
      <c r="R10" s="54" t="s">
        <v>258</v>
      </c>
      <c r="S10" s="54" t="s">
        <v>261</v>
      </c>
      <c r="T10" s="54" t="s">
        <v>262</v>
      </c>
      <c r="U10" s="54" t="s">
        <v>266</v>
      </c>
      <c r="V10" s="54" t="s">
        <v>267</v>
      </c>
      <c r="W10" s="54"/>
      <c r="X10" s="54"/>
      <c r="Y10" s="54"/>
      <c r="Z10" s="54"/>
      <c r="AA10" s="54" t="s">
        <v>229</v>
      </c>
      <c r="AB10" s="54"/>
    </row>
    <row r="11" spans="1:28" ht="20.100000000000001" customHeight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247</v>
      </c>
      <c r="F11" s="54">
        <v>1</v>
      </c>
      <c r="G11" s="54">
        <v>1700</v>
      </c>
      <c r="H11" s="54" t="s">
        <v>291</v>
      </c>
      <c r="I11" s="54" t="s">
        <v>428</v>
      </c>
      <c r="J11" s="54" t="s">
        <v>239</v>
      </c>
      <c r="K11" s="54" t="s">
        <v>240</v>
      </c>
      <c r="L11" s="81">
        <v>111</v>
      </c>
      <c r="M11" s="54" t="s">
        <v>77</v>
      </c>
      <c r="N11" s="54" t="s">
        <v>77</v>
      </c>
      <c r="O11" s="55">
        <v>46423</v>
      </c>
      <c r="P11" s="54" t="s">
        <v>72</v>
      </c>
      <c r="Q11" s="54" t="s">
        <v>72</v>
      </c>
      <c r="R11" s="54" t="s">
        <v>426</v>
      </c>
      <c r="S11" s="54" t="s">
        <v>259</v>
      </c>
      <c r="T11" s="54" t="s">
        <v>258</v>
      </c>
      <c r="U11" s="54" t="s">
        <v>262</v>
      </c>
      <c r="V11" s="54"/>
      <c r="W11" s="54"/>
      <c r="X11" s="54"/>
      <c r="Y11" s="54"/>
      <c r="Z11" s="54"/>
      <c r="AA11" s="54" t="s">
        <v>229</v>
      </c>
      <c r="AB11" s="54"/>
    </row>
    <row r="12" spans="1:28" ht="20.100000000000001" customHeight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233</v>
      </c>
      <c r="F12" s="54">
        <v>1</v>
      </c>
      <c r="G12" s="54">
        <v>1700</v>
      </c>
      <c r="H12" s="54" t="s">
        <v>292</v>
      </c>
      <c r="I12" s="54" t="s">
        <v>429</v>
      </c>
      <c r="J12" s="54" t="s">
        <v>239</v>
      </c>
      <c r="K12" s="54" t="s">
        <v>225</v>
      </c>
      <c r="L12" s="81">
        <v>109</v>
      </c>
      <c r="M12" s="55">
        <v>46233</v>
      </c>
      <c r="N12" s="54"/>
      <c r="O12" s="55">
        <v>46406</v>
      </c>
      <c r="P12" s="54" t="s">
        <v>72</v>
      </c>
      <c r="Q12" s="54" t="s">
        <v>72</v>
      </c>
      <c r="R12" s="54" t="s">
        <v>258</v>
      </c>
      <c r="S12" s="54" t="s">
        <v>260</v>
      </c>
      <c r="T12" s="54" t="s">
        <v>261</v>
      </c>
      <c r="U12" s="54" t="s">
        <v>263</v>
      </c>
      <c r="V12" s="54" t="s">
        <v>264</v>
      </c>
      <c r="W12" s="54" t="s">
        <v>265</v>
      </c>
      <c r="X12" s="54" t="s">
        <v>262</v>
      </c>
      <c r="Y12" s="54" t="s">
        <v>266</v>
      </c>
      <c r="Z12" s="54" t="s">
        <v>267</v>
      </c>
      <c r="AA12" s="54" t="s">
        <v>61</v>
      </c>
      <c r="AB12" s="54"/>
    </row>
    <row r="13" spans="1:28" ht="20.100000000000001" customHeight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248</v>
      </c>
      <c r="F13" s="54">
        <v>1</v>
      </c>
      <c r="G13" s="54">
        <v>1700</v>
      </c>
      <c r="H13" s="54" t="s">
        <v>291</v>
      </c>
      <c r="I13" s="54" t="s">
        <v>293</v>
      </c>
      <c r="J13" s="54" t="s">
        <v>238</v>
      </c>
      <c r="K13" s="54" t="s">
        <v>241</v>
      </c>
      <c r="L13" s="81">
        <v>115</v>
      </c>
      <c r="M13" s="54" t="s">
        <v>77</v>
      </c>
      <c r="N13" s="54" t="s">
        <v>77</v>
      </c>
      <c r="O13" s="55">
        <v>46424</v>
      </c>
      <c r="P13" s="54" t="s">
        <v>72</v>
      </c>
      <c r="Q13" s="54" t="s">
        <v>72</v>
      </c>
      <c r="R13" s="54" t="s">
        <v>259</v>
      </c>
      <c r="S13" s="54" t="s">
        <v>258</v>
      </c>
      <c r="T13" s="54" t="s">
        <v>262</v>
      </c>
      <c r="U13" s="54"/>
      <c r="V13" s="54"/>
      <c r="W13" s="54"/>
      <c r="X13" s="54"/>
      <c r="Y13" s="54"/>
      <c r="Z13" s="54"/>
      <c r="AA13" s="54" t="s">
        <v>229</v>
      </c>
      <c r="AB13" s="54"/>
    </row>
    <row r="14" spans="1:28" ht="20.100000000000001" customHeight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246</v>
      </c>
      <c r="F14" s="54">
        <v>1</v>
      </c>
      <c r="G14" s="54" t="s">
        <v>231</v>
      </c>
      <c r="H14" s="54" t="s">
        <v>292</v>
      </c>
      <c r="I14" s="54" t="s">
        <v>430</v>
      </c>
      <c r="J14" s="54" t="s">
        <v>235</v>
      </c>
      <c r="K14" s="54" t="s">
        <v>225</v>
      </c>
      <c r="L14" s="81" t="s">
        <v>423</v>
      </c>
      <c r="M14" s="55">
        <v>46233</v>
      </c>
      <c r="N14" s="55">
        <v>46198</v>
      </c>
      <c r="O14" s="55">
        <v>46426</v>
      </c>
      <c r="P14" s="54" t="s">
        <v>72</v>
      </c>
      <c r="Q14" s="54" t="s">
        <v>72</v>
      </c>
      <c r="R14" s="54" t="s">
        <v>258</v>
      </c>
      <c r="S14" s="54" t="s">
        <v>260</v>
      </c>
      <c r="T14" s="54" t="s">
        <v>261</v>
      </c>
      <c r="U14" s="54" t="s">
        <v>263</v>
      </c>
      <c r="V14" s="54" t="s">
        <v>264</v>
      </c>
      <c r="W14" s="54" t="s">
        <v>265</v>
      </c>
      <c r="X14" s="54" t="s">
        <v>262</v>
      </c>
      <c r="Y14" s="54" t="s">
        <v>266</v>
      </c>
      <c r="Z14" s="54" t="s">
        <v>267</v>
      </c>
      <c r="AA14" s="54" t="s">
        <v>151</v>
      </c>
      <c r="AB14" s="54"/>
    </row>
    <row r="15" spans="1:28" ht="20.100000000000001" customHeight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246</v>
      </c>
      <c r="F15" s="54">
        <v>1</v>
      </c>
      <c r="G15" s="54">
        <v>1700</v>
      </c>
      <c r="H15" s="54" t="s">
        <v>292</v>
      </c>
      <c r="I15" s="54" t="s">
        <v>430</v>
      </c>
      <c r="J15" s="54" t="s">
        <v>236</v>
      </c>
      <c r="K15" s="54" t="s">
        <v>240</v>
      </c>
      <c r="L15" s="81">
        <v>114</v>
      </c>
      <c r="M15" s="54" t="s">
        <v>77</v>
      </c>
      <c r="N15" s="54" t="s">
        <v>77</v>
      </c>
      <c r="O15" s="55">
        <v>46427</v>
      </c>
      <c r="P15" s="54" t="s">
        <v>72</v>
      </c>
      <c r="Q15" s="54" t="s">
        <v>72</v>
      </c>
      <c r="R15" s="54" t="s">
        <v>426</v>
      </c>
      <c r="S15" s="54" t="s">
        <v>259</v>
      </c>
      <c r="T15" s="54" t="s">
        <v>258</v>
      </c>
      <c r="U15" s="54" t="s">
        <v>262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246</v>
      </c>
      <c r="F16" s="54">
        <v>1</v>
      </c>
      <c r="G16" s="54">
        <v>1700</v>
      </c>
      <c r="H16" s="54" t="s">
        <v>292</v>
      </c>
      <c r="I16" s="54" t="s">
        <v>430</v>
      </c>
      <c r="J16" s="54" t="s">
        <v>237</v>
      </c>
      <c r="K16" s="54" t="s">
        <v>225</v>
      </c>
      <c r="L16" s="81">
        <v>129</v>
      </c>
      <c r="M16" s="55">
        <v>46233</v>
      </c>
      <c r="N16" s="54"/>
      <c r="O16" s="55">
        <v>46428</v>
      </c>
      <c r="P16" s="54" t="s">
        <v>72</v>
      </c>
      <c r="Q16" s="54" t="s">
        <v>72</v>
      </c>
      <c r="R16" s="54" t="s">
        <v>258</v>
      </c>
      <c r="S16" s="54" t="s">
        <v>260</v>
      </c>
      <c r="T16" s="54" t="s">
        <v>261</v>
      </c>
      <c r="U16" s="54" t="s">
        <v>263</v>
      </c>
      <c r="V16" s="54" t="s">
        <v>264</v>
      </c>
      <c r="W16" s="54" t="s">
        <v>265</v>
      </c>
      <c r="X16" s="54" t="s">
        <v>262</v>
      </c>
      <c r="Y16" s="54" t="s">
        <v>266</v>
      </c>
      <c r="Z16" s="54" t="s">
        <v>267</v>
      </c>
      <c r="AA16" s="54" t="s">
        <v>61</v>
      </c>
      <c r="AB16" s="54"/>
    </row>
    <row r="17" spans="1:28" ht="20.100000000000001" customHeight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246</v>
      </c>
      <c r="F17" s="54">
        <v>1</v>
      </c>
      <c r="G17" s="54">
        <v>1700</v>
      </c>
      <c r="H17" s="54" t="s">
        <v>292</v>
      </c>
      <c r="I17" s="54" t="s">
        <v>430</v>
      </c>
      <c r="J17" s="54" t="s">
        <v>238</v>
      </c>
      <c r="K17" s="54" t="s">
        <v>240</v>
      </c>
      <c r="L17" s="81">
        <v>123</v>
      </c>
      <c r="M17" s="54" t="s">
        <v>77</v>
      </c>
      <c r="N17" s="54" t="s">
        <v>77</v>
      </c>
      <c r="O17" s="55">
        <v>46430</v>
      </c>
      <c r="P17" s="54" t="s">
        <v>72</v>
      </c>
      <c r="Q17" s="54" t="s">
        <v>72</v>
      </c>
      <c r="R17" s="54" t="s">
        <v>426</v>
      </c>
      <c r="S17" s="54" t="s">
        <v>259</v>
      </c>
      <c r="T17" s="54" t="s">
        <v>258</v>
      </c>
      <c r="U17" s="54" t="s">
        <v>262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customHeight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246</v>
      </c>
      <c r="F18" s="54">
        <v>1</v>
      </c>
      <c r="G18" s="54">
        <v>1700</v>
      </c>
      <c r="H18" s="54" t="s">
        <v>292</v>
      </c>
      <c r="I18" s="54" t="s">
        <v>430</v>
      </c>
      <c r="J18" s="54" t="s">
        <v>239</v>
      </c>
      <c r="K18" s="54" t="s">
        <v>240</v>
      </c>
      <c r="L18" s="81" t="s">
        <v>424</v>
      </c>
      <c r="M18" s="54" t="s">
        <v>77</v>
      </c>
      <c r="N18" s="54" t="s">
        <v>77</v>
      </c>
      <c r="O18" s="55">
        <v>46431</v>
      </c>
      <c r="P18" s="54" t="s">
        <v>72</v>
      </c>
      <c r="Q18" s="54" t="s">
        <v>72</v>
      </c>
      <c r="R18" s="54" t="s">
        <v>426</v>
      </c>
      <c r="S18" s="54" t="s">
        <v>259</v>
      </c>
      <c r="T18" s="54" t="s">
        <v>258</v>
      </c>
      <c r="U18" s="54" t="s">
        <v>262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customHeight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284</v>
      </c>
      <c r="F19" s="54">
        <v>1</v>
      </c>
      <c r="G19" s="54" t="s">
        <v>283</v>
      </c>
      <c r="H19" s="54" t="s">
        <v>291</v>
      </c>
      <c r="I19" s="54" t="s">
        <v>430</v>
      </c>
      <c r="J19" s="54" t="s">
        <v>285</v>
      </c>
      <c r="K19" s="54" t="s">
        <v>240</v>
      </c>
      <c r="L19" s="54"/>
      <c r="M19" s="54" t="s">
        <v>77</v>
      </c>
      <c r="N19" s="54" t="s">
        <v>77</v>
      </c>
      <c r="O19" s="55">
        <v>46122</v>
      </c>
      <c r="P19" s="54" t="s">
        <v>69</v>
      </c>
      <c r="Q19" s="54" t="s">
        <v>69</v>
      </c>
      <c r="R19" s="56" t="s">
        <v>426</v>
      </c>
      <c r="S19" s="56" t="s">
        <v>259</v>
      </c>
      <c r="T19" s="56" t="s">
        <v>258</v>
      </c>
      <c r="U19" s="54" t="s">
        <v>262</v>
      </c>
      <c r="V19" s="54"/>
      <c r="W19" s="54"/>
      <c r="X19" s="54"/>
      <c r="Y19" s="54"/>
      <c r="Z19" s="54"/>
      <c r="AA19" s="54" t="s">
        <v>232</v>
      </c>
      <c r="AB19" s="54"/>
    </row>
    <row r="20" spans="1:28" ht="20.100000000000001" customHeight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286</v>
      </c>
      <c r="F20" s="54">
        <v>1</v>
      </c>
      <c r="G20" s="54" t="s">
        <v>283</v>
      </c>
      <c r="H20" s="54" t="s">
        <v>291</v>
      </c>
      <c r="I20" s="54" t="s">
        <v>429</v>
      </c>
      <c r="J20" s="54" t="s">
        <v>239</v>
      </c>
      <c r="K20" s="54" t="s">
        <v>240</v>
      </c>
      <c r="L20" s="54"/>
      <c r="M20" s="54" t="s">
        <v>77</v>
      </c>
      <c r="N20" s="54" t="s">
        <v>77</v>
      </c>
      <c r="O20" s="55">
        <v>46122</v>
      </c>
      <c r="P20" s="54" t="s">
        <v>69</v>
      </c>
      <c r="Q20" s="54" t="s">
        <v>69</v>
      </c>
      <c r="R20" s="56" t="s">
        <v>426</v>
      </c>
      <c r="S20" s="56" t="s">
        <v>259</v>
      </c>
      <c r="T20" s="56" t="s">
        <v>258</v>
      </c>
      <c r="U20" s="54" t="s">
        <v>262</v>
      </c>
      <c r="V20" s="54"/>
      <c r="W20" s="54"/>
      <c r="X20" s="54"/>
      <c r="Y20" s="54"/>
      <c r="Z20" s="54"/>
      <c r="AA20" s="54" t="s">
        <v>232</v>
      </c>
      <c r="AB20" s="54"/>
    </row>
    <row r="21" spans="1:28" ht="20.100000000000001" customHeight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286</v>
      </c>
      <c r="F21" s="54">
        <v>1</v>
      </c>
      <c r="G21" s="54" t="s">
        <v>283</v>
      </c>
      <c r="H21" s="54" t="s">
        <v>291</v>
      </c>
      <c r="I21" s="54" t="s">
        <v>428</v>
      </c>
      <c r="J21" s="54" t="s">
        <v>235</v>
      </c>
      <c r="K21" s="54" t="s">
        <v>240</v>
      </c>
      <c r="L21" s="54"/>
      <c r="M21" s="54" t="s">
        <v>77</v>
      </c>
      <c r="N21" s="54" t="s">
        <v>77</v>
      </c>
      <c r="O21" s="55">
        <v>46122</v>
      </c>
      <c r="P21" s="54" t="s">
        <v>69</v>
      </c>
      <c r="Q21" s="54" t="s">
        <v>69</v>
      </c>
      <c r="R21" s="56" t="s">
        <v>426</v>
      </c>
      <c r="S21" s="56" t="s">
        <v>259</v>
      </c>
      <c r="T21" s="56" t="s">
        <v>258</v>
      </c>
      <c r="U21" s="54" t="s">
        <v>262</v>
      </c>
      <c r="V21" s="54"/>
      <c r="W21" s="54"/>
      <c r="X21" s="54"/>
      <c r="Y21" s="54"/>
      <c r="Z21" s="54"/>
      <c r="AA21" s="54" t="s">
        <v>232</v>
      </c>
      <c r="AB21" s="54"/>
    </row>
    <row r="22" spans="1:28" ht="20.100000000000001" customHeight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284</v>
      </c>
      <c r="F22" s="54">
        <v>1</v>
      </c>
      <c r="G22" s="54" t="s">
        <v>283</v>
      </c>
      <c r="H22" s="54" t="s">
        <v>291</v>
      </c>
      <c r="I22" s="54" t="s">
        <v>430</v>
      </c>
      <c r="J22" s="54" t="s">
        <v>238</v>
      </c>
      <c r="K22" s="54" t="s">
        <v>240</v>
      </c>
      <c r="L22" s="54"/>
      <c r="M22" s="54" t="s">
        <v>77</v>
      </c>
      <c r="N22" s="54" t="s">
        <v>77</v>
      </c>
      <c r="O22" s="55">
        <v>46122</v>
      </c>
      <c r="P22" s="54" t="s">
        <v>69</v>
      </c>
      <c r="Q22" s="54" t="s">
        <v>69</v>
      </c>
      <c r="R22" s="56" t="s">
        <v>426</v>
      </c>
      <c r="S22" s="56" t="s">
        <v>259</v>
      </c>
      <c r="T22" s="56" t="s">
        <v>258</v>
      </c>
      <c r="U22" s="54" t="s">
        <v>262</v>
      </c>
      <c r="V22" s="54"/>
      <c r="W22" s="54"/>
      <c r="X22" s="54"/>
      <c r="Y22" s="54"/>
      <c r="Z22" s="54"/>
      <c r="AA22" s="54" t="s">
        <v>232</v>
      </c>
      <c r="AB22" s="54"/>
    </row>
    <row r="23" spans="1:28" ht="20.100000000000001" customHeight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284</v>
      </c>
      <c r="F23" s="54">
        <v>1</v>
      </c>
      <c r="G23" s="54" t="s">
        <v>283</v>
      </c>
      <c r="H23" s="54" t="s">
        <v>291</v>
      </c>
      <c r="I23" s="54" t="s">
        <v>430</v>
      </c>
      <c r="J23" s="54" t="s">
        <v>236</v>
      </c>
      <c r="K23" s="54" t="s">
        <v>240</v>
      </c>
      <c r="L23" s="54"/>
      <c r="M23" s="54" t="s">
        <v>77</v>
      </c>
      <c r="N23" s="54" t="s">
        <v>77</v>
      </c>
      <c r="O23" s="55">
        <v>46122</v>
      </c>
      <c r="P23" s="54" t="s">
        <v>69</v>
      </c>
      <c r="Q23" s="54" t="s">
        <v>69</v>
      </c>
      <c r="R23" s="56" t="s">
        <v>426</v>
      </c>
      <c r="S23" s="56" t="s">
        <v>259</v>
      </c>
      <c r="T23" s="56" t="s">
        <v>258</v>
      </c>
      <c r="U23" s="54" t="s">
        <v>262</v>
      </c>
      <c r="V23" s="54"/>
      <c r="W23" s="54"/>
      <c r="X23" s="54"/>
      <c r="Y23" s="54"/>
      <c r="Z23" s="54"/>
      <c r="AA23" s="54" t="s">
        <v>232</v>
      </c>
      <c r="AB23" s="54"/>
    </row>
    <row r="24" spans="1:28" ht="20.100000000000001" customHeight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286</v>
      </c>
      <c r="F24" s="54">
        <v>1</v>
      </c>
      <c r="G24" s="54" t="s">
        <v>283</v>
      </c>
      <c r="H24" s="54" t="s">
        <v>291</v>
      </c>
      <c r="I24" s="54" t="s">
        <v>429</v>
      </c>
      <c r="J24" s="54" t="s">
        <v>236</v>
      </c>
      <c r="K24" s="54" t="s">
        <v>240</v>
      </c>
      <c r="L24" s="54"/>
      <c r="M24" s="54" t="s">
        <v>77</v>
      </c>
      <c r="N24" s="54" t="s">
        <v>77</v>
      </c>
      <c r="O24" s="55">
        <v>46122</v>
      </c>
      <c r="P24" s="54" t="s">
        <v>69</v>
      </c>
      <c r="Q24" s="54" t="s">
        <v>69</v>
      </c>
      <c r="R24" s="56" t="s">
        <v>426</v>
      </c>
      <c r="S24" s="56" t="s">
        <v>259</v>
      </c>
      <c r="T24" s="56" t="s">
        <v>258</v>
      </c>
      <c r="U24" s="54" t="s">
        <v>262</v>
      </c>
      <c r="V24" s="54"/>
      <c r="W24" s="54"/>
      <c r="X24" s="54"/>
      <c r="Y24" s="54"/>
      <c r="Z24" s="54"/>
      <c r="AA24" s="54" t="s">
        <v>232</v>
      </c>
      <c r="AB24" s="54"/>
    </row>
    <row r="25" spans="1:28" ht="20.100000000000001" customHeight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286</v>
      </c>
      <c r="F25" s="54">
        <v>1</v>
      </c>
      <c r="G25" s="54" t="s">
        <v>283</v>
      </c>
      <c r="H25" s="54" t="s">
        <v>291</v>
      </c>
      <c r="I25" s="54" t="s">
        <v>428</v>
      </c>
      <c r="J25" s="54" t="s">
        <v>239</v>
      </c>
      <c r="K25" s="54" t="s">
        <v>240</v>
      </c>
      <c r="L25" s="54"/>
      <c r="M25" s="54" t="s">
        <v>77</v>
      </c>
      <c r="N25" s="54" t="s">
        <v>77</v>
      </c>
      <c r="O25" s="55">
        <v>46122</v>
      </c>
      <c r="P25" s="54" t="s">
        <v>69</v>
      </c>
      <c r="Q25" s="54" t="s">
        <v>69</v>
      </c>
      <c r="R25" s="56" t="s">
        <v>426</v>
      </c>
      <c r="S25" s="56" t="s">
        <v>259</v>
      </c>
      <c r="T25" s="56" t="s">
        <v>258</v>
      </c>
      <c r="U25" s="54" t="s">
        <v>262</v>
      </c>
      <c r="V25" s="54"/>
      <c r="W25" s="54"/>
      <c r="X25" s="54"/>
      <c r="Y25" s="54"/>
      <c r="Z25" s="54"/>
      <c r="AA25" s="54" t="s">
        <v>232</v>
      </c>
      <c r="AB25" s="54"/>
    </row>
    <row r="26" spans="1:28" ht="20.100000000000001" customHeight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286</v>
      </c>
      <c r="F26" s="54">
        <v>1</v>
      </c>
      <c r="G26" s="54" t="s">
        <v>283</v>
      </c>
      <c r="H26" s="54" t="s">
        <v>291</v>
      </c>
      <c r="I26" s="54" t="s">
        <v>428</v>
      </c>
      <c r="J26" s="54" t="s">
        <v>236</v>
      </c>
      <c r="K26" s="54" t="s">
        <v>240</v>
      </c>
      <c r="L26" s="54"/>
      <c r="M26" s="54" t="s">
        <v>77</v>
      </c>
      <c r="N26" s="54" t="s">
        <v>77</v>
      </c>
      <c r="O26" s="55">
        <v>46122</v>
      </c>
      <c r="P26" s="54" t="s">
        <v>69</v>
      </c>
      <c r="Q26" s="54" t="s">
        <v>69</v>
      </c>
      <c r="R26" s="56" t="s">
        <v>426</v>
      </c>
      <c r="S26" s="56" t="s">
        <v>259</v>
      </c>
      <c r="T26" s="56" t="s">
        <v>258</v>
      </c>
      <c r="U26" s="54" t="s">
        <v>262</v>
      </c>
      <c r="V26" s="54"/>
      <c r="W26" s="54"/>
      <c r="X26" s="54"/>
      <c r="Y26" s="54"/>
      <c r="Z26" s="54"/>
      <c r="AA26" s="54" t="s">
        <v>232</v>
      </c>
      <c r="AB26" s="54"/>
    </row>
    <row r="27" spans="1:28" ht="20.100000000000001" customHeight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286</v>
      </c>
      <c r="F27" s="54">
        <v>1</v>
      </c>
      <c r="G27" s="54" t="s">
        <v>283</v>
      </c>
      <c r="H27" s="54" t="s">
        <v>291</v>
      </c>
      <c r="I27" s="54" t="s">
        <v>429</v>
      </c>
      <c r="J27" s="54" t="s">
        <v>237</v>
      </c>
      <c r="K27" s="54" t="s">
        <v>240</v>
      </c>
      <c r="L27" s="54"/>
      <c r="M27" s="54" t="s">
        <v>77</v>
      </c>
      <c r="N27" s="54" t="s">
        <v>77</v>
      </c>
      <c r="O27" s="55">
        <v>46122</v>
      </c>
      <c r="P27" s="54" t="s">
        <v>69</v>
      </c>
      <c r="Q27" s="54" t="s">
        <v>69</v>
      </c>
      <c r="R27" s="56" t="s">
        <v>426</v>
      </c>
      <c r="S27" s="56" t="s">
        <v>259</v>
      </c>
      <c r="T27" s="56" t="s">
        <v>258</v>
      </c>
      <c r="U27" s="54" t="s">
        <v>262</v>
      </c>
      <c r="V27" s="54"/>
      <c r="W27" s="54"/>
      <c r="X27" s="54"/>
      <c r="Y27" s="54"/>
      <c r="Z27" s="54"/>
      <c r="AA27" s="54" t="s">
        <v>232</v>
      </c>
      <c r="AB27" s="54"/>
    </row>
    <row r="28" spans="1:28" ht="20.100000000000001" customHeight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286</v>
      </c>
      <c r="F28" s="54">
        <v>1</v>
      </c>
      <c r="G28" s="54" t="s">
        <v>283</v>
      </c>
      <c r="H28" s="54" t="s">
        <v>291</v>
      </c>
      <c r="I28" s="54" t="s">
        <v>428</v>
      </c>
      <c r="J28" s="54" t="s">
        <v>238</v>
      </c>
      <c r="K28" s="54" t="s">
        <v>240</v>
      </c>
      <c r="L28" s="54"/>
      <c r="M28" s="54" t="s">
        <v>77</v>
      </c>
      <c r="N28" s="54" t="s">
        <v>77</v>
      </c>
      <c r="O28" s="55">
        <v>46122</v>
      </c>
      <c r="P28" s="54" t="s">
        <v>69</v>
      </c>
      <c r="Q28" s="54" t="s">
        <v>69</v>
      </c>
      <c r="R28" s="56" t="s">
        <v>426</v>
      </c>
      <c r="S28" s="56" t="s">
        <v>259</v>
      </c>
      <c r="T28" s="56" t="s">
        <v>258</v>
      </c>
      <c r="U28" s="54" t="s">
        <v>262</v>
      </c>
      <c r="V28" s="54"/>
      <c r="W28" s="54"/>
      <c r="X28" s="54"/>
      <c r="Y28" s="54"/>
      <c r="Z28" s="54"/>
      <c r="AA28" s="54" t="s">
        <v>232</v>
      </c>
      <c r="AB28" s="54"/>
    </row>
    <row r="29" spans="1:28" ht="20.100000000000001" customHeight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286</v>
      </c>
      <c r="F29" s="54">
        <v>1</v>
      </c>
      <c r="G29" s="54" t="s">
        <v>283</v>
      </c>
      <c r="H29" s="54" t="s">
        <v>291</v>
      </c>
      <c r="I29" s="54" t="s">
        <v>428</v>
      </c>
      <c r="J29" s="54" t="s">
        <v>237</v>
      </c>
      <c r="K29" s="54" t="s">
        <v>240</v>
      </c>
      <c r="L29" s="54"/>
      <c r="M29" s="54" t="s">
        <v>77</v>
      </c>
      <c r="N29" s="54" t="s">
        <v>77</v>
      </c>
      <c r="O29" s="55">
        <v>46122</v>
      </c>
      <c r="P29" s="54" t="s">
        <v>69</v>
      </c>
      <c r="Q29" s="54" t="s">
        <v>69</v>
      </c>
      <c r="R29" s="56" t="s">
        <v>426</v>
      </c>
      <c r="S29" s="56" t="s">
        <v>259</v>
      </c>
      <c r="T29" s="56" t="s">
        <v>258</v>
      </c>
      <c r="U29" s="54" t="s">
        <v>262</v>
      </c>
      <c r="V29" s="54"/>
      <c r="W29" s="54"/>
      <c r="X29" s="54"/>
      <c r="Y29" s="54"/>
      <c r="Z29" s="54"/>
      <c r="AA29" s="54" t="s">
        <v>232</v>
      </c>
      <c r="AB29" s="54"/>
    </row>
    <row r="30" spans="1:28" ht="20.100000000000001" customHeight="1" x14ac:dyDescent="0.25">
      <c r="A30" s="61">
        <v>2077</v>
      </c>
      <c r="B30" s="57">
        <v>1</v>
      </c>
      <c r="C30" s="57" t="s">
        <v>294</v>
      </c>
      <c r="D30" s="61">
        <v>6728</v>
      </c>
      <c r="E30" s="57" t="s">
        <v>298</v>
      </c>
      <c r="F30" s="57">
        <v>1</v>
      </c>
      <c r="G30" s="57" t="s">
        <v>231</v>
      </c>
      <c r="H30" s="57" t="s">
        <v>291</v>
      </c>
      <c r="I30" s="57" t="s">
        <v>77</v>
      </c>
      <c r="J30" s="57" t="s">
        <v>77</v>
      </c>
      <c r="K30" s="57" t="s">
        <v>225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258</v>
      </c>
      <c r="S30" s="59" t="s">
        <v>261</v>
      </c>
      <c r="T30" s="59" t="s">
        <v>266</v>
      </c>
      <c r="U30" s="59" t="s">
        <v>267</v>
      </c>
      <c r="V30" s="57"/>
      <c r="W30" s="57"/>
      <c r="X30" s="57"/>
      <c r="Y30" s="57"/>
      <c r="Z30" s="57"/>
      <c r="AA30" s="57" t="s">
        <v>295</v>
      </c>
      <c r="AB30" s="57" t="s">
        <v>101</v>
      </c>
    </row>
    <row r="31" spans="1:28" ht="20.100000000000001" customHeight="1" x14ac:dyDescent="0.25">
      <c r="A31" s="61">
        <v>2077</v>
      </c>
      <c r="B31" s="57">
        <v>2</v>
      </c>
      <c r="C31" s="57" t="s">
        <v>294</v>
      </c>
      <c r="D31" s="61">
        <v>6727</v>
      </c>
      <c r="E31" s="57" t="s">
        <v>298</v>
      </c>
      <c r="F31" s="57">
        <v>1</v>
      </c>
      <c r="G31" s="57" t="s">
        <v>231</v>
      </c>
      <c r="H31" s="57" t="s">
        <v>292</v>
      </c>
      <c r="I31" s="57" t="s">
        <v>77</v>
      </c>
      <c r="J31" s="57" t="s">
        <v>77</v>
      </c>
      <c r="K31" s="57" t="s">
        <v>225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258</v>
      </c>
      <c r="S31" s="59" t="s">
        <v>260</v>
      </c>
      <c r="T31" s="59" t="s">
        <v>261</v>
      </c>
      <c r="U31" s="59" t="s">
        <v>263</v>
      </c>
      <c r="V31" s="59" t="s">
        <v>264</v>
      </c>
      <c r="W31" s="59" t="s">
        <v>265</v>
      </c>
      <c r="X31" s="59" t="s">
        <v>266</v>
      </c>
      <c r="Y31" s="59" t="s">
        <v>267</v>
      </c>
      <c r="Z31" s="57"/>
      <c r="AA31" s="57" t="s">
        <v>295</v>
      </c>
      <c r="AB31" s="57" t="s">
        <v>101</v>
      </c>
    </row>
    <row r="32" spans="1:28" ht="20.100000000000001" customHeight="1" x14ac:dyDescent="0.25">
      <c r="A32" s="61">
        <v>1386</v>
      </c>
      <c r="B32" s="57">
        <v>5</v>
      </c>
      <c r="C32" s="57" t="s">
        <v>294</v>
      </c>
      <c r="D32" s="61">
        <v>6169</v>
      </c>
      <c r="E32" s="57" t="s">
        <v>298</v>
      </c>
      <c r="F32" s="57">
        <v>1</v>
      </c>
      <c r="G32" s="57" t="s">
        <v>231</v>
      </c>
      <c r="H32" s="57" t="s">
        <v>291</v>
      </c>
      <c r="I32" s="57" t="s">
        <v>77</v>
      </c>
      <c r="J32" s="57" t="s">
        <v>77</v>
      </c>
      <c r="K32" s="57" t="s">
        <v>225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258</v>
      </c>
      <c r="S32" s="59" t="s">
        <v>261</v>
      </c>
      <c r="T32" s="59" t="s">
        <v>266</v>
      </c>
      <c r="U32" s="59" t="s">
        <v>267</v>
      </c>
      <c r="V32" s="57"/>
      <c r="W32" s="57"/>
      <c r="X32" s="57"/>
      <c r="Y32" s="57"/>
      <c r="Z32" s="57"/>
      <c r="AA32" s="57" t="s">
        <v>296</v>
      </c>
      <c r="AB32" s="57"/>
    </row>
    <row r="33" spans="1:28" ht="20.100000000000001" customHeight="1" x14ac:dyDescent="0.25">
      <c r="A33" s="61">
        <v>2078</v>
      </c>
      <c r="B33" s="54">
        <v>8</v>
      </c>
      <c r="C33" s="54" t="s">
        <v>297</v>
      </c>
      <c r="D33" s="61">
        <v>6741</v>
      </c>
      <c r="E33" s="57" t="s">
        <v>298</v>
      </c>
      <c r="F33" s="57">
        <v>1</v>
      </c>
      <c r="G33" s="54" t="s">
        <v>299</v>
      </c>
      <c r="H33" s="54" t="s">
        <v>291</v>
      </c>
      <c r="I33" s="57" t="s">
        <v>77</v>
      </c>
      <c r="J33" s="57" t="s">
        <v>77</v>
      </c>
      <c r="K33" s="57" t="s">
        <v>225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258</v>
      </c>
      <c r="S33" s="59" t="s">
        <v>261</v>
      </c>
      <c r="T33" s="59" t="s">
        <v>266</v>
      </c>
      <c r="U33" s="59" t="s">
        <v>267</v>
      </c>
      <c r="V33" s="54"/>
      <c r="W33" s="54"/>
      <c r="X33" s="54"/>
      <c r="Y33" s="54"/>
      <c r="Z33" s="54"/>
      <c r="AA33" s="54" t="s">
        <v>295</v>
      </c>
      <c r="AB33" s="57" t="s">
        <v>101</v>
      </c>
    </row>
    <row r="34" spans="1:28" ht="20.100000000000001" customHeight="1" x14ac:dyDescent="0.25">
      <c r="A34" s="61">
        <v>2078</v>
      </c>
      <c r="B34" s="54">
        <v>1</v>
      </c>
      <c r="C34" s="54" t="s">
        <v>297</v>
      </c>
      <c r="D34" s="61">
        <v>6734</v>
      </c>
      <c r="E34" s="57" t="s">
        <v>298</v>
      </c>
      <c r="F34" s="57">
        <v>1</v>
      </c>
      <c r="G34" s="54" t="s">
        <v>299</v>
      </c>
      <c r="H34" s="54" t="s">
        <v>291</v>
      </c>
      <c r="I34" s="57" t="s">
        <v>77</v>
      </c>
      <c r="J34" s="57" t="s">
        <v>77</v>
      </c>
      <c r="K34" s="57" t="s">
        <v>225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258</v>
      </c>
      <c r="S34" s="59" t="s">
        <v>261</v>
      </c>
      <c r="T34" s="59" t="s">
        <v>266</v>
      </c>
      <c r="U34" s="59" t="s">
        <v>267</v>
      </c>
      <c r="V34" s="54"/>
      <c r="W34" s="54"/>
      <c r="X34" s="54"/>
      <c r="Y34" s="54"/>
      <c r="Z34" s="54"/>
      <c r="AA34" s="54" t="s">
        <v>295</v>
      </c>
      <c r="AB34" s="57" t="s">
        <v>101</v>
      </c>
    </row>
    <row r="35" spans="1:28" ht="20.100000000000001" customHeight="1" x14ac:dyDescent="0.25">
      <c r="A35" s="61">
        <v>2078</v>
      </c>
      <c r="B35" s="54">
        <v>4</v>
      </c>
      <c r="C35" s="54" t="s">
        <v>297</v>
      </c>
      <c r="D35" s="61">
        <v>6737</v>
      </c>
      <c r="E35" s="57" t="s">
        <v>298</v>
      </c>
      <c r="F35" s="57">
        <v>1</v>
      </c>
      <c r="G35" s="54" t="s">
        <v>299</v>
      </c>
      <c r="H35" s="54" t="s">
        <v>291</v>
      </c>
      <c r="I35" s="57" t="s">
        <v>77</v>
      </c>
      <c r="J35" s="57" t="s">
        <v>77</v>
      </c>
      <c r="K35" s="57" t="s">
        <v>225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258</v>
      </c>
      <c r="S35" s="59" t="s">
        <v>261</v>
      </c>
      <c r="T35" s="59" t="s">
        <v>266</v>
      </c>
      <c r="U35" s="59" t="s">
        <v>267</v>
      </c>
      <c r="V35" s="54"/>
      <c r="W35" s="54"/>
      <c r="X35" s="54"/>
      <c r="Y35" s="54"/>
      <c r="Z35" s="54"/>
      <c r="AA35" s="54" t="s">
        <v>295</v>
      </c>
      <c r="AB35" s="57" t="s">
        <v>101</v>
      </c>
    </row>
    <row r="36" spans="1:28" ht="20.100000000000001" customHeight="1" x14ac:dyDescent="0.25">
      <c r="A36" s="61">
        <v>2078</v>
      </c>
      <c r="B36" s="54">
        <v>9</v>
      </c>
      <c r="C36" s="54" t="s">
        <v>297</v>
      </c>
      <c r="D36" s="61">
        <v>6742</v>
      </c>
      <c r="E36" s="57" t="s">
        <v>298</v>
      </c>
      <c r="F36" s="57">
        <v>1</v>
      </c>
      <c r="G36" s="54" t="s">
        <v>299</v>
      </c>
      <c r="H36" s="54" t="s">
        <v>292</v>
      </c>
      <c r="I36" s="57" t="s">
        <v>77</v>
      </c>
      <c r="J36" s="57" t="s">
        <v>77</v>
      </c>
      <c r="K36" s="57" t="s">
        <v>225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258</v>
      </c>
      <c r="S36" s="59" t="s">
        <v>260</v>
      </c>
      <c r="T36" s="59" t="s">
        <v>261</v>
      </c>
      <c r="U36" s="59" t="s">
        <v>263</v>
      </c>
      <c r="V36" s="59" t="s">
        <v>264</v>
      </c>
      <c r="W36" s="59" t="s">
        <v>265</v>
      </c>
      <c r="X36" s="60" t="s">
        <v>266</v>
      </c>
      <c r="Y36" s="60" t="s">
        <v>267</v>
      </c>
      <c r="Z36" s="54"/>
      <c r="AA36" s="54" t="s">
        <v>296</v>
      </c>
      <c r="AB36" s="54"/>
    </row>
    <row r="37" spans="1:28" ht="20.100000000000001" customHeight="1" x14ac:dyDescent="0.25">
      <c r="A37" s="61">
        <v>2078</v>
      </c>
      <c r="B37" s="54">
        <v>10</v>
      </c>
      <c r="C37" s="54" t="s">
        <v>297</v>
      </c>
      <c r="D37" s="61">
        <v>6743</v>
      </c>
      <c r="E37" s="57" t="s">
        <v>298</v>
      </c>
      <c r="F37" s="57">
        <v>1</v>
      </c>
      <c r="G37" s="54" t="s">
        <v>299</v>
      </c>
      <c r="H37" s="54" t="s">
        <v>292</v>
      </c>
      <c r="I37" s="57" t="s">
        <v>77</v>
      </c>
      <c r="J37" s="57" t="s">
        <v>77</v>
      </c>
      <c r="K37" s="57" t="s">
        <v>225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258</v>
      </c>
      <c r="S37" s="59" t="s">
        <v>260</v>
      </c>
      <c r="T37" s="59" t="s">
        <v>261</v>
      </c>
      <c r="U37" s="59" t="s">
        <v>263</v>
      </c>
      <c r="V37" s="59" t="s">
        <v>264</v>
      </c>
      <c r="W37" s="59" t="s">
        <v>265</v>
      </c>
      <c r="X37" s="59" t="s">
        <v>266</v>
      </c>
      <c r="Y37" s="59" t="s">
        <v>267</v>
      </c>
      <c r="Z37" s="54"/>
      <c r="AA37" s="54" t="s">
        <v>295</v>
      </c>
      <c r="AB37" s="57" t="s">
        <v>101</v>
      </c>
    </row>
    <row r="38" spans="1:28" ht="20.100000000000001" customHeight="1" x14ac:dyDescent="0.25">
      <c r="A38" s="61">
        <v>2078</v>
      </c>
      <c r="B38" s="54">
        <v>3</v>
      </c>
      <c r="C38" s="54" t="s">
        <v>297</v>
      </c>
      <c r="D38" s="61">
        <v>6736</v>
      </c>
      <c r="E38" s="57" t="s">
        <v>298</v>
      </c>
      <c r="F38" s="57">
        <v>1</v>
      </c>
      <c r="G38" s="54" t="s">
        <v>299</v>
      </c>
      <c r="H38" s="54" t="s">
        <v>291</v>
      </c>
      <c r="I38" s="57" t="s">
        <v>77</v>
      </c>
      <c r="J38" s="57" t="s">
        <v>77</v>
      </c>
      <c r="K38" s="57" t="s">
        <v>225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258</v>
      </c>
      <c r="S38" s="59" t="s">
        <v>261</v>
      </c>
      <c r="T38" s="59" t="s">
        <v>266</v>
      </c>
      <c r="U38" s="59" t="s">
        <v>267</v>
      </c>
      <c r="V38" s="54"/>
      <c r="W38" s="54"/>
      <c r="X38" s="54"/>
      <c r="Y38" s="54"/>
      <c r="Z38" s="54"/>
      <c r="AA38" s="54" t="s">
        <v>295</v>
      </c>
      <c r="AB38" s="57" t="s">
        <v>101</v>
      </c>
    </row>
    <row r="39" spans="1:28" ht="20.100000000000001" customHeight="1" x14ac:dyDescent="0.25">
      <c r="A39" s="61">
        <v>2078</v>
      </c>
      <c r="B39" s="54">
        <v>2</v>
      </c>
      <c r="C39" s="54" t="s">
        <v>297</v>
      </c>
      <c r="D39" s="61">
        <v>6735</v>
      </c>
      <c r="E39" s="57" t="s">
        <v>298</v>
      </c>
      <c r="F39" s="57">
        <v>1</v>
      </c>
      <c r="G39" s="54" t="s">
        <v>299</v>
      </c>
      <c r="H39" s="54" t="s">
        <v>291</v>
      </c>
      <c r="I39" s="57" t="s">
        <v>77</v>
      </c>
      <c r="J39" s="57" t="s">
        <v>77</v>
      </c>
      <c r="K39" s="57" t="s">
        <v>225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258</v>
      </c>
      <c r="S39" s="59" t="s">
        <v>261</v>
      </c>
      <c r="T39" s="59" t="s">
        <v>266</v>
      </c>
      <c r="U39" s="59" t="s">
        <v>267</v>
      </c>
      <c r="V39" s="54"/>
      <c r="W39" s="54"/>
      <c r="X39" s="54"/>
      <c r="Y39" s="54"/>
      <c r="Z39" s="54"/>
      <c r="AA39" s="54" t="s">
        <v>295</v>
      </c>
      <c r="AB39" s="57" t="s">
        <v>101</v>
      </c>
    </row>
    <row r="40" spans="1:28" ht="20.100000000000001" customHeight="1" x14ac:dyDescent="0.25">
      <c r="A40" s="61">
        <v>2078</v>
      </c>
      <c r="B40" s="54">
        <v>7</v>
      </c>
      <c r="C40" s="54" t="s">
        <v>297</v>
      </c>
      <c r="D40" s="61">
        <v>6740</v>
      </c>
      <c r="E40" s="57" t="s">
        <v>298</v>
      </c>
      <c r="F40" s="57">
        <v>1</v>
      </c>
      <c r="G40" s="54" t="s">
        <v>299</v>
      </c>
      <c r="H40" s="54" t="s">
        <v>291</v>
      </c>
      <c r="I40" s="57" t="s">
        <v>77</v>
      </c>
      <c r="J40" s="57" t="s">
        <v>77</v>
      </c>
      <c r="K40" s="57" t="s">
        <v>225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258</v>
      </c>
      <c r="S40" s="59" t="s">
        <v>261</v>
      </c>
      <c r="T40" s="59" t="s">
        <v>266</v>
      </c>
      <c r="U40" s="59" t="s">
        <v>267</v>
      </c>
      <c r="V40" s="54"/>
      <c r="W40" s="54"/>
      <c r="X40" s="54"/>
      <c r="Y40" s="54"/>
      <c r="Z40" s="54"/>
      <c r="AA40" s="54" t="s">
        <v>295</v>
      </c>
      <c r="AB40" s="57" t="s">
        <v>101</v>
      </c>
    </row>
    <row r="41" spans="1:28" ht="20.100000000000001" customHeight="1" x14ac:dyDescent="0.25">
      <c r="A41" s="61">
        <v>2078</v>
      </c>
      <c r="B41" s="54">
        <v>5</v>
      </c>
      <c r="C41" s="54" t="s">
        <v>297</v>
      </c>
      <c r="D41" s="61">
        <v>6738</v>
      </c>
      <c r="E41" s="57" t="s">
        <v>298</v>
      </c>
      <c r="F41" s="57">
        <v>1</v>
      </c>
      <c r="G41" s="54" t="s">
        <v>299</v>
      </c>
      <c r="H41" s="54" t="s">
        <v>291</v>
      </c>
      <c r="I41" s="57" t="s">
        <v>77</v>
      </c>
      <c r="J41" s="57" t="s">
        <v>77</v>
      </c>
      <c r="K41" s="57" t="s">
        <v>225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258</v>
      </c>
      <c r="S41" s="59" t="s">
        <v>261</v>
      </c>
      <c r="T41" s="59" t="s">
        <v>266</v>
      </c>
      <c r="U41" s="59" t="s">
        <v>267</v>
      </c>
      <c r="V41" s="54"/>
      <c r="W41" s="54"/>
      <c r="X41" s="54"/>
      <c r="Y41" s="54"/>
      <c r="Z41" s="54"/>
      <c r="AA41" s="54" t="s">
        <v>295</v>
      </c>
      <c r="AB41" s="57" t="s">
        <v>101</v>
      </c>
    </row>
    <row r="42" spans="1:28" ht="20.100000000000001" customHeight="1" x14ac:dyDescent="0.25">
      <c r="A42" s="61">
        <v>2078</v>
      </c>
      <c r="B42" s="54">
        <v>11</v>
      </c>
      <c r="C42" s="54" t="s">
        <v>297</v>
      </c>
      <c r="D42" s="61">
        <v>6744</v>
      </c>
      <c r="E42" s="57" t="s">
        <v>298</v>
      </c>
      <c r="F42" s="57">
        <v>1</v>
      </c>
      <c r="G42" s="54" t="s">
        <v>299</v>
      </c>
      <c r="H42" s="54" t="s">
        <v>292</v>
      </c>
      <c r="I42" s="57" t="s">
        <v>77</v>
      </c>
      <c r="J42" s="57" t="s">
        <v>77</v>
      </c>
      <c r="K42" s="57" t="s">
        <v>225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258</v>
      </c>
      <c r="S42" s="59" t="s">
        <v>260</v>
      </c>
      <c r="T42" s="59" t="s">
        <v>261</v>
      </c>
      <c r="U42" s="59" t="s">
        <v>263</v>
      </c>
      <c r="V42" s="59" t="s">
        <v>264</v>
      </c>
      <c r="W42" s="59" t="s">
        <v>265</v>
      </c>
      <c r="X42" s="59" t="s">
        <v>266</v>
      </c>
      <c r="Y42" s="59" t="s">
        <v>267</v>
      </c>
      <c r="Z42" s="54"/>
      <c r="AA42" s="54" t="s">
        <v>295</v>
      </c>
      <c r="AB42" s="57" t="s">
        <v>101</v>
      </c>
    </row>
    <row r="43" spans="1:28" ht="20.100000000000001" customHeight="1" x14ac:dyDescent="0.25">
      <c r="A43" s="61">
        <v>2078</v>
      </c>
      <c r="B43" s="54">
        <v>6</v>
      </c>
      <c r="C43" s="54" t="s">
        <v>297</v>
      </c>
      <c r="D43" s="61">
        <v>6739</v>
      </c>
      <c r="E43" s="57" t="s">
        <v>298</v>
      </c>
      <c r="F43" s="57">
        <v>1</v>
      </c>
      <c r="G43" s="54" t="s">
        <v>299</v>
      </c>
      <c r="H43" s="54" t="s">
        <v>291</v>
      </c>
      <c r="I43" s="57" t="s">
        <v>77</v>
      </c>
      <c r="J43" s="57" t="s">
        <v>77</v>
      </c>
      <c r="K43" s="57" t="s">
        <v>225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258</v>
      </c>
      <c r="S43" s="59" t="s">
        <v>261</v>
      </c>
      <c r="T43" s="59" t="s">
        <v>266</v>
      </c>
      <c r="U43" s="59" t="s">
        <v>267</v>
      </c>
      <c r="V43" s="54"/>
      <c r="W43" s="54"/>
      <c r="X43" s="54"/>
      <c r="Y43" s="54"/>
      <c r="Z43" s="54"/>
      <c r="AA43" s="54" t="s">
        <v>295</v>
      </c>
      <c r="AB43" s="57" t="s">
        <v>101</v>
      </c>
    </row>
    <row r="44" spans="1:28" ht="20.100000000000001" customHeight="1" x14ac:dyDescent="0.25">
      <c r="A44" s="54">
        <v>2099</v>
      </c>
      <c r="B44" s="54">
        <v>1</v>
      </c>
      <c r="C44" s="54" t="s">
        <v>300</v>
      </c>
      <c r="D44" s="54">
        <v>6745</v>
      </c>
      <c r="E44" s="57" t="s">
        <v>298</v>
      </c>
      <c r="F44" s="54">
        <v>1</v>
      </c>
      <c r="G44" s="54" t="s">
        <v>299</v>
      </c>
      <c r="H44" s="54" t="s">
        <v>292</v>
      </c>
      <c r="I44" s="57" t="s">
        <v>77</v>
      </c>
      <c r="J44" s="57" t="s">
        <v>77</v>
      </c>
      <c r="K44" s="57" t="s">
        <v>225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258</v>
      </c>
      <c r="S44" s="59" t="s">
        <v>260</v>
      </c>
      <c r="T44" s="59" t="s">
        <v>261</v>
      </c>
      <c r="U44" s="59" t="s">
        <v>263</v>
      </c>
      <c r="V44" s="59" t="s">
        <v>264</v>
      </c>
      <c r="W44" s="59" t="s">
        <v>265</v>
      </c>
      <c r="X44" s="60" t="s">
        <v>266</v>
      </c>
      <c r="Y44" s="60" t="s">
        <v>267</v>
      </c>
      <c r="Z44" s="54"/>
      <c r="AA44" s="54" t="s">
        <v>296</v>
      </c>
      <c r="AB44" s="54"/>
    </row>
    <row r="45" spans="1:28" ht="20.100000000000001" customHeight="1" x14ac:dyDescent="0.25">
      <c r="A45" s="54">
        <v>2097</v>
      </c>
      <c r="B45" s="54">
        <v>1</v>
      </c>
      <c r="C45" s="54" t="s">
        <v>301</v>
      </c>
      <c r="D45" s="54">
        <v>6788</v>
      </c>
      <c r="E45" s="57" t="s">
        <v>298</v>
      </c>
      <c r="F45" s="54">
        <v>1</v>
      </c>
      <c r="G45" s="54" t="s">
        <v>302</v>
      </c>
      <c r="H45" s="54" t="s">
        <v>292</v>
      </c>
      <c r="I45" s="57" t="s">
        <v>77</v>
      </c>
      <c r="J45" s="57" t="s">
        <v>77</v>
      </c>
      <c r="K45" s="57" t="s">
        <v>225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258</v>
      </c>
      <c r="S45" s="59" t="s">
        <v>260</v>
      </c>
      <c r="T45" s="59" t="s">
        <v>261</v>
      </c>
      <c r="U45" s="59" t="s">
        <v>263</v>
      </c>
      <c r="V45" s="59" t="s">
        <v>264</v>
      </c>
      <c r="W45" s="59" t="s">
        <v>265</v>
      </c>
      <c r="X45" s="60" t="s">
        <v>266</v>
      </c>
      <c r="Y45" s="60" t="s">
        <v>267</v>
      </c>
      <c r="Z45" s="54"/>
      <c r="AA45" s="54" t="s">
        <v>296</v>
      </c>
      <c r="AB45" s="54"/>
    </row>
    <row r="46" spans="1:28" ht="20.100000000000001" customHeight="1" x14ac:dyDescent="0.25">
      <c r="A46" s="54">
        <v>2088</v>
      </c>
      <c r="B46" s="54">
        <v>3</v>
      </c>
      <c r="C46" s="54" t="s">
        <v>303</v>
      </c>
      <c r="D46" s="54">
        <v>6774</v>
      </c>
      <c r="E46" s="57" t="s">
        <v>298</v>
      </c>
      <c r="F46" s="54">
        <v>1</v>
      </c>
      <c r="G46" s="54" t="s">
        <v>231</v>
      </c>
      <c r="H46" s="54" t="s">
        <v>291</v>
      </c>
      <c r="I46" s="57" t="s">
        <v>77</v>
      </c>
      <c r="J46" s="57" t="s">
        <v>77</v>
      </c>
      <c r="K46" s="54" t="s">
        <v>225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258</v>
      </c>
      <c r="S46" s="59" t="s">
        <v>260</v>
      </c>
      <c r="T46" s="59" t="s">
        <v>261</v>
      </c>
      <c r="U46" s="59" t="s">
        <v>263</v>
      </c>
      <c r="V46" s="59" t="s">
        <v>264</v>
      </c>
      <c r="W46" s="59" t="s">
        <v>265</v>
      </c>
      <c r="X46" s="60" t="s">
        <v>266</v>
      </c>
      <c r="Y46" s="60" t="s">
        <v>267</v>
      </c>
      <c r="Z46" s="54"/>
      <c r="AA46" s="54" t="s">
        <v>296</v>
      </c>
      <c r="AB46" s="54"/>
    </row>
    <row r="47" spans="1:28" ht="20.100000000000001" customHeight="1" x14ac:dyDescent="0.25">
      <c r="A47" s="54">
        <v>2088</v>
      </c>
      <c r="B47" s="54">
        <v>1</v>
      </c>
      <c r="C47" s="54" t="s">
        <v>303</v>
      </c>
      <c r="D47" s="54">
        <v>6772</v>
      </c>
      <c r="E47" s="57" t="s">
        <v>298</v>
      </c>
      <c r="F47" s="54">
        <v>1</v>
      </c>
      <c r="G47" s="54" t="s">
        <v>231</v>
      </c>
      <c r="H47" s="54" t="s">
        <v>291</v>
      </c>
      <c r="I47" s="57" t="s">
        <v>77</v>
      </c>
      <c r="J47" s="57" t="s">
        <v>77</v>
      </c>
      <c r="K47" s="54" t="s">
        <v>225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258</v>
      </c>
      <c r="S47" s="59" t="s">
        <v>260</v>
      </c>
      <c r="T47" s="59" t="s">
        <v>261</v>
      </c>
      <c r="U47" s="59" t="s">
        <v>263</v>
      </c>
      <c r="V47" s="59" t="s">
        <v>264</v>
      </c>
      <c r="W47" s="59" t="s">
        <v>265</v>
      </c>
      <c r="X47" s="60" t="s">
        <v>266</v>
      </c>
      <c r="Y47" s="60" t="s">
        <v>267</v>
      </c>
      <c r="Z47" s="54"/>
      <c r="AA47" s="54" t="s">
        <v>296</v>
      </c>
      <c r="AB47" s="54"/>
    </row>
    <row r="48" spans="1:28" ht="20.100000000000001" customHeight="1" x14ac:dyDescent="0.25">
      <c r="A48" s="54">
        <v>2088</v>
      </c>
      <c r="B48" s="54">
        <v>2</v>
      </c>
      <c r="C48" s="54" t="s">
        <v>303</v>
      </c>
      <c r="D48" s="54">
        <v>6778</v>
      </c>
      <c r="E48" s="57" t="s">
        <v>298</v>
      </c>
      <c r="F48" s="54">
        <v>1</v>
      </c>
      <c r="G48" s="54">
        <v>2200</v>
      </c>
      <c r="H48" s="54" t="s">
        <v>291</v>
      </c>
      <c r="I48" s="57" t="s">
        <v>77</v>
      </c>
      <c r="J48" s="57" t="s">
        <v>77</v>
      </c>
      <c r="K48" s="54" t="s">
        <v>225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258</v>
      </c>
      <c r="S48" s="59" t="s">
        <v>260</v>
      </c>
      <c r="T48" s="59" t="s">
        <v>261</v>
      </c>
      <c r="U48" s="59" t="s">
        <v>263</v>
      </c>
      <c r="V48" s="59" t="s">
        <v>264</v>
      </c>
      <c r="W48" s="59" t="s">
        <v>265</v>
      </c>
      <c r="X48" s="60" t="s">
        <v>266</v>
      </c>
      <c r="Y48" s="60" t="s">
        <v>267</v>
      </c>
      <c r="Z48" s="54"/>
      <c r="AA48" s="54" t="s">
        <v>296</v>
      </c>
      <c r="AB48" s="54"/>
    </row>
    <row r="49" spans="1:28" ht="20.100000000000001" customHeight="1" x14ac:dyDescent="0.25">
      <c r="A49" s="54">
        <v>974</v>
      </c>
      <c r="B49" s="54">
        <v>4</v>
      </c>
      <c r="C49" s="54" t="s">
        <v>303</v>
      </c>
      <c r="D49" s="54" t="s">
        <v>77</v>
      </c>
      <c r="E49" s="57" t="s">
        <v>298</v>
      </c>
      <c r="F49" s="54">
        <v>1</v>
      </c>
      <c r="G49" s="54" t="s">
        <v>231</v>
      </c>
      <c r="H49" s="54" t="s">
        <v>291</v>
      </c>
      <c r="I49" s="57" t="s">
        <v>77</v>
      </c>
      <c r="J49" s="57" t="s">
        <v>77</v>
      </c>
      <c r="K49" s="54" t="s">
        <v>240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426</v>
      </c>
      <c r="S49" s="54" t="s">
        <v>259</v>
      </c>
      <c r="T49" s="54" t="s">
        <v>258</v>
      </c>
      <c r="U49" s="54"/>
      <c r="V49" s="54"/>
      <c r="W49" s="54"/>
      <c r="X49" s="54"/>
      <c r="Y49" s="54"/>
      <c r="Z49" s="54"/>
      <c r="AA49" s="54" t="s">
        <v>305</v>
      </c>
      <c r="AB49" s="54" t="s">
        <v>304</v>
      </c>
    </row>
    <row r="50" spans="1:28" ht="20.100000000000001" customHeight="1" x14ac:dyDescent="0.25">
      <c r="A50" s="54">
        <v>1006</v>
      </c>
      <c r="B50" s="54">
        <v>3</v>
      </c>
      <c r="C50" s="54" t="s">
        <v>306</v>
      </c>
      <c r="D50" s="54" t="s">
        <v>77</v>
      </c>
      <c r="E50" s="57" t="s">
        <v>298</v>
      </c>
      <c r="F50" s="54">
        <v>1</v>
      </c>
      <c r="G50" s="54" t="s">
        <v>307</v>
      </c>
      <c r="H50" s="54" t="s">
        <v>291</v>
      </c>
      <c r="I50" s="57" t="s">
        <v>77</v>
      </c>
      <c r="J50" s="57" t="s">
        <v>77</v>
      </c>
      <c r="K50" s="54" t="s">
        <v>240</v>
      </c>
      <c r="L50" s="54"/>
      <c r="M50" s="54" t="s">
        <v>77</v>
      </c>
      <c r="N50" s="54" t="s">
        <v>77</v>
      </c>
      <c r="O50" s="55">
        <v>46191</v>
      </c>
      <c r="P50" s="54" t="s">
        <v>69</v>
      </c>
      <c r="Q50" s="54" t="s">
        <v>69</v>
      </c>
      <c r="R50" s="56" t="s">
        <v>426</v>
      </c>
      <c r="S50" s="56" t="s">
        <v>259</v>
      </c>
      <c r="T50" s="56" t="s">
        <v>258</v>
      </c>
      <c r="U50" s="54"/>
      <c r="V50" s="54"/>
      <c r="W50" s="54"/>
      <c r="X50" s="54"/>
      <c r="Y50" s="54"/>
      <c r="Z50" s="54"/>
      <c r="AA50" s="54" t="s">
        <v>295</v>
      </c>
      <c r="AB50" s="54" t="s">
        <v>101</v>
      </c>
    </row>
    <row r="51" spans="1:28" ht="20.100000000000001" customHeight="1" x14ac:dyDescent="0.25">
      <c r="A51" s="54">
        <v>1006</v>
      </c>
      <c r="B51" s="54">
        <v>4</v>
      </c>
      <c r="C51" s="54" t="s">
        <v>306</v>
      </c>
      <c r="D51" s="54" t="s">
        <v>77</v>
      </c>
      <c r="E51" s="57" t="s">
        <v>298</v>
      </c>
      <c r="F51" s="54">
        <v>1</v>
      </c>
      <c r="G51" s="54" t="s">
        <v>308</v>
      </c>
      <c r="H51" s="54" t="s">
        <v>291</v>
      </c>
      <c r="I51" s="57" t="s">
        <v>77</v>
      </c>
      <c r="J51" s="57" t="s">
        <v>77</v>
      </c>
      <c r="K51" s="54" t="s">
        <v>240</v>
      </c>
      <c r="L51" s="54"/>
      <c r="M51" s="54" t="s">
        <v>77</v>
      </c>
      <c r="N51" s="54" t="s">
        <v>77</v>
      </c>
      <c r="O51" s="55">
        <v>46191</v>
      </c>
      <c r="P51" s="54" t="s">
        <v>69</v>
      </c>
      <c r="Q51" s="54" t="s">
        <v>69</v>
      </c>
      <c r="R51" s="56" t="s">
        <v>426</v>
      </c>
      <c r="S51" s="56" t="s">
        <v>259</v>
      </c>
      <c r="T51" s="56" t="s">
        <v>258</v>
      </c>
      <c r="U51" s="54"/>
      <c r="V51" s="54"/>
      <c r="W51" s="54"/>
      <c r="X51" s="54"/>
      <c r="Y51" s="54"/>
      <c r="Z51" s="54"/>
      <c r="AA51" s="54" t="s">
        <v>295</v>
      </c>
      <c r="AB51" s="54" t="s">
        <v>101</v>
      </c>
    </row>
    <row r="52" spans="1:28" ht="20.100000000000001" customHeight="1" x14ac:dyDescent="0.25">
      <c r="A52" s="54">
        <v>2098</v>
      </c>
      <c r="B52" s="54">
        <v>1</v>
      </c>
      <c r="C52" s="54" t="s">
        <v>309</v>
      </c>
      <c r="D52" s="54">
        <v>6746</v>
      </c>
      <c r="E52" s="57" t="s">
        <v>298</v>
      </c>
      <c r="F52" s="54">
        <v>1</v>
      </c>
      <c r="G52" s="54" t="s">
        <v>308</v>
      </c>
      <c r="H52" s="54" t="s">
        <v>292</v>
      </c>
      <c r="I52" s="57" t="s">
        <v>77</v>
      </c>
      <c r="J52" s="57" t="s">
        <v>77</v>
      </c>
      <c r="K52" s="54" t="s">
        <v>225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258</v>
      </c>
      <c r="S52" s="59" t="s">
        <v>260</v>
      </c>
      <c r="T52" s="59" t="s">
        <v>261</v>
      </c>
      <c r="U52" s="59" t="s">
        <v>263</v>
      </c>
      <c r="V52" s="59" t="s">
        <v>264</v>
      </c>
      <c r="W52" s="59" t="s">
        <v>265</v>
      </c>
      <c r="X52" s="60" t="s">
        <v>266</v>
      </c>
      <c r="Y52" s="60" t="s">
        <v>267</v>
      </c>
      <c r="Z52" s="54"/>
      <c r="AA52" s="54" t="s">
        <v>296</v>
      </c>
      <c r="AB52" s="54"/>
    </row>
    <row r="53" spans="1:28" ht="20.100000000000001" customHeight="1" x14ac:dyDescent="0.25">
      <c r="A53" s="54">
        <v>2080</v>
      </c>
      <c r="B53" s="54">
        <v>2</v>
      </c>
      <c r="C53" s="54" t="s">
        <v>310</v>
      </c>
      <c r="D53" s="54">
        <v>6726</v>
      </c>
      <c r="E53" s="57" t="s">
        <v>298</v>
      </c>
      <c r="F53" s="54">
        <v>1</v>
      </c>
      <c r="G53" s="54" t="s">
        <v>308</v>
      </c>
      <c r="H53" s="54" t="s">
        <v>292</v>
      </c>
      <c r="I53" s="57" t="s">
        <v>77</v>
      </c>
      <c r="J53" s="57" t="s">
        <v>77</v>
      </c>
      <c r="K53" s="54" t="s">
        <v>225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258</v>
      </c>
      <c r="S53" s="59" t="s">
        <v>260</v>
      </c>
      <c r="T53" s="59" t="s">
        <v>261</v>
      </c>
      <c r="U53" s="59" t="s">
        <v>263</v>
      </c>
      <c r="V53" s="59" t="s">
        <v>264</v>
      </c>
      <c r="W53" s="59" t="s">
        <v>265</v>
      </c>
      <c r="X53" s="59" t="s">
        <v>266</v>
      </c>
      <c r="Y53" s="59" t="s">
        <v>267</v>
      </c>
      <c r="Z53" s="54"/>
      <c r="AA53" s="54" t="s">
        <v>295</v>
      </c>
      <c r="AB53" s="54" t="s">
        <v>101</v>
      </c>
    </row>
    <row r="54" spans="1:28" ht="20.100000000000001" customHeight="1" x14ac:dyDescent="0.25">
      <c r="A54" s="54">
        <v>2080</v>
      </c>
      <c r="B54" s="54">
        <v>1</v>
      </c>
      <c r="C54" s="54" t="s">
        <v>310</v>
      </c>
      <c r="D54" s="54">
        <v>6725</v>
      </c>
      <c r="E54" s="57" t="s">
        <v>298</v>
      </c>
      <c r="F54" s="54">
        <v>1</v>
      </c>
      <c r="G54" s="54" t="s">
        <v>308</v>
      </c>
      <c r="H54" s="54" t="s">
        <v>292</v>
      </c>
      <c r="I54" s="57" t="s">
        <v>77</v>
      </c>
      <c r="J54" s="57" t="s">
        <v>77</v>
      </c>
      <c r="K54" s="54" t="s">
        <v>225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258</v>
      </c>
      <c r="S54" s="59" t="s">
        <v>260</v>
      </c>
      <c r="T54" s="59" t="s">
        <v>261</v>
      </c>
      <c r="U54" s="59" t="s">
        <v>263</v>
      </c>
      <c r="V54" s="59" t="s">
        <v>264</v>
      </c>
      <c r="W54" s="59" t="s">
        <v>265</v>
      </c>
      <c r="X54" s="59" t="s">
        <v>266</v>
      </c>
      <c r="Y54" s="59" t="s">
        <v>267</v>
      </c>
      <c r="Z54" s="54"/>
      <c r="AA54" s="54" t="s">
        <v>295</v>
      </c>
      <c r="AB54" s="54" t="s">
        <v>101</v>
      </c>
    </row>
    <row r="55" spans="1:28" ht="20.100000000000001" customHeight="1" x14ac:dyDescent="0.25">
      <c r="A55" s="61" t="s">
        <v>317</v>
      </c>
      <c r="B55" s="57">
        <v>3</v>
      </c>
      <c r="C55" s="57" t="s">
        <v>311</v>
      </c>
      <c r="D55" s="61">
        <v>6751</v>
      </c>
      <c r="E55" s="57" t="s">
        <v>298</v>
      </c>
      <c r="F55" s="57">
        <v>1</v>
      </c>
      <c r="G55" s="54" t="s">
        <v>308</v>
      </c>
      <c r="H55" s="54" t="s">
        <v>292</v>
      </c>
      <c r="I55" s="57" t="s">
        <v>77</v>
      </c>
      <c r="J55" s="57" t="s">
        <v>77</v>
      </c>
      <c r="K55" s="54" t="s">
        <v>225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258</v>
      </c>
      <c r="S55" s="57" t="s">
        <v>260</v>
      </c>
      <c r="T55" s="57" t="s">
        <v>261</v>
      </c>
      <c r="U55" s="57" t="s">
        <v>263</v>
      </c>
      <c r="V55" s="57" t="s">
        <v>264</v>
      </c>
      <c r="W55" s="57" t="s">
        <v>265</v>
      </c>
      <c r="X55" s="57" t="s">
        <v>266</v>
      </c>
      <c r="Y55" s="57" t="s">
        <v>267</v>
      </c>
      <c r="Z55" s="54"/>
      <c r="AA55" s="54"/>
      <c r="AB55" s="54"/>
    </row>
    <row r="56" spans="1:28" ht="20.100000000000001" customHeight="1" x14ac:dyDescent="0.25">
      <c r="A56" s="61" t="s">
        <v>318</v>
      </c>
      <c r="B56" s="57">
        <v>1</v>
      </c>
      <c r="C56" s="57" t="s">
        <v>311</v>
      </c>
      <c r="D56" s="61">
        <v>6749</v>
      </c>
      <c r="E56" s="57" t="s">
        <v>298</v>
      </c>
      <c r="F56" s="57">
        <v>1</v>
      </c>
      <c r="G56" s="54" t="s">
        <v>308</v>
      </c>
      <c r="H56" s="54" t="s">
        <v>292</v>
      </c>
      <c r="I56" s="57" t="s">
        <v>77</v>
      </c>
      <c r="J56" s="57" t="s">
        <v>77</v>
      </c>
      <c r="K56" s="54" t="s">
        <v>225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258</v>
      </c>
      <c r="S56" s="57" t="s">
        <v>260</v>
      </c>
      <c r="T56" s="57" t="s">
        <v>261</v>
      </c>
      <c r="U56" s="57" t="s">
        <v>263</v>
      </c>
      <c r="V56" s="57" t="s">
        <v>264</v>
      </c>
      <c r="W56" s="57" t="s">
        <v>265</v>
      </c>
      <c r="X56" s="57" t="s">
        <v>266</v>
      </c>
      <c r="Y56" s="57" t="s">
        <v>267</v>
      </c>
      <c r="Z56" s="54"/>
      <c r="AA56" s="54"/>
      <c r="AB56" s="54"/>
    </row>
    <row r="57" spans="1:28" ht="20.100000000000001" customHeight="1" x14ac:dyDescent="0.25">
      <c r="A57" s="61" t="s">
        <v>319</v>
      </c>
      <c r="B57" s="57">
        <v>2</v>
      </c>
      <c r="C57" s="57" t="s">
        <v>311</v>
      </c>
      <c r="D57" s="61">
        <v>6750</v>
      </c>
      <c r="E57" s="57" t="s">
        <v>298</v>
      </c>
      <c r="F57" s="57">
        <v>1</v>
      </c>
      <c r="G57" s="57" t="s">
        <v>308</v>
      </c>
      <c r="H57" s="57" t="s">
        <v>292</v>
      </c>
      <c r="I57" s="57" t="s">
        <v>77</v>
      </c>
      <c r="J57" s="57" t="s">
        <v>77</v>
      </c>
      <c r="K57" s="54" t="s">
        <v>225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258</v>
      </c>
      <c r="S57" s="57" t="s">
        <v>260</v>
      </c>
      <c r="T57" s="57" t="s">
        <v>261</v>
      </c>
      <c r="U57" s="57" t="s">
        <v>263</v>
      </c>
      <c r="V57" s="57" t="s">
        <v>264</v>
      </c>
      <c r="W57" s="57" t="s">
        <v>265</v>
      </c>
      <c r="X57" s="57" t="s">
        <v>266</v>
      </c>
      <c r="Y57" s="57" t="s">
        <v>267</v>
      </c>
      <c r="Z57" s="54"/>
      <c r="AA57" s="54"/>
      <c r="AB57" s="54"/>
    </row>
    <row r="58" spans="1:28" ht="20.100000000000001" customHeight="1" x14ac:dyDescent="0.25">
      <c r="A58" s="61" t="s">
        <v>320</v>
      </c>
      <c r="B58" s="57">
        <v>31</v>
      </c>
      <c r="C58" s="57" t="s">
        <v>311</v>
      </c>
      <c r="D58" s="61" t="s">
        <v>77</v>
      </c>
      <c r="E58" s="57" t="s">
        <v>298</v>
      </c>
      <c r="F58" s="57">
        <v>1</v>
      </c>
      <c r="G58" s="57" t="s">
        <v>308</v>
      </c>
      <c r="H58" s="61" t="s">
        <v>291</v>
      </c>
      <c r="I58" s="57" t="s">
        <v>77</v>
      </c>
      <c r="J58" s="57" t="s">
        <v>77</v>
      </c>
      <c r="K58" s="54" t="s">
        <v>225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258</v>
      </c>
      <c r="S58" s="54" t="s">
        <v>261</v>
      </c>
      <c r="T58" s="54" t="s">
        <v>266</v>
      </c>
      <c r="U58" s="54" t="s">
        <v>267</v>
      </c>
      <c r="V58" s="54"/>
      <c r="W58" s="54"/>
      <c r="X58" s="54"/>
      <c r="Y58" s="54"/>
      <c r="Z58" s="54"/>
      <c r="AA58" s="54" t="s">
        <v>229</v>
      </c>
      <c r="AB58" s="54"/>
    </row>
    <row r="59" spans="1:28" ht="20.100000000000001" customHeight="1" x14ac:dyDescent="0.25">
      <c r="A59" s="61" t="s">
        <v>321</v>
      </c>
      <c r="B59" s="57">
        <v>2</v>
      </c>
      <c r="C59" s="57" t="s">
        <v>312</v>
      </c>
      <c r="D59" s="61">
        <v>6731</v>
      </c>
      <c r="E59" s="57" t="s">
        <v>298</v>
      </c>
      <c r="F59" s="57">
        <v>1</v>
      </c>
      <c r="G59" s="63">
        <v>2000</v>
      </c>
      <c r="H59" s="57" t="s">
        <v>292</v>
      </c>
      <c r="I59" s="57" t="s">
        <v>77</v>
      </c>
      <c r="J59" s="57" t="s">
        <v>77</v>
      </c>
      <c r="K59" s="54" t="s">
        <v>225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258</v>
      </c>
      <c r="S59" s="57" t="s">
        <v>260</v>
      </c>
      <c r="T59" s="57" t="s">
        <v>261</v>
      </c>
      <c r="U59" s="57" t="s">
        <v>263</v>
      </c>
      <c r="V59" s="57" t="s">
        <v>264</v>
      </c>
      <c r="W59" s="57" t="s">
        <v>265</v>
      </c>
      <c r="X59" s="57" t="s">
        <v>266</v>
      </c>
      <c r="Y59" s="57" t="s">
        <v>267</v>
      </c>
      <c r="Z59" s="54"/>
      <c r="AA59" s="54"/>
      <c r="AB59" s="54"/>
    </row>
    <row r="60" spans="1:28" ht="20.100000000000001" customHeight="1" x14ac:dyDescent="0.25">
      <c r="A60" s="61" t="s">
        <v>322</v>
      </c>
      <c r="B60" s="57">
        <v>1</v>
      </c>
      <c r="C60" s="57" t="s">
        <v>312</v>
      </c>
      <c r="D60" s="61">
        <v>6732</v>
      </c>
      <c r="E60" s="57" t="s">
        <v>298</v>
      </c>
      <c r="F60" s="57">
        <v>1</v>
      </c>
      <c r="G60" s="63">
        <v>2000</v>
      </c>
      <c r="H60" s="61" t="s">
        <v>291</v>
      </c>
      <c r="I60" s="57" t="s">
        <v>77</v>
      </c>
      <c r="J60" s="57" t="s">
        <v>77</v>
      </c>
      <c r="K60" s="54" t="s">
        <v>225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258</v>
      </c>
      <c r="S60" s="54" t="s">
        <v>261</v>
      </c>
      <c r="T60" s="54" t="s">
        <v>266</v>
      </c>
      <c r="U60" s="54" t="s">
        <v>267</v>
      </c>
      <c r="V60" s="54"/>
      <c r="W60" s="54"/>
      <c r="X60" s="54"/>
      <c r="Y60" s="54"/>
      <c r="Z60" s="54"/>
      <c r="AA60" s="54"/>
      <c r="AB60" s="54"/>
    </row>
    <row r="61" spans="1:28" ht="20.100000000000001" customHeight="1" x14ac:dyDescent="0.25">
      <c r="A61" s="61" t="s">
        <v>323</v>
      </c>
      <c r="B61" s="57">
        <v>3</v>
      </c>
      <c r="C61" s="57" t="s">
        <v>313</v>
      </c>
      <c r="D61" s="61">
        <v>6775</v>
      </c>
      <c r="E61" s="57" t="s">
        <v>298</v>
      </c>
      <c r="F61" s="57">
        <v>1</v>
      </c>
      <c r="G61" s="57" t="s">
        <v>299</v>
      </c>
      <c r="H61" s="57" t="s">
        <v>292</v>
      </c>
      <c r="I61" s="57" t="s">
        <v>77</v>
      </c>
      <c r="J61" s="57" t="s">
        <v>77</v>
      </c>
      <c r="K61" s="54" t="s">
        <v>225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258</v>
      </c>
      <c r="S61" s="57" t="s">
        <v>260</v>
      </c>
      <c r="T61" s="57" t="s">
        <v>261</v>
      </c>
      <c r="U61" s="57" t="s">
        <v>263</v>
      </c>
      <c r="V61" s="57" t="s">
        <v>264</v>
      </c>
      <c r="W61" s="57" t="s">
        <v>265</v>
      </c>
      <c r="X61" s="57" t="s">
        <v>266</v>
      </c>
      <c r="Y61" s="57" t="s">
        <v>267</v>
      </c>
      <c r="Z61" s="54"/>
      <c r="AA61" s="54"/>
      <c r="AB61" s="54"/>
    </row>
    <row r="62" spans="1:28" ht="20.100000000000001" customHeight="1" x14ac:dyDescent="0.25">
      <c r="A62" s="61" t="s">
        <v>324</v>
      </c>
      <c r="B62" s="57">
        <v>1</v>
      </c>
      <c r="C62" s="57" t="s">
        <v>313</v>
      </c>
      <c r="D62" s="61">
        <v>6767</v>
      </c>
      <c r="E62" s="57" t="s">
        <v>298</v>
      </c>
      <c r="F62" s="57">
        <v>1</v>
      </c>
      <c r="G62" s="57" t="s">
        <v>299</v>
      </c>
      <c r="H62" s="61" t="s">
        <v>293</v>
      </c>
      <c r="I62" s="57" t="s">
        <v>77</v>
      </c>
      <c r="J62" s="57" t="s">
        <v>77</v>
      </c>
      <c r="K62" s="54" t="s">
        <v>225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258</v>
      </c>
      <c r="S62" s="54" t="s">
        <v>261</v>
      </c>
      <c r="T62" s="54" t="s">
        <v>266</v>
      </c>
      <c r="U62" s="54" t="s">
        <v>267</v>
      </c>
      <c r="V62" s="54"/>
      <c r="W62" s="54"/>
      <c r="X62" s="54"/>
      <c r="Y62" s="54"/>
      <c r="Z62" s="54"/>
      <c r="AA62" s="54"/>
      <c r="AB62" s="54"/>
    </row>
    <row r="63" spans="1:28" ht="20.100000000000001" customHeight="1" x14ac:dyDescent="0.25">
      <c r="A63" s="61" t="s">
        <v>325</v>
      </c>
      <c r="B63" s="57">
        <v>2</v>
      </c>
      <c r="C63" s="57" t="s">
        <v>313</v>
      </c>
      <c r="D63" s="61">
        <v>6768</v>
      </c>
      <c r="E63" s="57" t="s">
        <v>298</v>
      </c>
      <c r="F63" s="57">
        <v>1</v>
      </c>
      <c r="G63" s="57" t="s">
        <v>299</v>
      </c>
      <c r="H63" s="57" t="s">
        <v>292</v>
      </c>
      <c r="I63" s="57" t="s">
        <v>77</v>
      </c>
      <c r="J63" s="57" t="s">
        <v>77</v>
      </c>
      <c r="K63" s="54" t="s">
        <v>225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258</v>
      </c>
      <c r="S63" s="57" t="s">
        <v>260</v>
      </c>
      <c r="T63" s="57" t="s">
        <v>261</v>
      </c>
      <c r="U63" s="57" t="s">
        <v>263</v>
      </c>
      <c r="V63" s="57" t="s">
        <v>264</v>
      </c>
      <c r="W63" s="57" t="s">
        <v>265</v>
      </c>
      <c r="X63" s="57" t="s">
        <v>266</v>
      </c>
      <c r="Y63" s="57" t="s">
        <v>267</v>
      </c>
      <c r="Z63" s="54"/>
      <c r="AA63" s="54"/>
      <c r="AB63" s="54"/>
    </row>
    <row r="64" spans="1:28" ht="20.100000000000001" customHeight="1" x14ac:dyDescent="0.25">
      <c r="A64" s="61" t="s">
        <v>326</v>
      </c>
      <c r="B64" s="57">
        <v>2</v>
      </c>
      <c r="C64" s="57" t="s">
        <v>314</v>
      </c>
      <c r="D64" s="61">
        <v>6763</v>
      </c>
      <c r="E64" s="57" t="s">
        <v>298</v>
      </c>
      <c r="F64" s="57">
        <v>1</v>
      </c>
      <c r="G64" s="57" t="s">
        <v>308</v>
      </c>
      <c r="H64" s="57" t="s">
        <v>292</v>
      </c>
      <c r="I64" s="57" t="s">
        <v>77</v>
      </c>
      <c r="J64" s="57" t="s">
        <v>77</v>
      </c>
      <c r="K64" s="54" t="s">
        <v>225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258</v>
      </c>
      <c r="S64" s="57" t="s">
        <v>260</v>
      </c>
      <c r="T64" s="57" t="s">
        <v>261</v>
      </c>
      <c r="U64" s="57" t="s">
        <v>263</v>
      </c>
      <c r="V64" s="57" t="s">
        <v>264</v>
      </c>
      <c r="W64" s="57" t="s">
        <v>265</v>
      </c>
      <c r="X64" s="57" t="s">
        <v>266</v>
      </c>
      <c r="Y64" s="57" t="s">
        <v>267</v>
      </c>
      <c r="Z64" s="54"/>
      <c r="AA64" s="54"/>
      <c r="AB64" s="54"/>
    </row>
    <row r="65" spans="1:28" ht="20.100000000000001" customHeight="1" x14ac:dyDescent="0.25">
      <c r="A65" s="61" t="s">
        <v>327</v>
      </c>
      <c r="B65" s="57">
        <v>1</v>
      </c>
      <c r="C65" s="57" t="s">
        <v>314</v>
      </c>
      <c r="D65" s="61">
        <v>6729</v>
      </c>
      <c r="E65" s="57" t="s">
        <v>298</v>
      </c>
      <c r="F65" s="57">
        <v>1</v>
      </c>
      <c r="G65" s="57" t="s">
        <v>341</v>
      </c>
      <c r="H65" s="61" t="s">
        <v>293</v>
      </c>
      <c r="I65" s="57" t="s">
        <v>77</v>
      </c>
      <c r="J65" s="57" t="s">
        <v>77</v>
      </c>
      <c r="K65" s="54" t="s">
        <v>225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258</v>
      </c>
      <c r="S65" s="54" t="s">
        <v>261</v>
      </c>
      <c r="T65" s="54" t="s">
        <v>266</v>
      </c>
      <c r="U65" s="54" t="s">
        <v>267</v>
      </c>
      <c r="V65" s="54"/>
      <c r="W65" s="54"/>
      <c r="X65" s="54"/>
      <c r="Y65" s="54"/>
      <c r="Z65" s="54"/>
      <c r="AA65" s="54"/>
      <c r="AB65" s="54"/>
    </row>
    <row r="66" spans="1:28" ht="20.100000000000001" customHeight="1" x14ac:dyDescent="0.25">
      <c r="A66" s="61" t="s">
        <v>328</v>
      </c>
      <c r="B66" s="57">
        <v>1</v>
      </c>
      <c r="C66" s="57" t="s">
        <v>315</v>
      </c>
      <c r="D66" s="61">
        <v>6733</v>
      </c>
      <c r="E66" s="57" t="s">
        <v>298</v>
      </c>
      <c r="F66" s="57">
        <v>1</v>
      </c>
      <c r="G66" s="57" t="s">
        <v>342</v>
      </c>
      <c r="H66" s="61" t="s">
        <v>293</v>
      </c>
      <c r="I66" s="57" t="s">
        <v>77</v>
      </c>
      <c r="J66" s="57" t="s">
        <v>77</v>
      </c>
      <c r="K66" s="54" t="s">
        <v>225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258</v>
      </c>
      <c r="S66" s="54" t="s">
        <v>261</v>
      </c>
      <c r="T66" s="54" t="s">
        <v>266</v>
      </c>
      <c r="U66" s="54" t="s">
        <v>267</v>
      </c>
      <c r="V66" s="54"/>
      <c r="W66" s="54"/>
      <c r="X66" s="54"/>
      <c r="Y66" s="54"/>
      <c r="Z66" s="54"/>
      <c r="AA66" s="54"/>
      <c r="AB66" s="54"/>
    </row>
    <row r="67" spans="1:28" ht="20.100000000000001" customHeight="1" x14ac:dyDescent="0.25">
      <c r="A67" s="61" t="s">
        <v>329</v>
      </c>
      <c r="B67" s="57">
        <v>2</v>
      </c>
      <c r="C67" s="57" t="s">
        <v>315</v>
      </c>
      <c r="D67" s="61">
        <v>6779</v>
      </c>
      <c r="E67" s="57" t="s">
        <v>298</v>
      </c>
      <c r="F67" s="57">
        <v>1</v>
      </c>
      <c r="G67" s="63">
        <v>2100</v>
      </c>
      <c r="H67" s="57" t="s">
        <v>292</v>
      </c>
      <c r="I67" s="57" t="s">
        <v>77</v>
      </c>
      <c r="J67" s="57" t="s">
        <v>77</v>
      </c>
      <c r="K67" s="54" t="s">
        <v>225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258</v>
      </c>
      <c r="S67" s="57" t="s">
        <v>260</v>
      </c>
      <c r="T67" s="57" t="s">
        <v>261</v>
      </c>
      <c r="U67" s="57" t="s">
        <v>263</v>
      </c>
      <c r="V67" s="57" t="s">
        <v>264</v>
      </c>
      <c r="W67" s="57" t="s">
        <v>265</v>
      </c>
      <c r="X67" s="57" t="s">
        <v>266</v>
      </c>
      <c r="Y67" s="57" t="s">
        <v>267</v>
      </c>
      <c r="Z67" s="54"/>
      <c r="AA67" s="54"/>
      <c r="AB67" s="54"/>
    </row>
    <row r="68" spans="1:28" ht="20.100000000000001" customHeight="1" x14ac:dyDescent="0.25">
      <c r="A68" s="61" t="s">
        <v>330</v>
      </c>
      <c r="B68" s="57">
        <v>8</v>
      </c>
      <c r="C68" s="57" t="s">
        <v>316</v>
      </c>
      <c r="D68" s="61">
        <v>6759</v>
      </c>
      <c r="E68" s="57" t="s">
        <v>298</v>
      </c>
      <c r="F68" s="57">
        <v>1</v>
      </c>
      <c r="G68" s="57" t="s">
        <v>308</v>
      </c>
      <c r="H68" s="57" t="s">
        <v>292</v>
      </c>
      <c r="I68" s="57" t="s">
        <v>77</v>
      </c>
      <c r="J68" s="57" t="s">
        <v>77</v>
      </c>
      <c r="K68" s="54" t="s">
        <v>225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258</v>
      </c>
      <c r="S68" s="57" t="s">
        <v>260</v>
      </c>
      <c r="T68" s="57" t="s">
        <v>261</v>
      </c>
      <c r="U68" s="57" t="s">
        <v>263</v>
      </c>
      <c r="V68" s="57" t="s">
        <v>264</v>
      </c>
      <c r="W68" s="57" t="s">
        <v>265</v>
      </c>
      <c r="X68" s="57" t="s">
        <v>266</v>
      </c>
      <c r="Y68" s="57" t="s">
        <v>267</v>
      </c>
      <c r="Z68" s="54"/>
      <c r="AA68" s="54"/>
      <c r="AB68" s="54"/>
    </row>
    <row r="69" spans="1:28" ht="20.100000000000001" customHeight="1" x14ac:dyDescent="0.25">
      <c r="A69" s="61" t="s">
        <v>331</v>
      </c>
      <c r="B69" s="57">
        <v>3</v>
      </c>
      <c r="C69" s="57" t="s">
        <v>316</v>
      </c>
      <c r="D69" s="61">
        <v>6754</v>
      </c>
      <c r="E69" s="57" t="s">
        <v>298</v>
      </c>
      <c r="F69" s="57">
        <v>1</v>
      </c>
      <c r="G69" s="57" t="s">
        <v>308</v>
      </c>
      <c r="H69" s="57" t="s">
        <v>292</v>
      </c>
      <c r="I69" s="57" t="s">
        <v>77</v>
      </c>
      <c r="J69" s="57" t="s">
        <v>77</v>
      </c>
      <c r="K69" s="54" t="s">
        <v>225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258</v>
      </c>
      <c r="S69" s="57" t="s">
        <v>260</v>
      </c>
      <c r="T69" s="57" t="s">
        <v>261</v>
      </c>
      <c r="U69" s="57" t="s">
        <v>263</v>
      </c>
      <c r="V69" s="57" t="s">
        <v>264</v>
      </c>
      <c r="W69" s="57" t="s">
        <v>265</v>
      </c>
      <c r="X69" s="57" t="s">
        <v>266</v>
      </c>
      <c r="Y69" s="57" t="s">
        <v>267</v>
      </c>
      <c r="Z69" s="54"/>
      <c r="AA69" s="54"/>
      <c r="AB69" s="54"/>
    </row>
    <row r="70" spans="1:28" ht="20.100000000000001" customHeight="1" x14ac:dyDescent="0.25">
      <c r="A70" s="61" t="s">
        <v>332</v>
      </c>
      <c r="B70" s="57">
        <v>9</v>
      </c>
      <c r="C70" s="57" t="s">
        <v>316</v>
      </c>
      <c r="D70" s="61">
        <v>6760</v>
      </c>
      <c r="E70" s="57" t="s">
        <v>298</v>
      </c>
      <c r="F70" s="57">
        <v>1</v>
      </c>
      <c r="G70" s="57" t="s">
        <v>308</v>
      </c>
      <c r="H70" s="57" t="s">
        <v>292</v>
      </c>
      <c r="I70" s="57" t="s">
        <v>77</v>
      </c>
      <c r="J70" s="57" t="s">
        <v>77</v>
      </c>
      <c r="K70" s="54" t="s">
        <v>225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258</v>
      </c>
      <c r="S70" s="57" t="s">
        <v>260</v>
      </c>
      <c r="T70" s="57" t="s">
        <v>261</v>
      </c>
      <c r="U70" s="57" t="s">
        <v>263</v>
      </c>
      <c r="V70" s="57" t="s">
        <v>264</v>
      </c>
      <c r="W70" s="57" t="s">
        <v>265</v>
      </c>
      <c r="X70" s="57" t="s">
        <v>266</v>
      </c>
      <c r="Y70" s="57" t="s">
        <v>267</v>
      </c>
      <c r="Z70" s="54"/>
      <c r="AA70" s="54"/>
      <c r="AB70" s="54"/>
    </row>
    <row r="71" spans="1:28" ht="20.100000000000001" customHeight="1" x14ac:dyDescent="0.25">
      <c r="A71" s="61" t="s">
        <v>333</v>
      </c>
      <c r="B71" s="57">
        <v>4</v>
      </c>
      <c r="C71" s="57" t="s">
        <v>316</v>
      </c>
      <c r="D71" s="61">
        <v>6755</v>
      </c>
      <c r="E71" s="57" t="s">
        <v>298</v>
      </c>
      <c r="F71" s="57">
        <v>1</v>
      </c>
      <c r="G71" s="57" t="s">
        <v>308</v>
      </c>
      <c r="H71" s="57" t="s">
        <v>292</v>
      </c>
      <c r="I71" s="57" t="s">
        <v>77</v>
      </c>
      <c r="J71" s="57" t="s">
        <v>77</v>
      </c>
      <c r="K71" s="54" t="s">
        <v>225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258</v>
      </c>
      <c r="S71" s="57" t="s">
        <v>260</v>
      </c>
      <c r="T71" s="57" t="s">
        <v>261</v>
      </c>
      <c r="U71" s="57" t="s">
        <v>263</v>
      </c>
      <c r="V71" s="57" t="s">
        <v>264</v>
      </c>
      <c r="W71" s="57" t="s">
        <v>265</v>
      </c>
      <c r="X71" s="57" t="s">
        <v>266</v>
      </c>
      <c r="Y71" s="57" t="s">
        <v>267</v>
      </c>
      <c r="Z71" s="54"/>
      <c r="AA71" s="54"/>
      <c r="AB71" s="54"/>
    </row>
    <row r="72" spans="1:28" ht="20.100000000000001" customHeight="1" x14ac:dyDescent="0.25">
      <c r="A72" s="61" t="s">
        <v>334</v>
      </c>
      <c r="B72" s="57">
        <v>7</v>
      </c>
      <c r="C72" s="57" t="s">
        <v>316</v>
      </c>
      <c r="D72" s="61">
        <v>6758</v>
      </c>
      <c r="E72" s="57" t="s">
        <v>298</v>
      </c>
      <c r="F72" s="57">
        <v>1</v>
      </c>
      <c r="G72" s="57" t="s">
        <v>308</v>
      </c>
      <c r="H72" s="57" t="s">
        <v>292</v>
      </c>
      <c r="I72" s="57" t="s">
        <v>77</v>
      </c>
      <c r="J72" s="57" t="s">
        <v>77</v>
      </c>
      <c r="K72" s="54" t="s">
        <v>225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258</v>
      </c>
      <c r="S72" s="57" t="s">
        <v>260</v>
      </c>
      <c r="T72" s="57" t="s">
        <v>261</v>
      </c>
      <c r="U72" s="57" t="s">
        <v>263</v>
      </c>
      <c r="V72" s="57" t="s">
        <v>264</v>
      </c>
      <c r="W72" s="57" t="s">
        <v>265</v>
      </c>
      <c r="X72" s="57" t="s">
        <v>266</v>
      </c>
      <c r="Y72" s="57" t="s">
        <v>267</v>
      </c>
      <c r="Z72" s="54"/>
      <c r="AA72" s="54"/>
      <c r="AB72" s="54"/>
    </row>
    <row r="73" spans="1:28" ht="20.100000000000001" customHeight="1" x14ac:dyDescent="0.25">
      <c r="A73" s="61" t="s">
        <v>335</v>
      </c>
      <c r="B73" s="57">
        <v>6</v>
      </c>
      <c r="C73" s="57" t="s">
        <v>316</v>
      </c>
      <c r="D73" s="61">
        <v>6757</v>
      </c>
      <c r="E73" s="57" t="s">
        <v>298</v>
      </c>
      <c r="F73" s="57">
        <v>1</v>
      </c>
      <c r="G73" s="57" t="s">
        <v>308</v>
      </c>
      <c r="H73" s="57" t="s">
        <v>292</v>
      </c>
      <c r="I73" s="57" t="s">
        <v>77</v>
      </c>
      <c r="J73" s="57" t="s">
        <v>77</v>
      </c>
      <c r="K73" s="54" t="s">
        <v>225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258</v>
      </c>
      <c r="S73" s="57" t="s">
        <v>260</v>
      </c>
      <c r="T73" s="57" t="s">
        <v>261</v>
      </c>
      <c r="U73" s="57" t="s">
        <v>263</v>
      </c>
      <c r="V73" s="57" t="s">
        <v>264</v>
      </c>
      <c r="W73" s="57" t="s">
        <v>265</v>
      </c>
      <c r="X73" s="57" t="s">
        <v>266</v>
      </c>
      <c r="Y73" s="57" t="s">
        <v>267</v>
      </c>
      <c r="Z73" s="54"/>
      <c r="AA73" s="54"/>
      <c r="AB73" s="54"/>
    </row>
    <row r="74" spans="1:28" ht="20.100000000000001" customHeight="1" x14ac:dyDescent="0.25">
      <c r="A74" s="61" t="s">
        <v>336</v>
      </c>
      <c r="B74" s="57">
        <v>2</v>
      </c>
      <c r="C74" s="57" t="s">
        <v>316</v>
      </c>
      <c r="D74" s="61">
        <v>6753</v>
      </c>
      <c r="E74" s="57" t="s">
        <v>298</v>
      </c>
      <c r="F74" s="57">
        <v>1</v>
      </c>
      <c r="G74" s="57" t="s">
        <v>299</v>
      </c>
      <c r="H74" s="57" t="s">
        <v>292</v>
      </c>
      <c r="I74" s="57" t="s">
        <v>77</v>
      </c>
      <c r="J74" s="57" t="s">
        <v>77</v>
      </c>
      <c r="K74" s="54" t="s">
        <v>225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258</v>
      </c>
      <c r="S74" s="57" t="s">
        <v>260</v>
      </c>
      <c r="T74" s="57" t="s">
        <v>261</v>
      </c>
      <c r="U74" s="57" t="s">
        <v>263</v>
      </c>
      <c r="V74" s="57" t="s">
        <v>264</v>
      </c>
      <c r="W74" s="57" t="s">
        <v>265</v>
      </c>
      <c r="X74" s="57" t="s">
        <v>266</v>
      </c>
      <c r="Y74" s="57" t="s">
        <v>267</v>
      </c>
      <c r="Z74" s="54"/>
      <c r="AA74" s="54"/>
      <c r="AB74" s="54"/>
    </row>
    <row r="75" spans="1:28" ht="20.100000000000001" customHeight="1" x14ac:dyDescent="0.25">
      <c r="A75" s="61" t="s">
        <v>337</v>
      </c>
      <c r="B75" s="57">
        <v>5</v>
      </c>
      <c r="C75" s="57" t="s">
        <v>316</v>
      </c>
      <c r="D75" s="61">
        <v>6756</v>
      </c>
      <c r="E75" s="57" t="s">
        <v>298</v>
      </c>
      <c r="F75" s="57">
        <v>1</v>
      </c>
      <c r="G75" s="57" t="s">
        <v>299</v>
      </c>
      <c r="H75" s="57" t="s">
        <v>292</v>
      </c>
      <c r="I75" s="57" t="s">
        <v>77</v>
      </c>
      <c r="J75" s="57" t="s">
        <v>77</v>
      </c>
      <c r="K75" s="54" t="s">
        <v>225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258</v>
      </c>
      <c r="S75" s="57" t="s">
        <v>260</v>
      </c>
      <c r="T75" s="57" t="s">
        <v>261</v>
      </c>
      <c r="U75" s="57" t="s">
        <v>263</v>
      </c>
      <c r="V75" s="57" t="s">
        <v>264</v>
      </c>
      <c r="W75" s="57" t="s">
        <v>265</v>
      </c>
      <c r="X75" s="57" t="s">
        <v>266</v>
      </c>
      <c r="Y75" s="57" t="s">
        <v>267</v>
      </c>
      <c r="Z75" s="54"/>
      <c r="AA75" s="54"/>
      <c r="AB75" s="54"/>
    </row>
    <row r="76" spans="1:28" ht="20.100000000000001" customHeight="1" x14ac:dyDescent="0.25">
      <c r="A76" s="61" t="s">
        <v>338</v>
      </c>
      <c r="B76" s="57">
        <v>2</v>
      </c>
      <c r="C76" s="57" t="s">
        <v>316</v>
      </c>
      <c r="D76" s="61"/>
      <c r="E76" s="57" t="s">
        <v>340</v>
      </c>
      <c r="F76" s="57">
        <v>1</v>
      </c>
      <c r="G76" s="57" t="s">
        <v>299</v>
      </c>
      <c r="H76" s="61" t="s">
        <v>293</v>
      </c>
      <c r="I76" s="57" t="s">
        <v>77</v>
      </c>
      <c r="J76" s="57" t="s">
        <v>77</v>
      </c>
      <c r="K76" s="54" t="s">
        <v>225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258</v>
      </c>
      <c r="S76" s="54" t="s">
        <v>261</v>
      </c>
      <c r="T76" s="54" t="s">
        <v>266</v>
      </c>
      <c r="U76" s="54" t="s">
        <v>267</v>
      </c>
      <c r="V76" s="54"/>
      <c r="W76" s="54"/>
      <c r="X76" s="54"/>
      <c r="Y76" s="54"/>
      <c r="Z76" s="54"/>
      <c r="AA76" s="54" t="s">
        <v>229</v>
      </c>
      <c r="AB76" s="54"/>
    </row>
    <row r="77" spans="1:28" ht="20.100000000000001" customHeight="1" x14ac:dyDescent="0.25">
      <c r="A77" s="61" t="s">
        <v>339</v>
      </c>
      <c r="B77" s="57">
        <v>1</v>
      </c>
      <c r="C77" s="57" t="s">
        <v>316</v>
      </c>
      <c r="D77" s="61">
        <v>6730</v>
      </c>
      <c r="E77" s="57" t="s">
        <v>298</v>
      </c>
      <c r="F77" s="57">
        <v>1</v>
      </c>
      <c r="G77" s="57" t="s">
        <v>308</v>
      </c>
      <c r="H77" s="57" t="s">
        <v>292</v>
      </c>
      <c r="I77" s="57" t="s">
        <v>77</v>
      </c>
      <c r="J77" s="57" t="s">
        <v>77</v>
      </c>
      <c r="K77" s="54" t="s">
        <v>225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258</v>
      </c>
      <c r="S77" s="57" t="s">
        <v>260</v>
      </c>
      <c r="T77" s="57" t="s">
        <v>261</v>
      </c>
      <c r="U77" s="57" t="s">
        <v>263</v>
      </c>
      <c r="V77" s="57" t="s">
        <v>264</v>
      </c>
      <c r="W77" s="57" t="s">
        <v>265</v>
      </c>
      <c r="X77" s="57" t="s">
        <v>266</v>
      </c>
      <c r="Y77" s="57" t="s">
        <v>267</v>
      </c>
      <c r="Z77" s="54"/>
      <c r="AA77" s="54"/>
      <c r="AB77" s="54"/>
    </row>
    <row r="78" spans="1:28" ht="20.100000000000001" customHeight="1" x14ac:dyDescent="0.25">
      <c r="A78" s="54">
        <v>1020</v>
      </c>
      <c r="B78" s="54">
        <v>7</v>
      </c>
      <c r="C78" s="54" t="s">
        <v>420</v>
      </c>
      <c r="D78" s="54"/>
      <c r="E78" s="57" t="s">
        <v>298</v>
      </c>
      <c r="F78" s="57">
        <v>1</v>
      </c>
      <c r="G78" s="83" t="s">
        <v>425</v>
      </c>
      <c r="H78" s="54" t="s">
        <v>291</v>
      </c>
      <c r="I78" s="54" t="s">
        <v>428</v>
      </c>
      <c r="J78" s="83" t="s">
        <v>235</v>
      </c>
      <c r="K78" s="54" t="s">
        <v>240</v>
      </c>
      <c r="L78" s="81">
        <v>121</v>
      </c>
      <c r="M78" s="54" t="s">
        <v>77</v>
      </c>
      <c r="N78" s="54" t="s">
        <v>77</v>
      </c>
      <c r="O78" s="82">
        <v>46400</v>
      </c>
      <c r="P78" s="84" t="s">
        <v>72</v>
      </c>
      <c r="Q78" s="54" t="s">
        <v>72</v>
      </c>
      <c r="R78" s="54" t="s">
        <v>259</v>
      </c>
      <c r="S78" s="54" t="s">
        <v>259</v>
      </c>
      <c r="T78" s="54" t="s">
        <v>258</v>
      </c>
      <c r="U78" s="54" t="s">
        <v>262</v>
      </c>
      <c r="V78" s="54"/>
      <c r="W78" s="54"/>
      <c r="X78" s="54"/>
      <c r="Y78" s="54"/>
      <c r="Z78" s="54"/>
      <c r="AA78" s="54" t="s">
        <v>229</v>
      </c>
      <c r="AB78" s="54"/>
    </row>
    <row r="79" spans="1:28" ht="20.100000000000001" customHeight="1" x14ac:dyDescent="0.25">
      <c r="A79" s="54">
        <v>1020</v>
      </c>
      <c r="B79" s="54">
        <v>8</v>
      </c>
      <c r="C79" s="54" t="s">
        <v>420</v>
      </c>
      <c r="D79" s="54"/>
      <c r="E79" s="57" t="s">
        <v>298</v>
      </c>
      <c r="F79" s="57">
        <v>1</v>
      </c>
      <c r="G79" s="83" t="s">
        <v>425</v>
      </c>
      <c r="H79" s="54" t="s">
        <v>291</v>
      </c>
      <c r="I79" s="54" t="s">
        <v>429</v>
      </c>
      <c r="J79" s="83" t="s">
        <v>235</v>
      </c>
      <c r="K79" s="54" t="s">
        <v>240</v>
      </c>
      <c r="L79" s="81">
        <v>103</v>
      </c>
      <c r="M79" s="54" t="s">
        <v>77</v>
      </c>
      <c r="N79" s="54" t="s">
        <v>77</v>
      </c>
      <c r="O79" s="82">
        <v>46402</v>
      </c>
      <c r="P79" s="54" t="s">
        <v>72</v>
      </c>
      <c r="Q79" s="54" t="s">
        <v>72</v>
      </c>
      <c r="R79" s="54" t="s">
        <v>259</v>
      </c>
      <c r="S79" s="54" t="s">
        <v>259</v>
      </c>
      <c r="T79" s="54" t="s">
        <v>258</v>
      </c>
      <c r="U79" s="54" t="s">
        <v>262</v>
      </c>
      <c r="V79" s="54"/>
      <c r="W79" s="54"/>
      <c r="X79" s="54"/>
      <c r="Y79" s="54"/>
      <c r="Z79" s="54"/>
      <c r="AA79" s="54" t="s">
        <v>229</v>
      </c>
      <c r="AB79" s="54"/>
    </row>
    <row r="80" spans="1:28" ht="20.100000000000001" customHeight="1" x14ac:dyDescent="0.25">
      <c r="A80" s="54">
        <v>1020</v>
      </c>
      <c r="B80" s="54">
        <v>9</v>
      </c>
      <c r="C80" s="54" t="s">
        <v>420</v>
      </c>
      <c r="D80" s="54"/>
      <c r="E80" s="57" t="s">
        <v>298</v>
      </c>
      <c r="F80" s="57">
        <v>1</v>
      </c>
      <c r="G80" s="83" t="s">
        <v>302</v>
      </c>
      <c r="H80" s="54" t="s">
        <v>291</v>
      </c>
      <c r="I80" s="54" t="s">
        <v>428</v>
      </c>
      <c r="J80" s="83" t="s">
        <v>236</v>
      </c>
      <c r="K80" s="54" t="s">
        <v>240</v>
      </c>
      <c r="L80" s="81">
        <v>128</v>
      </c>
      <c r="M80" s="54" t="s">
        <v>77</v>
      </c>
      <c r="N80" s="54" t="s">
        <v>77</v>
      </c>
      <c r="O80" s="82">
        <v>46402</v>
      </c>
      <c r="P80" s="54" t="s">
        <v>72</v>
      </c>
      <c r="Q80" s="54" t="s">
        <v>72</v>
      </c>
      <c r="R80" s="54" t="s">
        <v>259</v>
      </c>
      <c r="S80" s="54" t="s">
        <v>259</v>
      </c>
      <c r="T80" s="54" t="s">
        <v>258</v>
      </c>
      <c r="U80" s="54" t="s">
        <v>262</v>
      </c>
      <c r="V80" s="54"/>
      <c r="W80" s="54"/>
      <c r="X80" s="54"/>
      <c r="Y80" s="54"/>
      <c r="Z80" s="54"/>
      <c r="AA80" s="54" t="s">
        <v>229</v>
      </c>
      <c r="AB80" s="54"/>
    </row>
    <row r="81" spans="1:28" ht="20.100000000000001" customHeight="1" x14ac:dyDescent="0.25">
      <c r="A81" s="54">
        <v>1020</v>
      </c>
      <c r="B81" s="54">
        <v>10</v>
      </c>
      <c r="C81" s="54" t="s">
        <v>420</v>
      </c>
      <c r="D81" s="54"/>
      <c r="E81" s="57" t="s">
        <v>298</v>
      </c>
      <c r="F81" s="57">
        <v>1</v>
      </c>
      <c r="G81" s="83" t="s">
        <v>302</v>
      </c>
      <c r="H81" s="54" t="s">
        <v>291</v>
      </c>
      <c r="I81" s="54" t="s">
        <v>429</v>
      </c>
      <c r="J81" s="83" t="s">
        <v>236</v>
      </c>
      <c r="K81" s="54" t="s">
        <v>240</v>
      </c>
      <c r="L81" s="81">
        <v>127</v>
      </c>
      <c r="M81" s="54" t="s">
        <v>77</v>
      </c>
      <c r="N81" s="54" t="s">
        <v>77</v>
      </c>
      <c r="O81" s="82">
        <v>46400</v>
      </c>
      <c r="P81" s="54" t="s">
        <v>72</v>
      </c>
      <c r="Q81" s="54" t="s">
        <v>72</v>
      </c>
      <c r="R81" s="54" t="s">
        <v>259</v>
      </c>
      <c r="S81" s="54" t="s">
        <v>259</v>
      </c>
      <c r="T81" s="54" t="s">
        <v>258</v>
      </c>
      <c r="U81" s="54" t="s">
        <v>262</v>
      </c>
      <c r="V81" s="54"/>
      <c r="W81" s="54"/>
      <c r="X81" s="54"/>
      <c r="Y81" s="54"/>
      <c r="Z81" s="54"/>
      <c r="AA81" s="54" t="s">
        <v>229</v>
      </c>
      <c r="AB81" s="54"/>
    </row>
    <row r="82" spans="1:28" ht="20.100000000000001" customHeight="1" x14ac:dyDescent="0.25">
      <c r="A82" s="54">
        <v>1020</v>
      </c>
      <c r="B82" s="54">
        <v>11</v>
      </c>
      <c r="C82" s="54" t="s">
        <v>420</v>
      </c>
      <c r="D82" s="54"/>
      <c r="E82" s="57" t="s">
        <v>298</v>
      </c>
      <c r="F82" s="57">
        <v>1</v>
      </c>
      <c r="G82" s="83" t="s">
        <v>302</v>
      </c>
      <c r="H82" s="54" t="s">
        <v>292</v>
      </c>
      <c r="I82" s="54" t="s">
        <v>430</v>
      </c>
      <c r="J82" s="83" t="s">
        <v>236</v>
      </c>
      <c r="K82" s="54" t="s">
        <v>225</v>
      </c>
      <c r="L82" s="81" t="s">
        <v>421</v>
      </c>
      <c r="M82" s="54"/>
      <c r="N82" s="54"/>
      <c r="O82" s="82">
        <v>46329</v>
      </c>
      <c r="P82" s="54" t="s">
        <v>72</v>
      </c>
      <c r="Q82" s="54" t="s">
        <v>72</v>
      </c>
      <c r="R82" s="57" t="s">
        <v>258</v>
      </c>
      <c r="S82" s="57" t="s">
        <v>260</v>
      </c>
      <c r="T82" s="57" t="s">
        <v>261</v>
      </c>
      <c r="U82" s="57" t="s">
        <v>263</v>
      </c>
      <c r="V82" s="57" t="s">
        <v>264</v>
      </c>
      <c r="W82" s="57" t="s">
        <v>265</v>
      </c>
      <c r="X82" s="57" t="s">
        <v>266</v>
      </c>
      <c r="Y82" s="57" t="s">
        <v>267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>
        <v>12</v>
      </c>
      <c r="C83" s="54" t="s">
        <v>420</v>
      </c>
      <c r="D83" s="54"/>
      <c r="E83" s="57" t="s">
        <v>298</v>
      </c>
      <c r="F83" s="57">
        <v>1</v>
      </c>
      <c r="G83" s="83" t="s">
        <v>302</v>
      </c>
      <c r="H83" s="54" t="s">
        <v>291</v>
      </c>
      <c r="I83" s="54" t="s">
        <v>428</v>
      </c>
      <c r="J83" s="83" t="s">
        <v>237</v>
      </c>
      <c r="K83" s="54" t="s">
        <v>240</v>
      </c>
      <c r="L83" s="81">
        <v>125</v>
      </c>
      <c r="M83" s="54" t="s">
        <v>77</v>
      </c>
      <c r="N83" s="54" t="s">
        <v>77</v>
      </c>
      <c r="O83" s="82">
        <v>46401</v>
      </c>
      <c r="P83" s="54" t="s">
        <v>72</v>
      </c>
      <c r="Q83" s="54" t="s">
        <v>72</v>
      </c>
      <c r="R83" s="54" t="s">
        <v>259</v>
      </c>
      <c r="S83" s="54" t="s">
        <v>259</v>
      </c>
      <c r="T83" s="54" t="s">
        <v>258</v>
      </c>
      <c r="U83" s="54" t="s">
        <v>262</v>
      </c>
      <c r="V83" s="54"/>
      <c r="W83" s="54"/>
      <c r="X83" s="54"/>
      <c r="Y83" s="54"/>
      <c r="Z83" s="54"/>
      <c r="AA83" s="54" t="s">
        <v>229</v>
      </c>
      <c r="AB83" s="54"/>
    </row>
    <row r="84" spans="1:28" ht="20.100000000000001" customHeight="1" x14ac:dyDescent="0.25">
      <c r="A84" s="54">
        <v>1020</v>
      </c>
      <c r="B84" s="54">
        <v>13</v>
      </c>
      <c r="C84" s="54" t="s">
        <v>420</v>
      </c>
      <c r="D84" s="54"/>
      <c r="E84" s="57" t="s">
        <v>298</v>
      </c>
      <c r="F84" s="57">
        <v>1</v>
      </c>
      <c r="G84" s="83" t="s">
        <v>302</v>
      </c>
      <c r="H84" s="54" t="s">
        <v>291</v>
      </c>
      <c r="I84" s="54" t="s">
        <v>429</v>
      </c>
      <c r="J84" s="83" t="s">
        <v>237</v>
      </c>
      <c r="K84" s="54" t="s">
        <v>240</v>
      </c>
      <c r="L84" s="81" t="s">
        <v>422</v>
      </c>
      <c r="M84" s="54" t="s">
        <v>77</v>
      </c>
      <c r="N84" s="54" t="s">
        <v>77</v>
      </c>
      <c r="O84" s="82">
        <v>46408</v>
      </c>
      <c r="P84" s="54" t="s">
        <v>72</v>
      </c>
      <c r="Q84" s="54" t="s">
        <v>72</v>
      </c>
      <c r="R84" s="54" t="s">
        <v>259</v>
      </c>
      <c r="S84" s="54" t="s">
        <v>259</v>
      </c>
      <c r="T84" s="54" t="s">
        <v>258</v>
      </c>
      <c r="U84" s="54" t="s">
        <v>262</v>
      </c>
      <c r="V84" s="54"/>
      <c r="W84" s="54"/>
      <c r="X84" s="54"/>
      <c r="Y84" s="54"/>
      <c r="Z84" s="54"/>
      <c r="AA84" s="54" t="s">
        <v>229</v>
      </c>
      <c r="AB84" s="54"/>
    </row>
    <row r="85" spans="1:28" ht="20.100000000000001" customHeight="1" x14ac:dyDescent="0.25">
      <c r="A85" s="54">
        <v>2263</v>
      </c>
      <c r="B85" s="54">
        <v>1</v>
      </c>
      <c r="C85" s="54" t="s">
        <v>420</v>
      </c>
      <c r="D85" s="54">
        <v>6814</v>
      </c>
      <c r="E85" s="57" t="s">
        <v>298</v>
      </c>
      <c r="F85" s="57">
        <v>1</v>
      </c>
      <c r="G85" s="83" t="s">
        <v>302</v>
      </c>
      <c r="H85" s="54" t="s">
        <v>291</v>
      </c>
      <c r="I85" s="54" t="s">
        <v>430</v>
      </c>
      <c r="J85" s="83" t="s">
        <v>237</v>
      </c>
      <c r="K85" s="54" t="s">
        <v>225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258</v>
      </c>
      <c r="S85" s="54" t="s">
        <v>261</v>
      </c>
      <c r="T85" s="54" t="s">
        <v>262</v>
      </c>
      <c r="U85" s="54" t="s">
        <v>266</v>
      </c>
      <c r="V85" s="54" t="s">
        <v>267</v>
      </c>
      <c r="W85" s="54"/>
      <c r="X85" s="54"/>
      <c r="Y85" s="54"/>
      <c r="Z85" s="54"/>
      <c r="AA85" s="54" t="s">
        <v>232</v>
      </c>
      <c r="AB85" s="54" t="s">
        <v>427</v>
      </c>
    </row>
    <row r="86" spans="1:28" ht="20.100000000000001" customHeight="1" x14ac:dyDescent="0.25">
      <c r="A86" s="54">
        <v>1020</v>
      </c>
      <c r="B86" s="54">
        <v>14</v>
      </c>
      <c r="C86" s="54" t="s">
        <v>420</v>
      </c>
      <c r="D86" s="54"/>
      <c r="E86" s="57" t="s">
        <v>298</v>
      </c>
      <c r="F86" s="57">
        <v>1</v>
      </c>
      <c r="G86" s="83" t="s">
        <v>302</v>
      </c>
      <c r="H86" s="54" t="s">
        <v>291</v>
      </c>
      <c r="I86" s="54" t="s">
        <v>428</v>
      </c>
      <c r="J86" s="83" t="s">
        <v>238</v>
      </c>
      <c r="K86" s="54" t="s">
        <v>240</v>
      </c>
      <c r="L86" s="81">
        <v>110</v>
      </c>
      <c r="M86" s="54" t="s">
        <v>77</v>
      </c>
      <c r="N86" s="54" t="s">
        <v>77</v>
      </c>
      <c r="O86" s="82">
        <v>46409</v>
      </c>
      <c r="P86" s="54" t="s">
        <v>72</v>
      </c>
      <c r="Q86" s="54" t="s">
        <v>72</v>
      </c>
      <c r="R86" s="54" t="s">
        <v>259</v>
      </c>
      <c r="S86" s="54" t="s">
        <v>259</v>
      </c>
      <c r="T86" s="54" t="s">
        <v>258</v>
      </c>
      <c r="U86" s="54" t="s">
        <v>262</v>
      </c>
      <c r="V86" s="54"/>
      <c r="W86" s="54"/>
      <c r="X86" s="54"/>
      <c r="Y86" s="54"/>
      <c r="Z86" s="54"/>
      <c r="AA86" s="54" t="s">
        <v>229</v>
      </c>
      <c r="AB86" s="54"/>
    </row>
    <row r="87" spans="1:28" ht="20.100000000000001" customHeight="1" x14ac:dyDescent="0.25">
      <c r="A87" s="54">
        <v>1020</v>
      </c>
      <c r="B87" s="54">
        <v>15</v>
      </c>
      <c r="C87" s="54" t="s">
        <v>420</v>
      </c>
      <c r="D87" s="54"/>
      <c r="E87" s="57" t="s">
        <v>298</v>
      </c>
      <c r="F87" s="57">
        <v>1</v>
      </c>
      <c r="G87" s="83" t="s">
        <v>302</v>
      </c>
      <c r="H87" s="54" t="s">
        <v>291</v>
      </c>
      <c r="I87" s="54" t="s">
        <v>429</v>
      </c>
      <c r="J87" s="83" t="s">
        <v>238</v>
      </c>
      <c r="K87" s="54" t="s">
        <v>240</v>
      </c>
      <c r="L87" s="81">
        <v>111</v>
      </c>
      <c r="M87" s="54" t="s">
        <v>77</v>
      </c>
      <c r="N87" s="54" t="s">
        <v>77</v>
      </c>
      <c r="O87" s="82">
        <v>46713</v>
      </c>
      <c r="P87" s="54" t="s">
        <v>72</v>
      </c>
      <c r="Q87" s="54" t="s">
        <v>72</v>
      </c>
      <c r="R87" s="54" t="s">
        <v>259</v>
      </c>
      <c r="S87" s="54" t="s">
        <v>259</v>
      </c>
      <c r="T87" s="54" t="s">
        <v>258</v>
      </c>
      <c r="U87" s="54" t="s">
        <v>262</v>
      </c>
      <c r="V87" s="54"/>
      <c r="W87" s="54"/>
      <c r="X87" s="54"/>
      <c r="Y87" s="54"/>
      <c r="Z87" s="54"/>
      <c r="AA87" s="54" t="s">
        <v>229</v>
      </c>
      <c r="AB87" s="54"/>
    </row>
    <row r="88" spans="1:28" ht="20.100000000000001" customHeight="1" x14ac:dyDescent="0.25">
      <c r="A88" s="54">
        <v>2263</v>
      </c>
      <c r="B88" s="54">
        <v>2</v>
      </c>
      <c r="C88" s="54" t="s">
        <v>420</v>
      </c>
      <c r="D88" s="54">
        <v>6815</v>
      </c>
      <c r="E88" s="57" t="s">
        <v>298</v>
      </c>
      <c r="F88" s="57">
        <v>1</v>
      </c>
      <c r="G88" s="83" t="s">
        <v>302</v>
      </c>
      <c r="H88" s="54" t="s">
        <v>291</v>
      </c>
      <c r="I88" s="54" t="s">
        <v>430</v>
      </c>
      <c r="J88" s="83" t="s">
        <v>238</v>
      </c>
      <c r="K88" s="54" t="s">
        <v>225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258</v>
      </c>
      <c r="S88" s="54" t="s">
        <v>261</v>
      </c>
      <c r="T88" s="54" t="s">
        <v>262</v>
      </c>
      <c r="U88" s="54" t="s">
        <v>266</v>
      </c>
      <c r="V88" s="54" t="s">
        <v>267</v>
      </c>
      <c r="W88" s="54"/>
      <c r="X88" s="54"/>
      <c r="Y88" s="54"/>
      <c r="Z88" s="54"/>
      <c r="AA88" s="54" t="s">
        <v>232</v>
      </c>
      <c r="AB88" s="54" t="s">
        <v>427</v>
      </c>
    </row>
    <row r="89" spans="1:28" ht="20.100000000000001" customHeight="1" x14ac:dyDescent="0.25">
      <c r="A89" s="54">
        <v>1020</v>
      </c>
      <c r="B89" s="54">
        <v>16</v>
      </c>
      <c r="C89" s="54" t="s">
        <v>420</v>
      </c>
      <c r="D89" s="54"/>
      <c r="E89" s="57" t="s">
        <v>298</v>
      </c>
      <c r="F89" s="57">
        <v>1</v>
      </c>
      <c r="G89" s="83" t="s">
        <v>302</v>
      </c>
      <c r="H89" s="54" t="s">
        <v>291</v>
      </c>
      <c r="I89" s="54" t="s">
        <v>428</v>
      </c>
      <c r="J89" s="83" t="s">
        <v>239</v>
      </c>
      <c r="K89" s="54" t="s">
        <v>240</v>
      </c>
      <c r="L89" s="81">
        <v>115</v>
      </c>
      <c r="M89" s="54" t="s">
        <v>77</v>
      </c>
      <c r="N89" s="54" t="s">
        <v>77</v>
      </c>
      <c r="O89" s="82">
        <v>46412</v>
      </c>
      <c r="P89" s="54" t="s">
        <v>72</v>
      </c>
      <c r="Q89" s="54" t="s">
        <v>72</v>
      </c>
      <c r="R89" s="54" t="s">
        <v>259</v>
      </c>
      <c r="S89" s="54" t="s">
        <v>259</v>
      </c>
      <c r="T89" s="54" t="s">
        <v>258</v>
      </c>
      <c r="U89" s="54" t="s">
        <v>262</v>
      </c>
      <c r="V89" s="54"/>
      <c r="W89" s="54"/>
      <c r="X89" s="54"/>
      <c r="Y89" s="54"/>
      <c r="Z89" s="54"/>
      <c r="AA89" s="54" t="s">
        <v>229</v>
      </c>
      <c r="AB89" s="54"/>
    </row>
    <row r="90" spans="1:28" ht="20.100000000000001" customHeight="1" x14ac:dyDescent="0.25">
      <c r="A90" s="54">
        <v>1020</v>
      </c>
      <c r="B90" s="54">
        <v>17</v>
      </c>
      <c r="C90" s="54" t="s">
        <v>420</v>
      </c>
      <c r="D90" s="54"/>
      <c r="E90" s="57" t="s">
        <v>298</v>
      </c>
      <c r="F90" s="57">
        <v>1</v>
      </c>
      <c r="G90" s="83" t="s">
        <v>302</v>
      </c>
      <c r="H90" s="54" t="s">
        <v>291</v>
      </c>
      <c r="I90" s="54" t="s">
        <v>429</v>
      </c>
      <c r="J90" s="83" t="s">
        <v>239</v>
      </c>
      <c r="K90" s="54" t="s">
        <v>240</v>
      </c>
      <c r="L90" s="81" t="s">
        <v>423</v>
      </c>
      <c r="M90" s="54" t="s">
        <v>77</v>
      </c>
      <c r="N90" s="54" t="s">
        <v>77</v>
      </c>
      <c r="O90" s="82">
        <v>46413</v>
      </c>
      <c r="P90" s="54" t="s">
        <v>72</v>
      </c>
      <c r="Q90" s="54" t="s">
        <v>72</v>
      </c>
      <c r="R90" s="54" t="s">
        <v>259</v>
      </c>
      <c r="S90" s="54" t="s">
        <v>259</v>
      </c>
      <c r="T90" s="54" t="s">
        <v>258</v>
      </c>
      <c r="U90" s="54" t="s">
        <v>262</v>
      </c>
      <c r="V90" s="54"/>
      <c r="W90" s="54"/>
      <c r="X90" s="54"/>
      <c r="Y90" s="54"/>
      <c r="Z90" s="54"/>
      <c r="AA90" s="54" t="s">
        <v>229</v>
      </c>
      <c r="AB90" s="54"/>
    </row>
    <row r="91" spans="1:28" ht="20.100000000000001" customHeight="1" x14ac:dyDescent="0.25">
      <c r="A91" s="54">
        <v>2263</v>
      </c>
      <c r="B91" s="54">
        <v>3</v>
      </c>
      <c r="C91" s="54" t="s">
        <v>420</v>
      </c>
      <c r="D91" s="54">
        <v>6816</v>
      </c>
      <c r="E91" s="57" t="s">
        <v>298</v>
      </c>
      <c r="F91" s="57">
        <v>1</v>
      </c>
      <c r="G91" s="83" t="s">
        <v>302</v>
      </c>
      <c r="H91" s="54" t="s">
        <v>291</v>
      </c>
      <c r="I91" s="54" t="s">
        <v>430</v>
      </c>
      <c r="J91" s="83" t="s">
        <v>239</v>
      </c>
      <c r="K91" s="54" t="s">
        <v>225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258</v>
      </c>
      <c r="S91" s="54" t="s">
        <v>261</v>
      </c>
      <c r="T91" s="54" t="s">
        <v>262</v>
      </c>
      <c r="U91" s="54" t="s">
        <v>266</v>
      </c>
      <c r="V91" s="54" t="s">
        <v>267</v>
      </c>
      <c r="W91" s="54"/>
      <c r="X91" s="54"/>
      <c r="Y91" s="54"/>
      <c r="Z91" s="54"/>
      <c r="AA91" s="54" t="s">
        <v>232</v>
      </c>
      <c r="AB91" s="54" t="s">
        <v>427</v>
      </c>
    </row>
    <row r="92" spans="1:28" ht="20.100000000000001" customHeight="1" x14ac:dyDescent="0.25">
      <c r="A92" s="54">
        <v>1020</v>
      </c>
      <c r="B92" s="54">
        <v>18</v>
      </c>
      <c r="C92" s="54" t="s">
        <v>420</v>
      </c>
      <c r="D92" s="54"/>
      <c r="E92" s="57" t="s">
        <v>298</v>
      </c>
      <c r="F92" s="57">
        <v>1</v>
      </c>
      <c r="G92" s="83" t="s">
        <v>425</v>
      </c>
      <c r="H92" s="54" t="s">
        <v>291</v>
      </c>
      <c r="I92" s="54" t="s">
        <v>428</v>
      </c>
      <c r="J92" s="83" t="s">
        <v>285</v>
      </c>
      <c r="K92" s="54" t="s">
        <v>240</v>
      </c>
      <c r="L92" s="81">
        <v>129</v>
      </c>
      <c r="M92" s="54" t="s">
        <v>77</v>
      </c>
      <c r="N92" s="54" t="s">
        <v>77</v>
      </c>
      <c r="O92" s="82">
        <v>46414</v>
      </c>
      <c r="P92" s="54" t="s">
        <v>72</v>
      </c>
      <c r="Q92" s="54" t="s">
        <v>72</v>
      </c>
      <c r="R92" s="54" t="s">
        <v>259</v>
      </c>
      <c r="S92" s="54" t="s">
        <v>259</v>
      </c>
      <c r="T92" s="54" t="s">
        <v>258</v>
      </c>
      <c r="U92" s="54" t="s">
        <v>262</v>
      </c>
      <c r="V92" s="54"/>
      <c r="W92" s="54"/>
      <c r="X92" s="54"/>
      <c r="Y92" s="54"/>
      <c r="Z92" s="54"/>
      <c r="AA92" s="54" t="s">
        <v>229</v>
      </c>
      <c r="AB92" s="54"/>
    </row>
    <row r="93" spans="1:28" ht="20.100000000000001" customHeight="1" x14ac:dyDescent="0.25">
      <c r="A93" s="54">
        <v>1020</v>
      </c>
      <c r="B93" s="54">
        <v>19</v>
      </c>
      <c r="C93" s="54" t="s">
        <v>420</v>
      </c>
      <c r="D93" s="54"/>
      <c r="E93" s="57" t="s">
        <v>298</v>
      </c>
      <c r="F93" s="57">
        <v>1</v>
      </c>
      <c r="G93" s="83" t="s">
        <v>425</v>
      </c>
      <c r="H93" s="54" t="s">
        <v>291</v>
      </c>
      <c r="I93" s="54" t="s">
        <v>429</v>
      </c>
      <c r="J93" s="83" t="s">
        <v>285</v>
      </c>
      <c r="K93" s="54" t="s">
        <v>240</v>
      </c>
      <c r="L93" s="81">
        <v>123</v>
      </c>
      <c r="M93" s="54" t="s">
        <v>77</v>
      </c>
      <c r="N93" s="54" t="s">
        <v>77</v>
      </c>
      <c r="O93" s="82">
        <v>46414</v>
      </c>
      <c r="P93" s="54" t="s">
        <v>72</v>
      </c>
      <c r="Q93" s="54" t="s">
        <v>72</v>
      </c>
      <c r="R93" s="54" t="s">
        <v>259</v>
      </c>
      <c r="S93" s="54" t="s">
        <v>259</v>
      </c>
      <c r="T93" s="54" t="s">
        <v>258</v>
      </c>
      <c r="U93" s="54" t="s">
        <v>262</v>
      </c>
      <c r="V93" s="54"/>
      <c r="W93" s="54"/>
      <c r="X93" s="54"/>
      <c r="Y93" s="54"/>
      <c r="Z93" s="54"/>
      <c r="AA93" s="54" t="s">
        <v>229</v>
      </c>
      <c r="AB93" s="54"/>
    </row>
    <row r="94" spans="1:28" ht="20.100000000000001" customHeight="1" x14ac:dyDescent="0.25">
      <c r="A94" s="54">
        <v>1020</v>
      </c>
      <c r="B94" s="54">
        <v>20</v>
      </c>
      <c r="C94" s="54" t="s">
        <v>420</v>
      </c>
      <c r="D94" s="54"/>
      <c r="E94" s="57" t="s">
        <v>298</v>
      </c>
      <c r="F94" s="57">
        <v>1</v>
      </c>
      <c r="G94" s="83" t="s">
        <v>302</v>
      </c>
      <c r="H94" s="54" t="s">
        <v>291</v>
      </c>
      <c r="I94" s="54" t="s">
        <v>430</v>
      </c>
      <c r="J94" s="83" t="s">
        <v>285</v>
      </c>
      <c r="K94" s="54" t="s">
        <v>240</v>
      </c>
      <c r="L94" s="81" t="s">
        <v>424</v>
      </c>
      <c r="M94" s="54" t="s">
        <v>77</v>
      </c>
      <c r="N94" s="54" t="s">
        <v>77</v>
      </c>
      <c r="O94" s="82">
        <v>46414</v>
      </c>
      <c r="P94" s="54" t="s">
        <v>72</v>
      </c>
      <c r="Q94" s="54" t="s">
        <v>72</v>
      </c>
      <c r="R94" s="54" t="s">
        <v>259</v>
      </c>
      <c r="S94" s="54" t="s">
        <v>259</v>
      </c>
      <c r="T94" s="54" t="s">
        <v>258</v>
      </c>
      <c r="U94" s="54" t="s">
        <v>262</v>
      </c>
      <c r="V94" s="54"/>
      <c r="W94" s="54"/>
      <c r="X94" s="54"/>
      <c r="Y94" s="54"/>
      <c r="Z94" s="54"/>
      <c r="AA94" s="54" t="s">
        <v>229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G67 H60 H62 H65:H66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6"/>
  <sheetViews>
    <sheetView zoomScale="90" zoomScaleNormal="90" workbookViewId="0">
      <selection activeCell="M46" sqref="M46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9" width="10.140625" style="53" bestFit="1" customWidth="1"/>
    <col min="10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8" t="s">
        <v>280</v>
      </c>
      <c r="B1" s="89" t="s">
        <v>1</v>
      </c>
      <c r="C1" s="51" t="s">
        <v>3</v>
      </c>
      <c r="D1" s="51" t="s">
        <v>6</v>
      </c>
      <c r="E1" s="51" t="s">
        <v>2</v>
      </c>
      <c r="F1" s="51" t="s">
        <v>250</v>
      </c>
      <c r="G1" s="51" t="s">
        <v>433</v>
      </c>
      <c r="H1" s="51" t="s">
        <v>234</v>
      </c>
      <c r="I1" s="52" t="s">
        <v>242</v>
      </c>
      <c r="J1" s="52" t="s">
        <v>109</v>
      </c>
      <c r="K1" s="52" t="s">
        <v>84</v>
      </c>
      <c r="L1" s="52" t="s">
        <v>287</v>
      </c>
      <c r="M1" s="52" t="s">
        <v>268</v>
      </c>
      <c r="N1" s="52" t="s">
        <v>269</v>
      </c>
      <c r="O1" s="52" t="s">
        <v>270</v>
      </c>
      <c r="P1" s="52" t="s">
        <v>271</v>
      </c>
      <c r="Q1" s="52" t="s">
        <v>272</v>
      </c>
      <c r="R1" s="52" t="s">
        <v>273</v>
      </c>
      <c r="S1" s="52" t="s">
        <v>274</v>
      </c>
      <c r="T1" s="52" t="s">
        <v>275</v>
      </c>
      <c r="U1" s="52" t="s">
        <v>276</v>
      </c>
      <c r="V1" s="52" t="s">
        <v>227</v>
      </c>
      <c r="W1" s="52" t="s">
        <v>73</v>
      </c>
    </row>
    <row r="2" spans="1:23" hidden="1" x14ac:dyDescent="0.25">
      <c r="A2" s="87"/>
      <c r="B2" s="87"/>
      <c r="C2" s="54" t="s">
        <v>228</v>
      </c>
      <c r="D2" s="54" t="s">
        <v>246</v>
      </c>
      <c r="E2" s="54">
        <v>1</v>
      </c>
      <c r="F2" s="54">
        <v>2300</v>
      </c>
      <c r="G2" s="54"/>
      <c r="H2" s="54" t="s">
        <v>77</v>
      </c>
      <c r="I2" s="55">
        <v>46233</v>
      </c>
      <c r="J2" s="54" t="s">
        <v>69</v>
      </c>
      <c r="K2" s="54" t="s">
        <v>69</v>
      </c>
      <c r="L2" s="54"/>
      <c r="M2" s="56" t="s">
        <v>258</v>
      </c>
      <c r="N2" s="56" t="s">
        <v>260</v>
      </c>
      <c r="O2" s="56" t="s">
        <v>261</v>
      </c>
      <c r="P2" s="56" t="s">
        <v>263</v>
      </c>
      <c r="Q2" s="54" t="s">
        <v>264</v>
      </c>
      <c r="R2" s="54" t="s">
        <v>265</v>
      </c>
      <c r="S2" s="54" t="s">
        <v>262</v>
      </c>
      <c r="T2" s="54" t="s">
        <v>266</v>
      </c>
      <c r="U2" s="54" t="s">
        <v>267</v>
      </c>
      <c r="V2" s="54" t="s">
        <v>282</v>
      </c>
      <c r="W2" s="54" t="s">
        <v>230</v>
      </c>
    </row>
    <row r="3" spans="1:23" hidden="1" x14ac:dyDescent="0.25">
      <c r="A3" s="87"/>
      <c r="B3" s="87"/>
      <c r="C3" s="54" t="s">
        <v>115</v>
      </c>
      <c r="D3" s="54" t="s">
        <v>247</v>
      </c>
      <c r="E3" s="54">
        <v>1</v>
      </c>
      <c r="F3" s="54" t="s">
        <v>231</v>
      </c>
      <c r="G3" s="54"/>
      <c r="H3" s="54" t="s">
        <v>235</v>
      </c>
      <c r="I3" s="55">
        <v>46410</v>
      </c>
      <c r="J3" s="54" t="s">
        <v>72</v>
      </c>
      <c r="K3" s="54" t="s">
        <v>72</v>
      </c>
      <c r="L3" s="54"/>
      <c r="M3" s="54" t="s">
        <v>259</v>
      </c>
      <c r="N3" s="54" t="s">
        <v>258</v>
      </c>
      <c r="O3" s="54" t="s">
        <v>262</v>
      </c>
      <c r="P3" s="54"/>
      <c r="Q3" s="54"/>
      <c r="R3" s="54"/>
      <c r="S3" s="54"/>
      <c r="T3" s="54"/>
      <c r="U3" s="54"/>
      <c r="V3" s="54" t="s">
        <v>229</v>
      </c>
      <c r="W3" s="54"/>
    </row>
    <row r="4" spans="1:23" hidden="1" x14ac:dyDescent="0.25">
      <c r="A4" s="87"/>
      <c r="B4" s="87"/>
      <c r="C4" s="54" t="s">
        <v>115</v>
      </c>
      <c r="D4" s="54" t="s">
        <v>247</v>
      </c>
      <c r="E4" s="54">
        <v>1</v>
      </c>
      <c r="F4" s="54" t="s">
        <v>231</v>
      </c>
      <c r="G4" s="54"/>
      <c r="H4" s="54" t="s">
        <v>235</v>
      </c>
      <c r="I4" s="55">
        <v>46414</v>
      </c>
      <c r="J4" s="54" t="s">
        <v>72</v>
      </c>
      <c r="K4" s="54" t="s">
        <v>72</v>
      </c>
      <c r="L4" s="54"/>
      <c r="M4" s="54" t="s">
        <v>259</v>
      </c>
      <c r="N4" s="54" t="s">
        <v>258</v>
      </c>
      <c r="O4" s="54" t="s">
        <v>262</v>
      </c>
      <c r="P4" s="54"/>
      <c r="Q4" s="54"/>
      <c r="R4" s="54"/>
      <c r="S4" s="54"/>
      <c r="T4" s="54"/>
      <c r="U4" s="54"/>
      <c r="V4" s="54" t="s">
        <v>229</v>
      </c>
      <c r="W4" s="54"/>
    </row>
    <row r="5" spans="1:23" hidden="1" x14ac:dyDescent="0.25">
      <c r="A5" s="87"/>
      <c r="B5" s="87"/>
      <c r="C5" s="54" t="s">
        <v>115</v>
      </c>
      <c r="D5" s="54" t="s">
        <v>247</v>
      </c>
      <c r="E5" s="54">
        <v>1</v>
      </c>
      <c r="F5" s="54" t="s">
        <v>231</v>
      </c>
      <c r="G5" s="54"/>
      <c r="H5" s="54" t="s">
        <v>236</v>
      </c>
      <c r="I5" s="55">
        <v>46416</v>
      </c>
      <c r="J5" s="54" t="s">
        <v>72</v>
      </c>
      <c r="K5" s="54" t="s">
        <v>72</v>
      </c>
      <c r="L5" s="54"/>
      <c r="M5" s="54" t="s">
        <v>259</v>
      </c>
      <c r="N5" s="54" t="s">
        <v>258</v>
      </c>
      <c r="O5" s="54" t="s">
        <v>262</v>
      </c>
      <c r="P5" s="54"/>
      <c r="Q5" s="54"/>
      <c r="R5" s="54"/>
      <c r="S5" s="54"/>
      <c r="T5" s="54"/>
      <c r="U5" s="54"/>
      <c r="V5" s="54" t="s">
        <v>229</v>
      </c>
      <c r="W5" s="54"/>
    </row>
    <row r="6" spans="1:23" hidden="1" x14ac:dyDescent="0.25">
      <c r="A6" s="87"/>
      <c r="B6" s="87"/>
      <c r="C6" s="54" t="s">
        <v>115</v>
      </c>
      <c r="D6" s="54" t="s">
        <v>247</v>
      </c>
      <c r="E6" s="54">
        <v>1</v>
      </c>
      <c r="F6" s="54">
        <v>1700</v>
      </c>
      <c r="G6" s="54"/>
      <c r="H6" s="54" t="s">
        <v>236</v>
      </c>
      <c r="I6" s="55">
        <v>46417</v>
      </c>
      <c r="J6" s="54" t="s">
        <v>72</v>
      </c>
      <c r="K6" s="54" t="s">
        <v>72</v>
      </c>
      <c r="L6" s="54"/>
      <c r="M6" s="54" t="s">
        <v>259</v>
      </c>
      <c r="N6" s="54" t="s">
        <v>258</v>
      </c>
      <c r="O6" s="54" t="s">
        <v>262</v>
      </c>
      <c r="P6" s="54"/>
      <c r="Q6" s="54"/>
      <c r="R6" s="54"/>
      <c r="S6" s="54"/>
      <c r="T6" s="54"/>
      <c r="U6" s="54"/>
      <c r="V6" s="54" t="s">
        <v>229</v>
      </c>
      <c r="W6" s="54"/>
    </row>
    <row r="7" spans="1:23" hidden="1" x14ac:dyDescent="0.25">
      <c r="A7" s="87"/>
      <c r="B7" s="87"/>
      <c r="C7" s="54" t="s">
        <v>115</v>
      </c>
      <c r="D7" s="54" t="s">
        <v>247</v>
      </c>
      <c r="E7" s="54">
        <v>1</v>
      </c>
      <c r="F7" s="54">
        <v>1700</v>
      </c>
      <c r="G7" s="54"/>
      <c r="H7" s="54" t="s">
        <v>237</v>
      </c>
      <c r="I7" s="55">
        <v>46420</v>
      </c>
      <c r="J7" s="54" t="s">
        <v>72</v>
      </c>
      <c r="K7" s="54" t="s">
        <v>72</v>
      </c>
      <c r="L7" s="54"/>
      <c r="M7" s="54" t="s">
        <v>259</v>
      </c>
      <c r="N7" s="54" t="s">
        <v>258</v>
      </c>
      <c r="O7" s="54" t="s">
        <v>262</v>
      </c>
      <c r="P7" s="54"/>
      <c r="Q7" s="54"/>
      <c r="R7" s="54"/>
      <c r="S7" s="54"/>
      <c r="T7" s="54"/>
      <c r="U7" s="54"/>
      <c r="V7" s="54" t="s">
        <v>229</v>
      </c>
      <c r="W7" s="54"/>
    </row>
    <row r="8" spans="1:23" hidden="1" x14ac:dyDescent="0.25">
      <c r="A8" s="87"/>
      <c r="B8" s="87"/>
      <c r="C8" s="54" t="s">
        <v>115</v>
      </c>
      <c r="D8" s="54" t="s">
        <v>247</v>
      </c>
      <c r="E8" s="54">
        <v>1</v>
      </c>
      <c r="F8" s="54">
        <v>1700</v>
      </c>
      <c r="G8" s="54"/>
      <c r="H8" s="54" t="s">
        <v>237</v>
      </c>
      <c r="I8" s="55">
        <v>46408</v>
      </c>
      <c r="J8" s="54" t="s">
        <v>72</v>
      </c>
      <c r="K8" s="54" t="s">
        <v>72</v>
      </c>
      <c r="L8" s="54"/>
      <c r="M8" s="54" t="s">
        <v>258</v>
      </c>
      <c r="N8" s="54" t="s">
        <v>261</v>
      </c>
      <c r="O8" s="54" t="s">
        <v>262</v>
      </c>
      <c r="P8" s="54" t="s">
        <v>266</v>
      </c>
      <c r="Q8" s="54" t="s">
        <v>267</v>
      </c>
      <c r="R8" s="54"/>
      <c r="S8" s="54"/>
      <c r="T8" s="54"/>
      <c r="U8" s="54"/>
      <c r="V8" s="54" t="s">
        <v>229</v>
      </c>
      <c r="W8" s="54"/>
    </row>
    <row r="9" spans="1:23" hidden="1" x14ac:dyDescent="0.25">
      <c r="A9" s="87"/>
      <c r="B9" s="87"/>
      <c r="C9" s="54" t="s">
        <v>115</v>
      </c>
      <c r="D9" s="54" t="s">
        <v>247</v>
      </c>
      <c r="E9" s="54">
        <v>1</v>
      </c>
      <c r="F9" s="54">
        <v>1700</v>
      </c>
      <c r="G9" s="54"/>
      <c r="H9" s="54" t="s">
        <v>238</v>
      </c>
      <c r="I9" s="55">
        <v>46421</v>
      </c>
      <c r="J9" s="54" t="s">
        <v>72</v>
      </c>
      <c r="K9" s="54" t="s">
        <v>72</v>
      </c>
      <c r="L9" s="54"/>
      <c r="M9" s="54" t="s">
        <v>259</v>
      </c>
      <c r="N9" s="54" t="s">
        <v>258</v>
      </c>
      <c r="O9" s="54" t="s">
        <v>262</v>
      </c>
      <c r="P9" s="54"/>
      <c r="Q9" s="54"/>
      <c r="R9" s="54"/>
      <c r="S9" s="54"/>
      <c r="T9" s="54"/>
      <c r="U9" s="54"/>
      <c r="V9" s="54" t="s">
        <v>229</v>
      </c>
      <c r="W9" s="54"/>
    </row>
    <row r="10" spans="1:23" hidden="1" x14ac:dyDescent="0.25">
      <c r="A10" s="87"/>
      <c r="B10" s="87"/>
      <c r="C10" s="54" t="s">
        <v>115</v>
      </c>
      <c r="D10" s="54" t="s">
        <v>247</v>
      </c>
      <c r="E10" s="54">
        <v>1</v>
      </c>
      <c r="F10" s="54">
        <v>1700</v>
      </c>
      <c r="G10" s="54"/>
      <c r="H10" s="54" t="s">
        <v>238</v>
      </c>
      <c r="I10" s="55">
        <v>46403</v>
      </c>
      <c r="J10" s="54" t="s">
        <v>72</v>
      </c>
      <c r="K10" s="54" t="s">
        <v>72</v>
      </c>
      <c r="L10" s="54"/>
      <c r="M10" s="54" t="s">
        <v>258</v>
      </c>
      <c r="N10" s="54" t="s">
        <v>261</v>
      </c>
      <c r="O10" s="54" t="s">
        <v>262</v>
      </c>
      <c r="P10" s="54" t="s">
        <v>266</v>
      </c>
      <c r="Q10" s="54" t="s">
        <v>267</v>
      </c>
      <c r="R10" s="54"/>
      <c r="S10" s="54"/>
      <c r="T10" s="54"/>
      <c r="U10" s="54"/>
      <c r="V10" s="54" t="s">
        <v>229</v>
      </c>
      <c r="W10" s="54"/>
    </row>
    <row r="11" spans="1:23" hidden="1" x14ac:dyDescent="0.25">
      <c r="A11" s="87"/>
      <c r="B11" s="87"/>
      <c r="C11" s="54" t="s">
        <v>115</v>
      </c>
      <c r="D11" s="54" t="s">
        <v>247</v>
      </c>
      <c r="E11" s="54">
        <v>1</v>
      </c>
      <c r="F11" s="54">
        <v>1700</v>
      </c>
      <c r="G11" s="54"/>
      <c r="H11" s="54" t="s">
        <v>239</v>
      </c>
      <c r="I11" s="55">
        <v>46423</v>
      </c>
      <c r="J11" s="54" t="s">
        <v>72</v>
      </c>
      <c r="K11" s="54" t="s">
        <v>72</v>
      </c>
      <c r="L11" s="54"/>
      <c r="M11" s="54" t="s">
        <v>259</v>
      </c>
      <c r="N11" s="54" t="s">
        <v>258</v>
      </c>
      <c r="O11" s="54" t="s">
        <v>262</v>
      </c>
      <c r="P11" s="54"/>
      <c r="Q11" s="54"/>
      <c r="R11" s="54"/>
      <c r="S11" s="54"/>
      <c r="T11" s="54"/>
      <c r="U11" s="54"/>
      <c r="V11" s="54" t="s">
        <v>229</v>
      </c>
      <c r="W11" s="54"/>
    </row>
    <row r="12" spans="1:23" hidden="1" x14ac:dyDescent="0.25">
      <c r="A12" s="87"/>
      <c r="B12" s="87"/>
      <c r="C12" s="54" t="s">
        <v>115</v>
      </c>
      <c r="D12" s="54" t="s">
        <v>233</v>
      </c>
      <c r="E12" s="54">
        <v>1</v>
      </c>
      <c r="F12" s="54">
        <v>1700</v>
      </c>
      <c r="G12" s="54"/>
      <c r="H12" s="54" t="s">
        <v>239</v>
      </c>
      <c r="I12" s="55">
        <v>46406</v>
      </c>
      <c r="J12" s="54" t="s">
        <v>72</v>
      </c>
      <c r="K12" s="54" t="s">
        <v>72</v>
      </c>
      <c r="L12" s="54"/>
      <c r="M12" s="54" t="s">
        <v>258</v>
      </c>
      <c r="N12" s="54" t="s">
        <v>260</v>
      </c>
      <c r="O12" s="54" t="s">
        <v>261</v>
      </c>
      <c r="P12" s="54" t="s">
        <v>263</v>
      </c>
      <c r="Q12" s="54" t="s">
        <v>264</v>
      </c>
      <c r="R12" s="54" t="s">
        <v>265</v>
      </c>
      <c r="S12" s="54" t="s">
        <v>262</v>
      </c>
      <c r="T12" s="54" t="s">
        <v>266</v>
      </c>
      <c r="U12" s="54" t="s">
        <v>267</v>
      </c>
      <c r="V12" s="54" t="s">
        <v>229</v>
      </c>
      <c r="W12" s="54"/>
    </row>
    <row r="13" spans="1:23" hidden="1" x14ac:dyDescent="0.25">
      <c r="A13" s="87"/>
      <c r="B13" s="87"/>
      <c r="C13" s="54" t="s">
        <v>115</v>
      </c>
      <c r="D13" s="54" t="s">
        <v>248</v>
      </c>
      <c r="E13" s="54">
        <v>1</v>
      </c>
      <c r="F13" s="54">
        <v>1700</v>
      </c>
      <c r="G13" s="54"/>
      <c r="H13" s="54" t="s">
        <v>238</v>
      </c>
      <c r="I13" s="55">
        <v>46424</v>
      </c>
      <c r="J13" s="54" t="s">
        <v>72</v>
      </c>
      <c r="K13" s="54" t="s">
        <v>72</v>
      </c>
      <c r="L13" s="54"/>
      <c r="M13" s="54" t="s">
        <v>259</v>
      </c>
      <c r="N13" s="54" t="s">
        <v>258</v>
      </c>
      <c r="O13" s="54" t="s">
        <v>262</v>
      </c>
      <c r="P13" s="54"/>
      <c r="Q13" s="54"/>
      <c r="R13" s="54"/>
      <c r="S13" s="54"/>
      <c r="T13" s="54"/>
      <c r="U13" s="54"/>
      <c r="V13" s="54" t="s">
        <v>229</v>
      </c>
      <c r="W13" s="54"/>
    </row>
    <row r="14" spans="1:23" hidden="1" x14ac:dyDescent="0.25">
      <c r="A14" s="87"/>
      <c r="B14" s="87"/>
      <c r="C14" s="54" t="s">
        <v>115</v>
      </c>
      <c r="D14" s="54" t="s">
        <v>246</v>
      </c>
      <c r="E14" s="54">
        <v>1</v>
      </c>
      <c r="F14" s="54" t="s">
        <v>231</v>
      </c>
      <c r="G14" s="54"/>
      <c r="H14" s="54" t="s">
        <v>235</v>
      </c>
      <c r="I14" s="55">
        <v>46426</v>
      </c>
      <c r="J14" s="54" t="s">
        <v>72</v>
      </c>
      <c r="K14" s="54" t="s">
        <v>72</v>
      </c>
      <c r="L14" s="54"/>
      <c r="M14" s="54" t="s">
        <v>258</v>
      </c>
      <c r="N14" s="54" t="s">
        <v>260</v>
      </c>
      <c r="O14" s="54" t="s">
        <v>261</v>
      </c>
      <c r="P14" s="54" t="s">
        <v>263</v>
      </c>
      <c r="Q14" s="54" t="s">
        <v>264</v>
      </c>
      <c r="R14" s="54" t="s">
        <v>265</v>
      </c>
      <c r="S14" s="54" t="s">
        <v>262</v>
      </c>
      <c r="T14" s="54" t="s">
        <v>266</v>
      </c>
      <c r="U14" s="54" t="s">
        <v>267</v>
      </c>
      <c r="V14" s="54" t="s">
        <v>229</v>
      </c>
      <c r="W14" s="54"/>
    </row>
    <row r="15" spans="1:23" hidden="1" x14ac:dyDescent="0.25">
      <c r="A15" s="87"/>
      <c r="B15" s="87"/>
      <c r="C15" s="54" t="s">
        <v>115</v>
      </c>
      <c r="D15" s="54" t="s">
        <v>246</v>
      </c>
      <c r="E15" s="54">
        <v>1</v>
      </c>
      <c r="F15" s="54">
        <v>1700</v>
      </c>
      <c r="G15" s="54"/>
      <c r="H15" s="54" t="s">
        <v>236</v>
      </c>
      <c r="I15" s="55">
        <v>46427</v>
      </c>
      <c r="J15" s="54" t="s">
        <v>72</v>
      </c>
      <c r="K15" s="54" t="s">
        <v>72</v>
      </c>
      <c r="L15" s="54"/>
      <c r="M15" s="54" t="s">
        <v>259</v>
      </c>
      <c r="N15" s="54" t="s">
        <v>258</v>
      </c>
      <c r="O15" s="54" t="s">
        <v>262</v>
      </c>
      <c r="P15" s="54"/>
      <c r="Q15" s="54"/>
      <c r="R15" s="54"/>
      <c r="S15" s="54"/>
      <c r="T15" s="54"/>
      <c r="U15" s="54"/>
      <c r="V15" s="54" t="s">
        <v>229</v>
      </c>
      <c r="W15" s="54"/>
    </row>
    <row r="16" spans="1:23" hidden="1" x14ac:dyDescent="0.25">
      <c r="A16" s="87"/>
      <c r="B16" s="87"/>
      <c r="C16" s="54" t="s">
        <v>115</v>
      </c>
      <c r="D16" s="54" t="s">
        <v>246</v>
      </c>
      <c r="E16" s="54">
        <v>1</v>
      </c>
      <c r="F16" s="54">
        <v>1700</v>
      </c>
      <c r="G16" s="54"/>
      <c r="H16" s="54" t="s">
        <v>237</v>
      </c>
      <c r="I16" s="55">
        <v>46428</v>
      </c>
      <c r="J16" s="54" t="s">
        <v>72</v>
      </c>
      <c r="K16" s="54" t="s">
        <v>72</v>
      </c>
      <c r="L16" s="54"/>
      <c r="M16" s="54" t="s">
        <v>258</v>
      </c>
      <c r="N16" s="54" t="s">
        <v>260</v>
      </c>
      <c r="O16" s="54" t="s">
        <v>261</v>
      </c>
      <c r="P16" s="54" t="s">
        <v>263</v>
      </c>
      <c r="Q16" s="54" t="s">
        <v>264</v>
      </c>
      <c r="R16" s="54" t="s">
        <v>265</v>
      </c>
      <c r="S16" s="54" t="s">
        <v>262</v>
      </c>
      <c r="T16" s="54" t="s">
        <v>266</v>
      </c>
      <c r="U16" s="54" t="s">
        <v>267</v>
      </c>
      <c r="V16" s="54" t="s">
        <v>229</v>
      </c>
      <c r="W16" s="54"/>
    </row>
    <row r="17" spans="1:23" hidden="1" x14ac:dyDescent="0.25">
      <c r="A17" s="87"/>
      <c r="B17" s="87"/>
      <c r="C17" s="54" t="s">
        <v>115</v>
      </c>
      <c r="D17" s="54" t="s">
        <v>246</v>
      </c>
      <c r="E17" s="54">
        <v>1</v>
      </c>
      <c r="F17" s="54">
        <v>1700</v>
      </c>
      <c r="G17" s="54"/>
      <c r="H17" s="54" t="s">
        <v>238</v>
      </c>
      <c r="I17" s="55">
        <v>46430</v>
      </c>
      <c r="J17" s="54" t="s">
        <v>72</v>
      </c>
      <c r="K17" s="54" t="s">
        <v>72</v>
      </c>
      <c r="L17" s="54"/>
      <c r="M17" s="54" t="s">
        <v>259</v>
      </c>
      <c r="N17" s="54" t="s">
        <v>258</v>
      </c>
      <c r="O17" s="54" t="s">
        <v>262</v>
      </c>
      <c r="P17" s="54"/>
      <c r="Q17" s="54"/>
      <c r="R17" s="54"/>
      <c r="S17" s="54"/>
      <c r="T17" s="54"/>
      <c r="U17" s="54"/>
      <c r="V17" s="54" t="s">
        <v>229</v>
      </c>
      <c r="W17" s="54"/>
    </row>
    <row r="18" spans="1:23" hidden="1" x14ac:dyDescent="0.25">
      <c r="A18" s="87"/>
      <c r="B18" s="87"/>
      <c r="C18" s="54" t="s">
        <v>115</v>
      </c>
      <c r="D18" s="54" t="s">
        <v>246</v>
      </c>
      <c r="E18" s="54">
        <v>1</v>
      </c>
      <c r="F18" s="54">
        <v>1700</v>
      </c>
      <c r="G18" s="54"/>
      <c r="H18" s="54" t="s">
        <v>239</v>
      </c>
      <c r="I18" s="55">
        <v>46431</v>
      </c>
      <c r="J18" s="54" t="s">
        <v>72</v>
      </c>
      <c r="K18" s="54" t="s">
        <v>72</v>
      </c>
      <c r="L18" s="54"/>
      <c r="M18" s="54" t="s">
        <v>259</v>
      </c>
      <c r="N18" s="54" t="s">
        <v>258</v>
      </c>
      <c r="O18" s="54" t="s">
        <v>262</v>
      </c>
      <c r="P18" s="54"/>
      <c r="Q18" s="54"/>
      <c r="R18" s="54"/>
      <c r="S18" s="54"/>
      <c r="T18" s="54"/>
      <c r="U18" s="54"/>
      <c r="V18" s="54" t="s">
        <v>229</v>
      </c>
      <c r="W18" s="54"/>
    </row>
    <row r="19" spans="1:23" ht="20.100000000000001" customHeight="1" x14ac:dyDescent="0.25">
      <c r="A19" s="87">
        <v>1020</v>
      </c>
      <c r="B19" s="87">
        <v>7</v>
      </c>
      <c r="C19" s="54" t="s">
        <v>420</v>
      </c>
      <c r="D19" s="54" t="s">
        <v>431</v>
      </c>
      <c r="E19" s="54">
        <v>1</v>
      </c>
      <c r="F19" s="83" t="s">
        <v>425</v>
      </c>
      <c r="G19" s="54" t="s">
        <v>428</v>
      </c>
      <c r="H19" s="83" t="s">
        <v>235</v>
      </c>
      <c r="I19" s="82">
        <v>46406</v>
      </c>
      <c r="J19" s="54" t="s">
        <v>72</v>
      </c>
      <c r="K19" s="54" t="s">
        <v>72</v>
      </c>
      <c r="L19" s="81">
        <v>121</v>
      </c>
      <c r="M19" s="54" t="s">
        <v>426</v>
      </c>
      <c r="N19" s="54" t="s">
        <v>432</v>
      </c>
      <c r="O19" s="54" t="s">
        <v>281</v>
      </c>
      <c r="P19" s="54"/>
      <c r="Q19" s="54"/>
      <c r="R19" s="54"/>
      <c r="S19" s="54"/>
      <c r="T19" s="54"/>
      <c r="U19" s="54"/>
      <c r="V19" s="54" t="s">
        <v>229</v>
      </c>
      <c r="W19" s="54"/>
    </row>
    <row r="20" spans="1:23" ht="20.100000000000001" customHeight="1" x14ac:dyDescent="0.25">
      <c r="A20" s="87">
        <v>1020</v>
      </c>
      <c r="B20" s="87">
        <v>8</v>
      </c>
      <c r="C20" s="54" t="s">
        <v>420</v>
      </c>
      <c r="D20" s="54" t="s">
        <v>431</v>
      </c>
      <c r="E20" s="54">
        <v>1</v>
      </c>
      <c r="F20" s="83" t="s">
        <v>425</v>
      </c>
      <c r="G20" s="54" t="s">
        <v>429</v>
      </c>
      <c r="H20" s="83" t="s">
        <v>235</v>
      </c>
      <c r="I20" s="82">
        <v>46405</v>
      </c>
      <c r="J20" s="54" t="s">
        <v>72</v>
      </c>
      <c r="K20" s="54" t="s">
        <v>72</v>
      </c>
      <c r="L20" s="81">
        <v>103</v>
      </c>
      <c r="M20" s="54" t="s">
        <v>426</v>
      </c>
      <c r="N20" s="54" t="s">
        <v>432</v>
      </c>
      <c r="O20" s="54" t="s">
        <v>281</v>
      </c>
      <c r="P20" s="54"/>
      <c r="Q20" s="54"/>
      <c r="R20" s="54"/>
      <c r="S20" s="54"/>
      <c r="T20" s="54"/>
      <c r="U20" s="54"/>
      <c r="V20" s="54" t="s">
        <v>229</v>
      </c>
      <c r="W20" s="54"/>
    </row>
    <row r="21" spans="1:23" ht="20.100000000000001" customHeight="1" x14ac:dyDescent="0.25">
      <c r="A21" s="87">
        <v>1020</v>
      </c>
      <c r="B21" s="87">
        <v>9</v>
      </c>
      <c r="C21" s="54" t="s">
        <v>420</v>
      </c>
      <c r="D21" s="54" t="s">
        <v>431</v>
      </c>
      <c r="E21" s="54">
        <v>1</v>
      </c>
      <c r="F21" s="83" t="s">
        <v>302</v>
      </c>
      <c r="G21" s="54" t="s">
        <v>428</v>
      </c>
      <c r="H21" s="83" t="s">
        <v>236</v>
      </c>
      <c r="I21" s="82">
        <v>46410</v>
      </c>
      <c r="J21" s="54" t="s">
        <v>72</v>
      </c>
      <c r="K21" s="54" t="s">
        <v>72</v>
      </c>
      <c r="L21" s="81">
        <v>128</v>
      </c>
      <c r="M21" s="54" t="s">
        <v>426</v>
      </c>
      <c r="N21" s="54" t="s">
        <v>432</v>
      </c>
      <c r="O21" s="54" t="s">
        <v>281</v>
      </c>
      <c r="P21" s="54"/>
      <c r="Q21" s="54"/>
      <c r="R21" s="54"/>
      <c r="S21" s="54"/>
      <c r="T21" s="54"/>
      <c r="U21" s="54"/>
      <c r="V21" s="54" t="s">
        <v>229</v>
      </c>
      <c r="W21" s="85"/>
    </row>
    <row r="22" spans="1:23" ht="20.100000000000001" customHeight="1" x14ac:dyDescent="0.25">
      <c r="A22" s="87">
        <v>1020</v>
      </c>
      <c r="B22" s="87">
        <v>10</v>
      </c>
      <c r="C22" s="54" t="s">
        <v>420</v>
      </c>
      <c r="D22" s="54" t="s">
        <v>431</v>
      </c>
      <c r="E22" s="54">
        <v>1</v>
      </c>
      <c r="F22" s="83" t="s">
        <v>302</v>
      </c>
      <c r="G22" s="54" t="s">
        <v>429</v>
      </c>
      <c r="H22" s="83" t="s">
        <v>236</v>
      </c>
      <c r="I22" s="82">
        <v>46412</v>
      </c>
      <c r="J22" s="54" t="s">
        <v>72</v>
      </c>
      <c r="K22" s="54" t="s">
        <v>72</v>
      </c>
      <c r="L22" s="81">
        <v>127</v>
      </c>
      <c r="M22" s="54" t="s">
        <v>426</v>
      </c>
      <c r="N22" s="54" t="s">
        <v>432</v>
      </c>
      <c r="O22" s="54" t="s">
        <v>281</v>
      </c>
      <c r="P22" s="85"/>
      <c r="Q22" s="85"/>
      <c r="R22" s="85"/>
      <c r="S22" s="54"/>
      <c r="T22" s="54"/>
      <c r="U22" s="54"/>
      <c r="V22" s="54" t="s">
        <v>229</v>
      </c>
      <c r="W22" s="54"/>
    </row>
    <row r="23" spans="1:23" ht="20.100000000000001" customHeight="1" x14ac:dyDescent="0.25">
      <c r="A23" s="87">
        <v>1020</v>
      </c>
      <c r="B23" s="87">
        <v>11</v>
      </c>
      <c r="C23" s="54" t="s">
        <v>420</v>
      </c>
      <c r="D23" s="54" t="s">
        <v>431</v>
      </c>
      <c r="E23" s="54">
        <v>1</v>
      </c>
      <c r="F23" s="83" t="s">
        <v>302</v>
      </c>
      <c r="G23" s="54" t="s">
        <v>430</v>
      </c>
      <c r="H23" s="83" t="s">
        <v>236</v>
      </c>
      <c r="I23" s="82">
        <v>46430</v>
      </c>
      <c r="J23" s="54" t="s">
        <v>72</v>
      </c>
      <c r="K23" s="54" t="s">
        <v>72</v>
      </c>
      <c r="L23" s="81" t="s">
        <v>421</v>
      </c>
      <c r="M23" s="54" t="s">
        <v>426</v>
      </c>
      <c r="N23" s="54" t="s">
        <v>432</v>
      </c>
      <c r="O23" s="54" t="s">
        <v>281</v>
      </c>
      <c r="P23" s="85"/>
      <c r="Q23" s="85"/>
      <c r="R23" s="85"/>
      <c r="S23" s="54"/>
      <c r="T23" s="54"/>
      <c r="U23" s="54"/>
      <c r="V23" s="54" t="s">
        <v>229</v>
      </c>
      <c r="W23" s="54"/>
    </row>
    <row r="24" spans="1:23" ht="20.100000000000001" customHeight="1" x14ac:dyDescent="0.25">
      <c r="A24" s="87">
        <v>1020</v>
      </c>
      <c r="B24" s="87">
        <v>12</v>
      </c>
      <c r="C24" s="54" t="s">
        <v>420</v>
      </c>
      <c r="D24" s="54" t="s">
        <v>431</v>
      </c>
      <c r="E24" s="54">
        <v>1</v>
      </c>
      <c r="F24" s="83" t="s">
        <v>302</v>
      </c>
      <c r="G24" s="54" t="s">
        <v>428</v>
      </c>
      <c r="H24" s="83" t="s">
        <v>237</v>
      </c>
      <c r="I24" s="82">
        <v>46413</v>
      </c>
      <c r="J24" s="54" t="s">
        <v>72</v>
      </c>
      <c r="K24" s="54" t="s">
        <v>72</v>
      </c>
      <c r="L24" s="81">
        <v>125</v>
      </c>
      <c r="M24" s="54" t="s">
        <v>426</v>
      </c>
      <c r="N24" s="54" t="s">
        <v>432</v>
      </c>
      <c r="O24" s="54" t="s">
        <v>281</v>
      </c>
      <c r="P24" s="85"/>
      <c r="Q24" s="85"/>
      <c r="R24" s="85"/>
      <c r="S24" s="54"/>
      <c r="T24" s="54"/>
      <c r="U24" s="54"/>
      <c r="V24" s="54" t="s">
        <v>229</v>
      </c>
      <c r="W24" s="54"/>
    </row>
    <row r="25" spans="1:23" ht="20.100000000000001" customHeight="1" x14ac:dyDescent="0.25">
      <c r="A25" s="87">
        <v>1020</v>
      </c>
      <c r="B25" s="87">
        <v>13</v>
      </c>
      <c r="C25" s="54" t="s">
        <v>420</v>
      </c>
      <c r="D25" s="54" t="s">
        <v>431</v>
      </c>
      <c r="E25" s="54">
        <v>1</v>
      </c>
      <c r="F25" s="83" t="s">
        <v>302</v>
      </c>
      <c r="G25" s="54" t="s">
        <v>429</v>
      </c>
      <c r="H25" s="83" t="s">
        <v>237</v>
      </c>
      <c r="I25" s="82">
        <v>46416</v>
      </c>
      <c r="J25" s="54" t="s">
        <v>72</v>
      </c>
      <c r="K25" s="54" t="s">
        <v>72</v>
      </c>
      <c r="L25" s="81" t="s">
        <v>422</v>
      </c>
      <c r="M25" s="54" t="s">
        <v>426</v>
      </c>
      <c r="N25" s="54" t="s">
        <v>432</v>
      </c>
      <c r="O25" s="54" t="s">
        <v>281</v>
      </c>
      <c r="P25" s="85"/>
      <c r="Q25" s="85"/>
      <c r="R25" s="85"/>
      <c r="S25" s="54"/>
      <c r="T25" s="54"/>
      <c r="U25" s="54"/>
      <c r="V25" s="54" t="s">
        <v>229</v>
      </c>
      <c r="W25" s="54"/>
    </row>
    <row r="26" spans="1:23" ht="20.100000000000001" customHeight="1" x14ac:dyDescent="0.25">
      <c r="A26" s="87">
        <v>1020</v>
      </c>
      <c r="B26" s="87">
        <v>14</v>
      </c>
      <c r="C26" s="54" t="s">
        <v>420</v>
      </c>
      <c r="D26" s="54" t="s">
        <v>431</v>
      </c>
      <c r="E26" s="54">
        <v>1</v>
      </c>
      <c r="F26" s="83" t="s">
        <v>302</v>
      </c>
      <c r="G26" s="54" t="s">
        <v>430</v>
      </c>
      <c r="H26" s="83" t="s">
        <v>237</v>
      </c>
      <c r="I26" s="82">
        <v>46428</v>
      </c>
      <c r="J26" s="54" t="s">
        <v>72</v>
      </c>
      <c r="K26" s="54" t="s">
        <v>72</v>
      </c>
      <c r="L26" s="81">
        <v>119</v>
      </c>
      <c r="M26" s="54" t="s">
        <v>426</v>
      </c>
      <c r="N26" s="54" t="s">
        <v>432</v>
      </c>
      <c r="O26" s="54" t="s">
        <v>281</v>
      </c>
      <c r="P26" s="85"/>
      <c r="Q26" s="85"/>
      <c r="R26" s="85"/>
      <c r="S26" s="54"/>
      <c r="T26" s="54"/>
      <c r="U26" s="54"/>
      <c r="V26" s="54" t="s">
        <v>229</v>
      </c>
      <c r="W26" s="54"/>
    </row>
    <row r="27" spans="1:23" ht="20.100000000000001" customHeight="1" x14ac:dyDescent="0.25">
      <c r="A27" s="87">
        <v>1020</v>
      </c>
      <c r="B27" s="87">
        <v>15</v>
      </c>
      <c r="C27" s="54" t="s">
        <v>420</v>
      </c>
      <c r="D27" s="54" t="s">
        <v>431</v>
      </c>
      <c r="E27" s="54">
        <v>1</v>
      </c>
      <c r="F27" s="83" t="s">
        <v>302</v>
      </c>
      <c r="G27" s="54" t="s">
        <v>428</v>
      </c>
      <c r="H27" s="83" t="s">
        <v>238</v>
      </c>
      <c r="I27" s="82">
        <v>46417</v>
      </c>
      <c r="J27" s="54" t="s">
        <v>72</v>
      </c>
      <c r="K27" s="54" t="s">
        <v>72</v>
      </c>
      <c r="L27" s="81">
        <v>110</v>
      </c>
      <c r="M27" s="54" t="s">
        <v>426</v>
      </c>
      <c r="N27" s="54" t="s">
        <v>432</v>
      </c>
      <c r="O27" s="54" t="s">
        <v>281</v>
      </c>
      <c r="P27" s="85"/>
      <c r="Q27" s="85"/>
      <c r="R27" s="85"/>
      <c r="S27" s="54"/>
      <c r="T27" s="54"/>
      <c r="U27" s="54"/>
      <c r="V27" s="54" t="s">
        <v>229</v>
      </c>
      <c r="W27" s="54"/>
    </row>
    <row r="28" spans="1:23" ht="20.100000000000001" customHeight="1" x14ac:dyDescent="0.25">
      <c r="A28" s="87">
        <v>1020</v>
      </c>
      <c r="B28" s="87">
        <v>16</v>
      </c>
      <c r="C28" s="54" t="s">
        <v>420</v>
      </c>
      <c r="D28" s="54" t="s">
        <v>431</v>
      </c>
      <c r="E28" s="54">
        <v>1</v>
      </c>
      <c r="F28" s="83" t="s">
        <v>302</v>
      </c>
      <c r="G28" s="54" t="s">
        <v>429</v>
      </c>
      <c r="H28" s="83" t="s">
        <v>238</v>
      </c>
      <c r="I28" s="82">
        <v>46419</v>
      </c>
      <c r="J28" s="54" t="s">
        <v>72</v>
      </c>
      <c r="K28" s="54" t="s">
        <v>72</v>
      </c>
      <c r="L28" s="81">
        <v>111</v>
      </c>
      <c r="M28" s="54" t="s">
        <v>426</v>
      </c>
      <c r="N28" s="54" t="s">
        <v>432</v>
      </c>
      <c r="O28" s="54" t="s">
        <v>281</v>
      </c>
      <c r="P28" s="85"/>
      <c r="Q28" s="85"/>
      <c r="R28" s="85"/>
      <c r="S28" s="54"/>
      <c r="T28" s="54"/>
      <c r="U28" s="54"/>
      <c r="V28" s="54" t="s">
        <v>229</v>
      </c>
      <c r="W28" s="54"/>
    </row>
    <row r="29" spans="1:23" ht="20.100000000000001" customHeight="1" x14ac:dyDescent="0.25">
      <c r="A29" s="87">
        <v>1020</v>
      </c>
      <c r="B29" s="87">
        <v>17</v>
      </c>
      <c r="C29" s="54" t="s">
        <v>420</v>
      </c>
      <c r="D29" s="54" t="s">
        <v>431</v>
      </c>
      <c r="E29" s="54">
        <v>1</v>
      </c>
      <c r="F29" s="83" t="s">
        <v>302</v>
      </c>
      <c r="G29" s="54" t="s">
        <v>430</v>
      </c>
      <c r="H29" s="83" t="s">
        <v>238</v>
      </c>
      <c r="I29" s="82">
        <v>46426</v>
      </c>
      <c r="J29" s="54" t="s">
        <v>72</v>
      </c>
      <c r="K29" s="54" t="s">
        <v>72</v>
      </c>
      <c r="L29" s="81">
        <v>109</v>
      </c>
      <c r="M29" s="54" t="s">
        <v>426</v>
      </c>
      <c r="N29" s="54" t="s">
        <v>432</v>
      </c>
      <c r="O29" s="54" t="s">
        <v>281</v>
      </c>
      <c r="P29" s="85"/>
      <c r="Q29" s="85"/>
      <c r="R29" s="85"/>
      <c r="S29" s="54"/>
      <c r="T29" s="54"/>
      <c r="U29" s="54"/>
      <c r="V29" s="54" t="s">
        <v>229</v>
      </c>
      <c r="W29" s="54"/>
    </row>
    <row r="30" spans="1:23" ht="20.100000000000001" customHeight="1" x14ac:dyDescent="0.25">
      <c r="A30" s="87">
        <v>1020</v>
      </c>
      <c r="B30" s="87">
        <v>18</v>
      </c>
      <c r="C30" s="54" t="s">
        <v>420</v>
      </c>
      <c r="D30" s="54" t="s">
        <v>431</v>
      </c>
      <c r="E30" s="54">
        <v>1</v>
      </c>
      <c r="F30" s="83" t="s">
        <v>302</v>
      </c>
      <c r="G30" s="54" t="s">
        <v>428</v>
      </c>
      <c r="H30" s="83" t="s">
        <v>239</v>
      </c>
      <c r="I30" s="82">
        <v>46420</v>
      </c>
      <c r="J30" s="54" t="s">
        <v>72</v>
      </c>
      <c r="K30" s="54" t="s">
        <v>72</v>
      </c>
      <c r="L30" s="81">
        <v>115</v>
      </c>
      <c r="M30" s="54" t="s">
        <v>426</v>
      </c>
      <c r="N30" s="54" t="s">
        <v>432</v>
      </c>
      <c r="O30" s="54" t="s">
        <v>281</v>
      </c>
      <c r="P30" s="85"/>
      <c r="Q30" s="85"/>
      <c r="R30" s="85"/>
      <c r="S30" s="54"/>
      <c r="T30" s="54"/>
      <c r="U30" s="54"/>
      <c r="V30" s="54" t="s">
        <v>229</v>
      </c>
      <c r="W30" s="54"/>
    </row>
    <row r="31" spans="1:23" ht="20.100000000000001" customHeight="1" x14ac:dyDescent="0.25">
      <c r="A31" s="87">
        <v>1020</v>
      </c>
      <c r="B31" s="87">
        <v>19</v>
      </c>
      <c r="C31" s="54" t="s">
        <v>420</v>
      </c>
      <c r="D31" s="54" t="s">
        <v>431</v>
      </c>
      <c r="E31" s="54">
        <v>1</v>
      </c>
      <c r="F31" s="83" t="s">
        <v>302</v>
      </c>
      <c r="G31" s="54" t="s">
        <v>429</v>
      </c>
      <c r="H31" s="83" t="s">
        <v>239</v>
      </c>
      <c r="I31" s="82">
        <v>46422</v>
      </c>
      <c r="J31" s="54" t="s">
        <v>72</v>
      </c>
      <c r="K31" s="54" t="s">
        <v>72</v>
      </c>
      <c r="L31" s="81" t="s">
        <v>423</v>
      </c>
      <c r="M31" s="54" t="s">
        <v>426</v>
      </c>
      <c r="N31" s="54" t="s">
        <v>432</v>
      </c>
      <c r="O31" s="54" t="s">
        <v>281</v>
      </c>
      <c r="P31" s="85"/>
      <c r="Q31" s="85"/>
      <c r="R31" s="85"/>
      <c r="S31" s="54"/>
      <c r="T31" s="54"/>
      <c r="U31" s="54"/>
      <c r="V31" s="54" t="s">
        <v>229</v>
      </c>
      <c r="W31" s="54"/>
    </row>
    <row r="32" spans="1:23" ht="20.100000000000001" customHeight="1" x14ac:dyDescent="0.25">
      <c r="A32" s="87">
        <v>1020</v>
      </c>
      <c r="B32" s="87">
        <v>20</v>
      </c>
      <c r="C32" s="54" t="s">
        <v>420</v>
      </c>
      <c r="D32" s="54" t="s">
        <v>431</v>
      </c>
      <c r="E32" s="54">
        <v>1</v>
      </c>
      <c r="F32" s="83" t="s">
        <v>302</v>
      </c>
      <c r="G32" s="54" t="s">
        <v>430</v>
      </c>
      <c r="H32" s="83" t="s">
        <v>239</v>
      </c>
      <c r="I32" s="82">
        <v>46427</v>
      </c>
      <c r="J32" s="54" t="s">
        <v>72</v>
      </c>
      <c r="K32" s="54" t="s">
        <v>72</v>
      </c>
      <c r="L32" s="81">
        <v>114</v>
      </c>
      <c r="M32" s="54" t="s">
        <v>426</v>
      </c>
      <c r="N32" s="54" t="s">
        <v>432</v>
      </c>
      <c r="O32" s="54" t="s">
        <v>281</v>
      </c>
      <c r="P32" s="85"/>
      <c r="Q32" s="85"/>
      <c r="R32" s="85"/>
      <c r="S32" s="54"/>
      <c r="T32" s="54"/>
      <c r="U32" s="54"/>
      <c r="V32" s="54" t="s">
        <v>229</v>
      </c>
      <c r="W32" s="54"/>
    </row>
    <row r="33" spans="1:23" ht="20.100000000000001" customHeight="1" x14ac:dyDescent="0.25">
      <c r="A33" s="87">
        <v>1020</v>
      </c>
      <c r="B33" s="87">
        <v>21</v>
      </c>
      <c r="C33" s="54" t="s">
        <v>420</v>
      </c>
      <c r="D33" s="54" t="s">
        <v>431</v>
      </c>
      <c r="E33" s="54">
        <v>1</v>
      </c>
      <c r="F33" s="83" t="s">
        <v>425</v>
      </c>
      <c r="G33" s="54" t="s">
        <v>428</v>
      </c>
      <c r="H33" s="83" t="s">
        <v>285</v>
      </c>
      <c r="I33" s="82">
        <v>46426</v>
      </c>
      <c r="J33" s="54" t="s">
        <v>72</v>
      </c>
      <c r="K33" s="54" t="s">
        <v>72</v>
      </c>
      <c r="L33" s="81">
        <v>129</v>
      </c>
      <c r="M33" s="54" t="s">
        <v>426</v>
      </c>
      <c r="N33" s="54" t="s">
        <v>432</v>
      </c>
      <c r="O33" s="54" t="s">
        <v>281</v>
      </c>
      <c r="P33" s="85"/>
      <c r="Q33" s="85"/>
      <c r="R33" s="85"/>
      <c r="S33" s="54"/>
      <c r="T33" s="54"/>
      <c r="U33" s="54"/>
      <c r="V33" s="54" t="s">
        <v>229</v>
      </c>
      <c r="W33" s="54"/>
    </row>
    <row r="34" spans="1:23" ht="20.100000000000001" customHeight="1" x14ac:dyDescent="0.25">
      <c r="A34" s="87">
        <v>1020</v>
      </c>
      <c r="B34" s="87">
        <v>22</v>
      </c>
      <c r="C34" s="54" t="s">
        <v>420</v>
      </c>
      <c r="D34" s="54" t="s">
        <v>431</v>
      </c>
      <c r="E34" s="54">
        <v>1</v>
      </c>
      <c r="F34" s="83" t="s">
        <v>425</v>
      </c>
      <c r="G34" s="54" t="s">
        <v>429</v>
      </c>
      <c r="H34" s="83" t="s">
        <v>285</v>
      </c>
      <c r="I34" s="82">
        <v>46423</v>
      </c>
      <c r="J34" s="54" t="s">
        <v>72</v>
      </c>
      <c r="K34" s="54" t="s">
        <v>72</v>
      </c>
      <c r="L34" s="81">
        <v>123</v>
      </c>
      <c r="M34" s="54" t="s">
        <v>426</v>
      </c>
      <c r="N34" s="54" t="s">
        <v>432</v>
      </c>
      <c r="O34" s="54" t="s">
        <v>281</v>
      </c>
      <c r="P34" s="85"/>
      <c r="Q34" s="85"/>
      <c r="R34" s="85"/>
      <c r="S34" s="54"/>
      <c r="T34" s="54"/>
      <c r="U34" s="54"/>
      <c r="V34" s="54" t="s">
        <v>229</v>
      </c>
      <c r="W34" s="54"/>
    </row>
    <row r="35" spans="1:23" ht="20.100000000000001" customHeight="1" x14ac:dyDescent="0.25">
      <c r="A35" s="87">
        <v>1020</v>
      </c>
      <c r="B35" s="87">
        <v>23</v>
      </c>
      <c r="C35" s="54" t="s">
        <v>420</v>
      </c>
      <c r="D35" s="54" t="s">
        <v>431</v>
      </c>
      <c r="E35" s="54">
        <v>1</v>
      </c>
      <c r="F35" s="83" t="s">
        <v>302</v>
      </c>
      <c r="G35" s="54" t="s">
        <v>430</v>
      </c>
      <c r="H35" s="83" t="s">
        <v>285</v>
      </c>
      <c r="I35" s="82">
        <v>46430</v>
      </c>
      <c r="J35" s="54" t="s">
        <v>72</v>
      </c>
      <c r="K35" s="54" t="s">
        <v>72</v>
      </c>
      <c r="L35" s="81" t="s">
        <v>424</v>
      </c>
      <c r="M35" s="54" t="s">
        <v>426</v>
      </c>
      <c r="N35" s="54" t="s">
        <v>432</v>
      </c>
      <c r="O35" s="54" t="s">
        <v>281</v>
      </c>
      <c r="P35" s="85"/>
      <c r="Q35" s="85"/>
      <c r="R35" s="85"/>
      <c r="S35" s="54"/>
      <c r="T35" s="54"/>
      <c r="U35" s="54"/>
      <c r="V35" s="54" t="s">
        <v>229</v>
      </c>
      <c r="W35" s="54"/>
    </row>
    <row r="36" spans="1:23" x14ac:dyDescent="0.25">
      <c r="M36" s="86"/>
      <c r="N36" s="86"/>
      <c r="O36" s="86"/>
      <c r="P36" s="86"/>
      <c r="Q36" s="86"/>
      <c r="R36" s="8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6" sqref="F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392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5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389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5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389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382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/>
      <c r="P5" s="25" t="s">
        <v>232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383</v>
      </c>
      <c r="Q6" s="23" t="s">
        <v>185</v>
      </c>
      <c r="R6" s="50" t="s">
        <v>385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382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382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382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382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382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382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4">
        <v>46211</v>
      </c>
      <c r="H14" s="27" t="s">
        <v>384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390</v>
      </c>
      <c r="D15" s="23" t="s">
        <v>77</v>
      </c>
      <c r="E15" s="24" t="s">
        <v>391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382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4">
        <v>46218</v>
      </c>
      <c r="H18" s="25">
        <v>46219</v>
      </c>
      <c r="I18" s="25"/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5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5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5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386</v>
      </c>
      <c r="D25" s="23">
        <v>112036</v>
      </c>
      <c r="E25" s="24" t="s">
        <v>387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388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C1" sqref="C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393</v>
      </c>
      <c r="G1" s="22" t="s">
        <v>196</v>
      </c>
      <c r="H1" s="22" t="s">
        <v>392</v>
      </c>
      <c r="I1" s="22" t="s">
        <v>197</v>
      </c>
      <c r="J1" s="22" t="s">
        <v>198</v>
      </c>
      <c r="K1" s="22" t="s">
        <v>99</v>
      </c>
      <c r="L1" s="22" t="s">
        <v>419</v>
      </c>
      <c r="M1" s="22" t="s">
        <v>73</v>
      </c>
    </row>
    <row r="2" spans="1:13" x14ac:dyDescent="0.25">
      <c r="A2" s="23">
        <v>27415</v>
      </c>
      <c r="B2" s="23">
        <v>1</v>
      </c>
      <c r="C2" s="80" t="s">
        <v>174</v>
      </c>
      <c r="D2" s="23">
        <v>152652</v>
      </c>
      <c r="E2" s="80" t="s">
        <v>394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0" t="s">
        <v>174</v>
      </c>
      <c r="D3" s="23">
        <v>152655</v>
      </c>
      <c r="E3" s="80" t="s">
        <v>395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174</v>
      </c>
      <c r="D4" s="23">
        <v>152655</v>
      </c>
      <c r="E4" s="80" t="s">
        <v>395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174</v>
      </c>
      <c r="D5" s="23">
        <v>152654</v>
      </c>
      <c r="E5" s="80" t="s">
        <v>396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174</v>
      </c>
      <c r="D6" s="23">
        <v>152654</v>
      </c>
      <c r="E6" s="80" t="s">
        <v>396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174</v>
      </c>
      <c r="D7" s="23">
        <v>152654</v>
      </c>
      <c r="E7" s="80" t="s">
        <v>396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174</v>
      </c>
      <c r="D8" s="23">
        <v>152654</v>
      </c>
      <c r="E8" s="80" t="s">
        <v>396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174</v>
      </c>
      <c r="D9" s="23">
        <v>152650</v>
      </c>
      <c r="E9" s="80" t="s">
        <v>397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232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174</v>
      </c>
      <c r="D10" s="23">
        <v>152650</v>
      </c>
      <c r="E10" s="80" t="s">
        <v>397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232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174</v>
      </c>
      <c r="D11" s="23">
        <v>152650</v>
      </c>
      <c r="E11" s="80" t="s">
        <v>397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232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174</v>
      </c>
      <c r="D12" s="23">
        <v>152650</v>
      </c>
      <c r="E12" s="80" t="s">
        <v>397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232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174</v>
      </c>
      <c r="D13" s="23">
        <v>152650</v>
      </c>
      <c r="E13" s="80" t="s">
        <v>397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232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174</v>
      </c>
      <c r="D14" s="23">
        <v>152650</v>
      </c>
      <c r="E14" s="80" t="s">
        <v>397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0" t="s">
        <v>174</v>
      </c>
      <c r="D15" s="23">
        <v>152650</v>
      </c>
      <c r="E15" s="80" t="s">
        <v>397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0" t="s">
        <v>174</v>
      </c>
      <c r="D16" s="23">
        <v>152650</v>
      </c>
      <c r="E16" s="80" t="s">
        <v>397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0" t="s">
        <v>174</v>
      </c>
      <c r="D17" s="23">
        <v>152650</v>
      </c>
      <c r="E17" s="80" t="s">
        <v>397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0" t="s">
        <v>174</v>
      </c>
      <c r="D18" s="23">
        <v>152655</v>
      </c>
      <c r="E18" s="80" t="s">
        <v>395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174</v>
      </c>
      <c r="D19" s="23">
        <v>152655</v>
      </c>
      <c r="E19" s="80" t="s">
        <v>395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174</v>
      </c>
      <c r="D20" s="23">
        <v>152655</v>
      </c>
      <c r="E20" s="80" t="s">
        <v>395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174</v>
      </c>
      <c r="D21" s="23">
        <v>152655</v>
      </c>
      <c r="E21" s="80" t="s">
        <v>395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174</v>
      </c>
      <c r="D22" s="23">
        <v>152655</v>
      </c>
      <c r="E22" s="80" t="s">
        <v>395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174</v>
      </c>
      <c r="D23" s="23">
        <v>152655</v>
      </c>
      <c r="E23" s="80" t="s">
        <v>395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174</v>
      </c>
      <c r="D24" s="23">
        <v>152650</v>
      </c>
      <c r="E24" s="80" t="s">
        <v>397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0" t="s">
        <v>174</v>
      </c>
      <c r="D25" s="23">
        <v>152650</v>
      </c>
      <c r="E25" s="80" t="s">
        <v>397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0" t="s">
        <v>174</v>
      </c>
      <c r="D26" s="23">
        <v>152650</v>
      </c>
      <c r="E26" s="80" t="s">
        <v>397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0" t="s">
        <v>174</v>
      </c>
      <c r="D27" s="23">
        <v>152650</v>
      </c>
      <c r="E27" s="80" t="s">
        <v>397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174</v>
      </c>
      <c r="D28" s="23">
        <v>152650</v>
      </c>
      <c r="E28" s="80" t="s">
        <v>397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174</v>
      </c>
      <c r="D29" s="23">
        <v>152650</v>
      </c>
      <c r="E29" s="80" t="s">
        <v>397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174</v>
      </c>
      <c r="D30" s="23">
        <v>152650</v>
      </c>
      <c r="E30" s="80" t="s">
        <v>397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174</v>
      </c>
      <c r="D31" s="23">
        <v>152650</v>
      </c>
      <c r="E31" s="80" t="s">
        <v>397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174</v>
      </c>
      <c r="D32" s="23">
        <v>152650</v>
      </c>
      <c r="E32" s="80" t="s">
        <v>397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174</v>
      </c>
      <c r="D33" s="23">
        <v>152650</v>
      </c>
      <c r="E33" s="80" t="s">
        <v>397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174</v>
      </c>
      <c r="D34" s="23">
        <v>152650</v>
      </c>
      <c r="E34" s="80" t="s">
        <v>397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174</v>
      </c>
      <c r="D35" s="23">
        <v>152650</v>
      </c>
      <c r="E35" s="80" t="s">
        <v>397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174</v>
      </c>
      <c r="D36" s="23">
        <v>152650</v>
      </c>
      <c r="E36" s="80" t="s">
        <v>397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174</v>
      </c>
      <c r="D37" s="23">
        <v>152650</v>
      </c>
      <c r="E37" s="80" t="s">
        <v>397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174</v>
      </c>
      <c r="D38" s="23">
        <v>152650</v>
      </c>
      <c r="E38" s="80" t="s">
        <v>397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174</v>
      </c>
      <c r="D39" s="23">
        <v>152650</v>
      </c>
      <c r="E39" s="80" t="s">
        <v>397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174</v>
      </c>
      <c r="D40" s="23">
        <v>152650</v>
      </c>
      <c r="E40" s="80" t="s">
        <v>397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174</v>
      </c>
      <c r="D41" s="23">
        <v>152650</v>
      </c>
      <c r="E41" s="80" t="s">
        <v>397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174</v>
      </c>
      <c r="D42" s="23">
        <v>152653</v>
      </c>
      <c r="E42" s="80" t="s">
        <v>398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174</v>
      </c>
      <c r="D43" s="23">
        <v>152653</v>
      </c>
      <c r="E43" s="80" t="s">
        <v>398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174</v>
      </c>
      <c r="D44" s="23">
        <v>152653</v>
      </c>
      <c r="E44" s="80" t="s">
        <v>398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174</v>
      </c>
      <c r="D45" s="23">
        <v>152653</v>
      </c>
      <c r="E45" s="80" t="s">
        <v>398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174</v>
      </c>
      <c r="D46" s="23">
        <v>152653</v>
      </c>
      <c r="E46" s="80" t="s">
        <v>398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174</v>
      </c>
      <c r="D47" s="23">
        <v>152653</v>
      </c>
      <c r="E47" s="80" t="s">
        <v>398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174</v>
      </c>
      <c r="D48" s="23">
        <v>152653</v>
      </c>
      <c r="E48" s="80" t="s">
        <v>398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174</v>
      </c>
      <c r="D49" s="23">
        <v>152653</v>
      </c>
      <c r="E49" s="80" t="s">
        <v>398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174</v>
      </c>
      <c r="D50" s="23">
        <v>152653</v>
      </c>
      <c r="E50" s="80" t="s">
        <v>398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174</v>
      </c>
      <c r="D51" s="23">
        <v>152650</v>
      </c>
      <c r="E51" s="80" t="s">
        <v>397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174</v>
      </c>
      <c r="D52" s="23">
        <v>152650</v>
      </c>
      <c r="E52" s="80" t="s">
        <v>397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174</v>
      </c>
      <c r="D53" s="23">
        <v>152650</v>
      </c>
      <c r="E53" s="80" t="s">
        <v>397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174</v>
      </c>
      <c r="D54" s="23">
        <v>152650</v>
      </c>
      <c r="E54" s="80" t="s">
        <v>397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174</v>
      </c>
      <c r="D55" s="23">
        <v>152650</v>
      </c>
      <c r="E55" s="80" t="s">
        <v>397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174</v>
      </c>
      <c r="D56" s="23">
        <v>152650</v>
      </c>
      <c r="E56" s="80" t="s">
        <v>397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174</v>
      </c>
      <c r="D57" s="23">
        <v>152650</v>
      </c>
      <c r="E57" s="80" t="s">
        <v>397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174</v>
      </c>
      <c r="D58" s="23">
        <v>152650</v>
      </c>
      <c r="E58" s="80" t="s">
        <v>397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174</v>
      </c>
      <c r="D59" s="23">
        <v>152650</v>
      </c>
      <c r="E59" s="80" t="s">
        <v>397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174</v>
      </c>
      <c r="D60" s="23">
        <v>152650</v>
      </c>
      <c r="E60" s="80" t="s">
        <v>397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418</v>
      </c>
      <c r="D61" s="23">
        <v>1425040</v>
      </c>
      <c r="E61" s="80" t="s">
        <v>399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0" t="s">
        <v>418</v>
      </c>
      <c r="D62" s="23">
        <v>1425040</v>
      </c>
      <c r="E62" s="80" t="s">
        <v>399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418</v>
      </c>
      <c r="D63" s="23">
        <v>1425040</v>
      </c>
      <c r="E63" s="80" t="s">
        <v>399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418</v>
      </c>
      <c r="D64" s="23">
        <v>1425040</v>
      </c>
      <c r="E64" s="80" t="s">
        <v>399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418</v>
      </c>
      <c r="D65" s="23">
        <v>1425049</v>
      </c>
      <c r="E65" s="80" t="s">
        <v>400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0" t="s">
        <v>418</v>
      </c>
      <c r="D66" s="23">
        <v>1425031</v>
      </c>
      <c r="E66" s="80" t="s">
        <v>401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418</v>
      </c>
      <c r="D67" s="23">
        <v>1425031</v>
      </c>
      <c r="E67" s="80" t="s">
        <v>401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418</v>
      </c>
      <c r="D68" s="23">
        <v>1425032</v>
      </c>
      <c r="E68" s="80" t="s">
        <v>402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418</v>
      </c>
      <c r="D69" s="23">
        <v>1425032</v>
      </c>
      <c r="E69" s="80" t="s">
        <v>402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418</v>
      </c>
      <c r="D70" s="23">
        <v>1425034</v>
      </c>
      <c r="E70" s="80" t="s">
        <v>403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418</v>
      </c>
      <c r="D71" s="23">
        <v>1425035</v>
      </c>
      <c r="E71" s="80" t="s">
        <v>404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418</v>
      </c>
      <c r="D72" s="23">
        <v>1425031</v>
      </c>
      <c r="E72" s="80" t="s">
        <v>401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418</v>
      </c>
      <c r="D73" s="23">
        <v>1425032</v>
      </c>
      <c r="E73" s="80" t="s">
        <v>402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418</v>
      </c>
      <c r="D74" s="23">
        <v>1425039</v>
      </c>
      <c r="E74" s="80" t="s">
        <v>405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418</v>
      </c>
      <c r="D75" s="23">
        <v>1425046</v>
      </c>
      <c r="E75" s="80" t="s">
        <v>406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418</v>
      </c>
      <c r="D76" s="23">
        <v>1425038</v>
      </c>
      <c r="E76" s="80" t="s">
        <v>407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418</v>
      </c>
      <c r="D77" s="23">
        <v>1425031</v>
      </c>
      <c r="E77" s="80" t="s">
        <v>401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418</v>
      </c>
      <c r="D78" s="23">
        <v>1425031</v>
      </c>
      <c r="E78" s="80" t="s">
        <v>401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418</v>
      </c>
      <c r="D79" s="23">
        <v>1425031</v>
      </c>
      <c r="E79" s="80" t="s">
        <v>401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418</v>
      </c>
      <c r="D80" s="23">
        <v>1425031</v>
      </c>
      <c r="E80" s="80" t="s">
        <v>401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418</v>
      </c>
      <c r="D81" s="23">
        <v>1425039</v>
      </c>
      <c r="E81" s="80" t="s">
        <v>405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418</v>
      </c>
      <c r="D82" s="23">
        <v>1425034</v>
      </c>
      <c r="E82" s="80" t="s">
        <v>403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418</v>
      </c>
      <c r="D83" s="23">
        <v>1425034</v>
      </c>
      <c r="E83" s="80" t="s">
        <v>403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418</v>
      </c>
      <c r="D84" s="23">
        <v>1425032</v>
      </c>
      <c r="E84" s="80" t="s">
        <v>402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418</v>
      </c>
      <c r="D85" s="23">
        <v>1425032</v>
      </c>
      <c r="E85" s="80" t="s">
        <v>402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418</v>
      </c>
      <c r="D86" s="23">
        <v>1425032</v>
      </c>
      <c r="E86" s="80" t="s">
        <v>402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418</v>
      </c>
      <c r="D87" s="23">
        <v>1425032</v>
      </c>
      <c r="E87" s="80" t="s">
        <v>402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418</v>
      </c>
      <c r="D88" s="23">
        <v>1425032</v>
      </c>
      <c r="E88" s="80" t="s">
        <v>402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418</v>
      </c>
      <c r="D89" s="23">
        <v>1425032</v>
      </c>
      <c r="E89" s="80" t="s">
        <v>402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418</v>
      </c>
      <c r="D90" s="23">
        <v>1425030</v>
      </c>
      <c r="E90" s="80" t="s">
        <v>408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418</v>
      </c>
      <c r="D91" s="23">
        <v>1425030</v>
      </c>
      <c r="E91" s="80" t="s">
        <v>408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418</v>
      </c>
      <c r="D92" s="23">
        <v>1425030</v>
      </c>
      <c r="E92" s="80" t="s">
        <v>408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418</v>
      </c>
      <c r="D93" s="23">
        <v>1425030</v>
      </c>
      <c r="E93" s="80" t="s">
        <v>408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418</v>
      </c>
      <c r="D94" s="23">
        <v>1425030</v>
      </c>
      <c r="E94" s="80" t="s">
        <v>408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418</v>
      </c>
      <c r="D95" s="23">
        <v>1425035</v>
      </c>
      <c r="E95" s="80" t="s">
        <v>404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418</v>
      </c>
      <c r="D96" s="23">
        <v>1425035</v>
      </c>
      <c r="E96" s="80" t="s">
        <v>404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418</v>
      </c>
      <c r="D97" s="23">
        <v>1425046</v>
      </c>
      <c r="E97" s="80" t="s">
        <v>406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418</v>
      </c>
      <c r="D98" s="23">
        <v>1425031</v>
      </c>
      <c r="E98" s="80" t="s">
        <v>401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418</v>
      </c>
      <c r="D99" s="23">
        <v>1425050</v>
      </c>
      <c r="E99" s="80" t="s">
        <v>409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418</v>
      </c>
      <c r="D100" s="23">
        <v>1425050</v>
      </c>
      <c r="E100" s="80" t="s">
        <v>409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418</v>
      </c>
      <c r="D101" s="23">
        <v>1425051</v>
      </c>
      <c r="E101" s="80" t="s">
        <v>410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418</v>
      </c>
      <c r="D102" s="23">
        <v>1425051</v>
      </c>
      <c r="E102" s="80" t="s">
        <v>410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418</v>
      </c>
      <c r="D103" s="23">
        <v>1425052</v>
      </c>
      <c r="E103" s="80" t="s">
        <v>411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418</v>
      </c>
      <c r="D104" s="23">
        <v>1425053</v>
      </c>
      <c r="E104" s="80" t="s">
        <v>412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418</v>
      </c>
      <c r="D105" s="23">
        <v>1425054</v>
      </c>
      <c r="E105" s="80" t="s">
        <v>413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418</v>
      </c>
      <c r="D106" s="23">
        <v>1425055</v>
      </c>
      <c r="E106" s="80" t="s">
        <v>414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418</v>
      </c>
      <c r="D107" s="23">
        <v>1425056</v>
      </c>
      <c r="E107" s="80" t="s">
        <v>415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418</v>
      </c>
      <c r="D108" s="23">
        <v>1425057</v>
      </c>
      <c r="E108" s="80" t="s">
        <v>416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418</v>
      </c>
      <c r="D109" s="23">
        <v>1425030</v>
      </c>
      <c r="E109" s="80" t="s">
        <v>408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418</v>
      </c>
      <c r="D110" s="23">
        <v>1425058</v>
      </c>
      <c r="E110" s="80" t="s">
        <v>417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418</v>
      </c>
      <c r="D111" s="23">
        <v>1425052</v>
      </c>
      <c r="E111" s="80" t="s">
        <v>411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418</v>
      </c>
      <c r="D112" s="23">
        <v>1425052</v>
      </c>
      <c r="E112" s="80" t="s">
        <v>411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418</v>
      </c>
      <c r="D113" s="23">
        <v>1425030</v>
      </c>
      <c r="E113" s="80" t="s">
        <v>408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2026-07-11T11:02:17Z</dcterms:modified>
</cp:coreProperties>
</file>