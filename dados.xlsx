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C8AA901C-C3EC-42F1-BFED-A67EEADDCD54}" xr6:coauthVersionLast="47" xr6:coauthVersionMax="47" xr10:uidLastSave="{00000000-0000-0000-0000-000000000000}"/>
  <bookViews>
    <workbookView xWindow="-120" yWindow="-120" windowWidth="29040" windowHeight="15720" activeTab="7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BAGACEIRAS!$A$1:$AD$119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37" i="2"/>
  <c r="X38" i="2"/>
  <c r="X40" i="2"/>
  <c r="X41" i="2"/>
  <c r="X42" i="2"/>
  <c r="X43" i="2"/>
  <c r="X44" i="2"/>
  <c r="X45" i="2"/>
  <c r="X46" i="2"/>
  <c r="X47" i="2"/>
  <c r="X48" i="2"/>
  <c r="X49" i="2"/>
  <c r="X50" i="2"/>
  <c r="X51" i="2"/>
  <c r="X52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<sst xmlns="http://schemas.openxmlformats.org/spreadsheetml/2006/main" count="12629" uniqueCount="617">
  <si>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</si>
  <si>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</si>
  <si>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</si>
  <si>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</si>
  <si>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</si>
  <si>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</si>
  <si>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</si>
  <si>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</si>
  <si>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</si>
  <si>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</si>
  <si>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</si>
  <si>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</si>
  <si>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</si>
  <si>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</si>
  <si>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</si>
  <si>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</si>
  <si>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</si>
  <si>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</si>
  <si>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</si>
  <si>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</si>
  <si>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</si>
  <si>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</si>
  <si>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</si>
  <si>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</si>
  <si>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</si>
  <si>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</si>
  <si>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</si>
  <si>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</si>
  <si>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</si>
  <si>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</si>
  <si>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</si>
  <si>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</si>
  <si>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</si>
  <si>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</si>
  <si>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</si>
  <si>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</si>
  <si>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</si>
  <si>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</si>
  <si>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</si>
  <si>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</si>
  <si>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</si>
  <si>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</si>
  <si>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</si>
  <si>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</si>
  <si>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</si>
  <si>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</si>
  <si>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</si>
  <si>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</si>
  <si>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</si>
  <si>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</si>
  <si>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</si>
  <si>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</si>
  <si>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</si>
  <si>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</si>
  <si>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</si>
  <si>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</si>
  <si>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</si>
  <si>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</si>
  <si>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</si>
  <si>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</si>
  <si>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</si>
  <si>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</si>
  <si>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</si>
  <si>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</si>
  <si>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</si>
  <si>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</si>
  <si>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</si>
  <si>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</si>
  <si>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</si>
  <si>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</si>
  <si>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</si>
  <si>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</si>
  <si>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</si>
  <si>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</si>
  <si>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</si>
  <si>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</si>
  <si>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</si>
  <si>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</si>
  <si>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</si>
  <si>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</si>
  <si>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</si>
  <si>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</si>
  <si>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</si>
  <si>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</si>
  <si>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</si>
  <si>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</si>
  <si>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</si>
  <si>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</si>
  <si>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</si>
  <si>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</si>
  <si>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</si>
  <si>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</si>
  <si>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</si>
  <si>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</si>
  <si>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</si>
  <si>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</si>
  <si>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</si>
  <si>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</si>
  <si>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</si>
  <si>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</si>
  <si>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</si>
  <si>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</si>
  <si>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</si>
  <si>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</si>
  <si>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</si>
  <si>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</si>
  <si>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</si>
  <si>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</si>
  <si>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</si>
  <si>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</si>
  <si>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</si>
  <si>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</si>
  <si>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</si>
  <si>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</si>
  <si>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</si>
  <si>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</si>
  <si>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</si>
  <si>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</si>
  <si>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</si>
  <si>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</si>
  <si>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</si>
  <si>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</si>
  <si>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</si>
  <si>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</si>
  <si>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</si>
  <si>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</si>
  <si>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</si>
  <si>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</si>
  <si>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</si>
  <si>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</si>
  <si>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</si>
  <si>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</si>
  <si>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</si>
  <si>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</si>
  <si>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</si>
  <si>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</si>
  <si>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</si>
  <si>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</si>
  <si>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</si>
  <si>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</si>
  <si>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</si>
  <si>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</si>
  <si>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</si>
  <si>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</si>
  <si>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</si>
  <si>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</si>
  <si>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</si>
  <si>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</si>
  <si>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</si>
  <si>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</si>
  <si>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</si>
  <si>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</si>
  <si>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</si>
  <si>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</si>
  <si>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</si>
  <si>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</si>
  <si>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</si>
  <si>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</si>
  <si>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</si>
  <si>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</si>
  <si>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</si>
  <si>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</si>
  <si>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</si>
  <si>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</si>
  <si>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</si>
  <si>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</si>
  <si>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</si>
  <si>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</si>
  <si>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</si>
  <si>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</si>
  <si>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</si>
  <si>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</si>
  <si>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</si>
  <si>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</si>
  <si>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</si>
  <si>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</si>
  <si>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</si>
  <si>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</si>
  <si>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</si>
  <si>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</si>
  <si>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</si>
  <si>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</si>
  <si>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</si>
  <si>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</si>
  <si>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</si>
  <si>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</si>
  <si>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</si>
  <si>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</si>
  <si>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</si>
  <si>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</si>
  <si>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</si>
  <si>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</si>
  <si>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</si>
  <si>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</si>
  <si>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</si>
  <si>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</si>
  <si>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</si>
  <si>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</si>
  <si>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</si>
  <si>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</si>
  <si>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</si>
  <si>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</si>
  <si>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</si>
  <si>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</si>
  <si>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</si>
  <si>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</si>
  <si>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</si>
  <si>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</si>
  <si>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</si>
  <si>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</si>
  <si>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</si>
  <si>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</si>
  <si>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</si>
  <si>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</si>
  <si>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</si>
  <si>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</si>
  <si>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</si>
  <si>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</si>
  <si>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</si>
  <si>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</si>
  <si>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</si>
  <si>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</si>
  <si>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</si>
  <si>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</si>
  <si>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</si>
  <si>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</si>
  <si>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</si>
  <si>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</si>
  <si>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</si>
  <si>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</si>
  <si>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</si>
  <si>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</si>
  <si>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</si>
  <si>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</si>
  <si>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</si>
  <si>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</si>
  <si>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</si>
  <si>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</si>
  <si>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</si>
  <si>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</si>
  <si>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</si>
  <si>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</si>
  <si>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</si>
  <si>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</si>
  <si>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</si>
  <si>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</si>
  <si>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</si>
  <si>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</si>
  <si>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</si>
  <si>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</si>
  <si>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</si>
  <si>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</si>
  <si>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</si>
  <si>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</si>
  <si>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</si>
  <si>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</si>
  <si>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</si>
  <si>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</si>
  <si>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</si>
  <si>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</si>
  <si>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</si>
  <si>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</si>
  <si>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</si>
  <si>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</si>
  <si>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</si>
  <si>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</si>
  <si>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</si>
  <si>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</si>
  <si>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</si>
  <si>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</si>
  <si>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</si>
  <si>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</si>
  <si>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</si>
  <si>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</si>
  <si>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</si>
  <si>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</si>
  <si>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</si>
  <si>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</si>
  <si>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</si>
  <si>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</si>
  <si>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</si>
  <si>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</si>
  <si>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</si>
  <si>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</si>
  <si>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</si>
  <si>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</si>
  <si>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</si>
  <si>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</si>
  <si>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</si>
  <si>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</si>
  <si>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</si>
  <si>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</si>
  <si>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</si>
  <si>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</si>
  <si>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</si>
  <si>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</si>
  <si>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</si>
  <si>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</si>
  <si>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</si>
  <si>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</si>
  <si>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</si>
  <si>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</si>
  <si>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</si>
  <si>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</si>
  <si>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</si>
  <si>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</si>
  <si>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</si>
  <si>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</si>
  <si>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</si>
  <si>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</si>
  <si>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</si>
  <si>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</si>
  <si>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</si>
  <si>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</si>
  <si>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</si>
  <si>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</si>
  <si>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</si>
  <si>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</si>
  <si>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</si>
  <si>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</si>
  <si>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</si>
  <si>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</si>
  <si>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</si>
  <si>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</si>
  <si>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</si>
  <si>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</si>
  <si>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</si>
  <si>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</si>
  <si>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</si>
  <si>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</si>
  <si>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</si>
  <si>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</si>
  <si>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</si>
  <si>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</si>
  <si>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</si>
  <si>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</si>
  <si>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</si>
  <si>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</si>
  <si>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</si>
  <si>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</si>
  <si>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</si>
  <si>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</si>
  <si>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</si>
  <si>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</si>
  <si>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</si>
  <si>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</si>
  <si>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</si>
  <si>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</si>
  <si>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</si>
  <si>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</si>
  <si>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</si>
  <si>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</si>
  <si>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</si>
  <si>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</si>
  <si>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</si>
  <si>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</si>
  <si>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</si>
  <si>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</si>
  <si>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</si>
  <si>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</si>
  <si>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</si>
  <si>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</si>
  <si>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</si>
  <si>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</si>
  <si>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</si>
  <si>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</si>
  <si>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</si>
  <si>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</si>
  <si>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</si>
  <si>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</si>
  <si>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</si>
  <si>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</si>
  <si>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</si>
  <si>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</si>
  <si>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</si>
  <si>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</si>
  <si>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</si>
  <si>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</si>
  <si>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</si>
  <si>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</si>
  <si>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</si>
  <si>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</si>
  <si>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</si>
  <si>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</si>
  <si>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</si>
  <si>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</si>
  <si>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</si>
  <si>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</si>
  <si>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</si>
  <si>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</si>
  <si>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</si>
  <si>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</si>
  <si>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</si>
  <si>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</si>
  <si>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</si>
  <si>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</si>
  <si>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</si>
  <si>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</si>
  <si>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</si>
  <si>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</si>
  <si>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</si>
  <si>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</si>
  <si>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</si>
  <si>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</si>
  <si>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</si>
  <si>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</si>
  <si>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</si>
  <si>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</si>
  <si>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</si>
  <si>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</si>
  <si>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</si>
  <si>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</si>
  <si>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</si>
  <si>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</si>
  <si>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</si>
  <si>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</si>
  <si>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</si>
  <si>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</si>
  <si>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</si>
  <si>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</si>
  <si>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</si>
  <si>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</si>
  <si>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</si>
  <si>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</si>
  <si>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</si>
  <si>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</si>
  <si>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</si>
  <si>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</si>
  <si>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</si>
  <si>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</si>
  <si>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</si>
  <si>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</si>
  <si>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</si>
  <si>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</si>
  <si>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</si>
  <si>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</si>
  <si>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</si>
  <si>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</si>
  <si>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</si>
  <si>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</si>
  <si>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</si>
  <si>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</si>
  <si>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</si>
  <si>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</si>
  <si>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</si>
  <si>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</si>
  <si>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</si>
  <si>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</si>
  <si>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</si>
  <si>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</si>
  <si>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</si>
  <si>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</si>
  <si>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</si>
  <si>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</si>
  <si>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</si>
  <si>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</si>
  <si>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</si>
  <si>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</si>
  <si>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</si>
  <si>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</si>
  <si>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</si>
  <si>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</si>
  <si>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</si>
  <si>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</si>
  <si>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</si>
  <si>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</si>
  <si>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</si>
  <si>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</si>
  <si>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</si>
  <si>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</si>
  <si>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</si>
  <si>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</si>
  <si>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</si>
  <si>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</si>
  <si>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</si>
  <si>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</si>
  <si>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</si>
  <si>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</si>
  <si>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</si>
  <si>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</si>
  <si>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</si>
  <si>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</si>
  <si>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</si>
  <si>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</si>
  <si>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</si>
  <si>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</si>
  <si>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</si>
  <si>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</si>
  <si>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</si>
  <si>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</si>
  <si>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</si>
  <si>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</si>
  <si>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</si>
  <si>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</si>
  <si>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</si>
  <si>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</si>
  <si>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</si>
  <si>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</si>
  <si>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Lib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</si>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</sst>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6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224" dataDxfId="223">
  <autoFilter ref="A1:AD120" xr:uid="{0B979512-8F08-4F92-A755-B1320B33B48D}">
    <filterColumn colId="9">
      <filters>
        <dateGroupItem year="2026" month="7" day="31" dateTimeGrouping="day"/>
      </filters>
    </filterColumn>
  </autoFilter>
  <tableColumns count="30">
    <tableColumn id="1" xr3:uid="{2AE87B23-57FB-4D7F-8BFD-D65EC0053BA3}" name="PV" dataDxfId="222"/>
    <tableColumn id="2" xr3:uid="{81052488-0765-4420-B185-DA73AE55FD88}" name="Item" dataDxfId="221"/>
    <tableColumn id="3" xr3:uid="{0E7DB960-0044-4341-ADB4-2A033B27B993}" name="OS/Peças" dataDxfId="220"/>
    <tableColumn id="4" xr3:uid="{B0F20CBE-FFF4-445B-B0BF-7A9C6A140189}" name="Seq." dataDxfId="219"/>
    <tableColumn id="5" xr3:uid="{D1656E30-4AB0-4CD0-BF13-6D5A49C6E4A0}" name="Cliente" dataDxfId="218"/>
    <tableColumn id="8" xr3:uid="{0D871CDA-AC7B-4365-B4FD-95C8967CF254}" name="Descrição" dataDxfId="217"/>
    <tableColumn id="9" xr3:uid="{9C6311D3-DE8E-4A12-8716-11D7CF745EA9}" name="Qtde." dataDxfId="216"/>
    <tableColumn id="10" xr3:uid="{0D119764-5D6A-44D7-A0C6-EAAE37326AEF}" name="Prazo_x000a_Fundido" dataDxfId="215"/>
    <tableColumn id="11" xr3:uid="{357F67DE-6B6F-4353-906F-4FBB26ED7226}" name="Pz Fundido_x000a_Real" dataDxfId="214"/>
    <tableColumn id="12" xr3:uid="{5CF37CA2-8EC2-4A06-8A50-1305C1129D14}" name="Prazo_x000a_Entrega" dataDxfId="213"/>
    <tableColumn id="36" xr3:uid="{903E641C-0F4A-465E-9B87-4C77A3724350}" name="Pz Entrega_x000a_Real" dataDxfId="212"/>
    <tableColumn id="14" xr3:uid="{49E3A48F-4FBA-45ED-9BE5-0D3F2C039F64}" name="Dias_x000a_Falta2" dataDxfId="211">
      <calculatedColumnFormula>Tabela1[[#This Row],[Prazo
Entrega]]-TODAY()</calculatedColumnFormula>
    </tableColumn>
    <tableColumn id="24" xr3:uid="{FE82CCB3-C196-4A10-9CDF-EC3AAB610284}" name="Indicador" dataDxfId="210">
      <calculatedColumnFormula>IF(L2&lt;0,"ATRASADO",IF(L2&lt;=15,"ATENÇÃO","NO PRAZO"))</calculatedColumnFormula>
    </tableColumn>
    <tableColumn id="22" xr3:uid="{8BBF8940-A612-415C-B30B-5BED69C42E59}" name="CONDIÇÃO" dataDxfId="209"/>
    <tableColumn id="35" xr3:uid="{DF0F32C7-2632-41CB-B20E-BE67D32DDFF8}" name="Desenho_x000a_Previsão" dataDxfId="208"/>
    <tableColumn id="33" xr3:uid="{B0C0F319-983E-42D8-8584-16523AED9BC7}" name="Des." dataDxfId="207"/>
    <tableColumn id="32" xr3:uid="{BB84EAAB-24E7-433E-8DE8-B7705F525D65}" name="OP1" dataDxfId="206"/>
    <tableColumn id="30" xr3:uid="{EFE986D2-325F-4223-A6FC-89AFC0782517}" name="OP2" dataDxfId="205"/>
    <tableColumn id="29" xr3:uid="{806CC413-43AC-4EDE-9413-A2852780B283}" name="OP3" dataDxfId="204"/>
    <tableColumn id="28" xr3:uid="{669E3B74-6C47-4551-B95C-DE764412CB09}" name="OP4" dataDxfId="203"/>
    <tableColumn id="27" xr3:uid="{33B1427B-026C-4955-BEDC-C39ECFB35542}" name="OP5" dataDxfId="202"/>
    <tableColumn id="34" xr3:uid="{2004DA6B-65E8-4CFF-8DD6-03937C8E23A7}" name="OP6" dataDxfId="201"/>
    <tableColumn id="25" xr3:uid="{94AD153B-B1BE-422C-9B64-A3F125946AE5}" name="OP7" dataDxfId="200"/>
    <tableColumn id="23" xr3:uid="{6FFD36BA-4C85-4732-ACA9-BC9D46F4C26B}" name="Status Us." dataDxfId="199">
      <calculatedColumnFormula>IF(I2="","AG. FUNDIDO",IF(Q2="AG","AG. USINAGEM","EM USINAGEM"))</calculatedColumnFormula>
    </tableColumn>
    <tableColumn id="26" xr3:uid="{DF8CD1DA-6F25-4291-9F78-DB8D5E9AF463}" name="Obs." dataDxfId="198"/>
    <tableColumn id="15" xr3:uid="{8F53CFFE-8E1C-41F5-9090-488AE701829C}" name="Plainar_x000a_Facear" dataDxfId="197"/>
    <tableColumn id="16" xr3:uid="{EB12A620-BA24-453B-B639-A28F83CF7950}" name="Serrar2" dataDxfId="196"/>
    <tableColumn id="17" xr3:uid="{46D65A07-940A-4560-AFE5-056D37171937}" name="Solda_x000a_Dura2" dataDxfId="195"/>
    <tableColumn id="18" xr3:uid="{97823986-0C6D-4D6F-9BEE-2E43C2286AB2}" name="Encaixe /_x000a_Furação" dataDxfId="194"/>
    <tableColumn id="19" xr3:uid="{6F1924AE-480F-421A-BD70-FA16D1D4E641}" name="Acabam./_x000a_Inspeção" dataDxfId="193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92" dataDxfId="191">
  <autoFilter ref="A1:W214" xr:uid="{71E71FAB-CF6D-4765-90BA-ABDE8C3299DB}"/>
  <tableColumns count="23">
    <tableColumn id="1" xr3:uid="{8F000DF9-1B1A-450A-B138-9EDBA7F17698}" name="PV" dataDxfId="190"/>
    <tableColumn id="2" xr3:uid="{4269DD7F-E557-42AF-949B-69AB74B45D7E}" name="Item" dataDxfId="189"/>
    <tableColumn id="3" xr3:uid="{B8E3D127-9007-43BC-9B71-611446984BAE}" name="OS/_x000a_Peça" dataDxfId="188"/>
    <tableColumn id="4" xr3:uid="{8A9FBC4E-431D-4132-B7C4-86DD1CC31C1D}" name="Seq." dataDxfId="187"/>
    <tableColumn id="5" xr3:uid="{E43CCBA4-A724-44DA-9BFB-2AD45322EC54}" name="Cliente" dataDxfId="186"/>
    <tableColumn id="8" xr3:uid="{39F09B1D-71EC-461C-93C5-C5FCECCA0EC0}" name="Descrição" dataDxfId="185"/>
    <tableColumn id="9" xr3:uid="{0CC8781A-4370-473C-AD18-F562622EB79C}" name="Qtde." dataDxfId="184"/>
    <tableColumn id="10" xr3:uid="{8FC48674-090B-441A-B05D-5E7E4AB5177C}" name="Prazo_x000a_Fundido" dataDxfId="183"/>
    <tableColumn id="12" xr3:uid="{F410DF31-AFC5-4525-B8D3-A2AB464611B3}" name="Pz Fundido_x000a_Real" dataDxfId="182"/>
    <tableColumn id="13" xr3:uid="{7330A8B8-B0FE-4571-921F-35503842576A}" name="Prazo_x000a_Entrega" dataDxfId="181"/>
    <tableColumn id="23" xr3:uid="{050BF892-6E0A-4C1A-85E3-06353D54D7AC}" name="Pz Entrega_x000a_Real" dataDxfId="180"/>
    <tableColumn id="22" xr3:uid="{07396B9E-F2A0-47CC-B1C1-8D6A8D782E82}" name="Desenho_x000a_Previsão" dataDxfId="179"/>
    <tableColumn id="14" xr3:uid="{98904960-EE6F-4F44-87C3-8646B8C2D461}" name="Des." dataDxfId="178"/>
    <tableColumn id="15" xr3:uid="{4C38D84D-3A40-493A-A007-3826C38C0F9D}" name="Dias_x000a_Falta2" dataDxfId="177">
      <calculatedColumnFormula>Tabela3[[#This Row],[Prazo
Entrega]]-TODAY()</calculatedColumnFormula>
    </tableColumn>
    <tableColumn id="16" xr3:uid="{431C9D70-8530-4071-911B-7AAC65DE848C}" name="Indicador" dataDxfId="176">
      <calculatedColumnFormula>IF(N2&lt;0,"ATRASADO",IF(N2&lt;=15,"ATENÇÃO","NO PRAZO"))</calculatedColumnFormula>
    </tableColumn>
    <tableColumn id="19" xr3:uid="{A127FC22-0D53-4D0F-B783-28394B3FD90C}" name="CONDIÇÃO" dataDxfId="175"/>
    <tableColumn id="17" xr3:uid="{C7F76CF8-5A2A-4921-A3C5-76F960930981}" name="OP1" dataDxfId="174"/>
    <tableColumn id="11" xr3:uid="{39173775-3C78-4FE9-BDCF-83499538BE89}" name="OP2" dataDxfId="173"/>
    <tableColumn id="7" xr3:uid="{F3976AE8-D66C-4536-AE65-B0A7AE46E4B7}" name="OP3" dataDxfId="172"/>
    <tableColumn id="6" xr3:uid="{A70D2F75-F894-4AF7-B60D-3007B9A62CEA}" name="OP4" dataDxfId="171"/>
    <tableColumn id="24" xr3:uid="{A3AFB759-0D7A-44E1-888F-4B5B0EB8A822}" name="OP5" dataDxfId="170"/>
    <tableColumn id="20" xr3:uid="{F610A49E-78E2-480E-B901-6B99A41E5174}" name="Status Usinagem" dataDxfId="169"/>
    <tableColumn id="21" xr3:uid="{FA7288EB-0143-4C36-8591-BF7231A8226E}" name="Observação" dataDxfId="16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67" dataDxfId="166">
  <autoFilter ref="A1:Y56" xr:uid="{2AC5416C-4E1B-4478-8A2A-B698870CAB96}"/>
  <tableColumns count="25">
    <tableColumn id="1" xr3:uid="{9A983B4E-3365-4153-9B40-D7FE26E8B98F}" name="PV " dataDxfId="165"/>
    <tableColumn id="2" xr3:uid="{4F16CD54-AAD4-4149-8D48-CC3FFEA93AA5}" name="Item" dataDxfId="164"/>
    <tableColumn id="3" xr3:uid="{27DB1DBC-B9DA-4067-9696-8CA5ACAAA450}" name="OS/_x000a_Peça" dataDxfId="163"/>
    <tableColumn id="4" xr3:uid="{02C5E283-8ABF-44F8-B3B8-C3F186B4DF63}" name="Seq." dataDxfId="162"/>
    <tableColumn id="5" xr3:uid="{B1051CBE-EA72-4A43-8721-8756F3E2C9C9}" name="Cliente" dataDxfId="161"/>
    <tableColumn id="8" xr3:uid="{9EBF401A-1F29-4CB3-BFA3-F2B326242AB0}" name="Descrição" dataDxfId="160"/>
    <tableColumn id="14" xr3:uid="{85D3397C-7F95-49C7-BFFB-35012CA3B716}" name="Qtd." dataDxfId="159"/>
    <tableColumn id="9" xr3:uid="{0D04583C-577A-446B-9773-A173C5C1C166}" name="Data Prev._x000a_Fundido" dataDxfId="158"/>
    <tableColumn id="10" xr3:uid="{935D3899-0C12-4408-89DF-490A507F79BA}" name="Data Real_x000a_Fundido" dataDxfId="157"/>
    <tableColumn id="11" xr3:uid="{0F06941F-293B-4C15-9764-BB3495C5D3BD}" name="Data Prev._x000a_Entrega" dataDxfId="156"/>
    <tableColumn id="12" xr3:uid="{92FF2511-5498-45BF-9B68-94DBEA588C5A}" name="Data Real_x000a_Entrega" dataDxfId="155"/>
    <tableColumn id="25" xr3:uid="{98545C7E-9674-485C-A07D-715E8945B00E}" name="Falta_x000a_Dias" dataDxfId="154">
      <calculatedColumnFormula>Tabela13[[#This Row],[Data Prev.
Entrega]]-TODAY()</calculatedColumnFormula>
    </tableColumn>
    <tableColumn id="27" xr3:uid="{4EB63243-AA79-4695-93C8-CEA977B11387}" name="Indicador" dataDxfId="153">
      <calculatedColumnFormula>IF(L2&lt;0,"ATRASADO",IF(L2&lt;=15,"ATENÇÃO","NO PRAZO"))</calculatedColumnFormula>
    </tableColumn>
    <tableColumn id="15" xr3:uid="{7AB992C1-F70E-4469-85BB-EBB7763B2038}" name="Condição" dataDxfId="152"/>
    <tableColumn id="24" xr3:uid="{B5965349-4BC8-4DF7-9EB4-857B6D471E8A}" name="Desenho_x000a_Previsão" dataDxfId="151"/>
    <tableColumn id="13" xr3:uid="{FD827F61-5F7F-4B65-8A60-B59D23455B46}" name="Des." dataDxfId="150"/>
    <tableColumn id="16" xr3:uid="{3D186A5F-076F-4232-B21C-37E58E5373B2}" name="OP1" dataDxfId="149"/>
    <tableColumn id="17" xr3:uid="{6EEDF11E-F341-4B3E-8CD2-5595785C3427}" name="OP2" dataDxfId="148"/>
    <tableColumn id="26" xr3:uid="{286BF833-DF55-496A-BA42-E4A8CD9042A8}" name="OP3" dataDxfId="147"/>
    <tableColumn id="18" xr3:uid="{A84EFCF4-218F-4B17-8F46-8D5412141429}" name="OP4" dataDxfId="146"/>
    <tableColumn id="19" xr3:uid="{EBD50149-594D-440E-BFBB-E73ACAF7B6F8}" name="OP5" dataDxfId="145"/>
    <tableColumn id="20" xr3:uid="{91BE30ED-20C1-4F30-9041-45A50CCA04F0}" name="OP6" dataDxfId="144"/>
    <tableColumn id="21" xr3:uid="{A1A12DF6-FC3D-4466-8284-DBD00DEAF994}" name="OP7" dataDxfId="143"/>
    <tableColumn id="22" xr3:uid="{436F202D-DCF4-4376-A550-2541153BD99F}" name="Status Usinagem" dataDxfId="142">
      <calculatedColumnFormula>IF(I2="","AG. FUNDIDO",IF(W2="OK","LIBERADA","EM USINAGEM"))</calculatedColumnFormula>
    </tableColumn>
    <tableColumn id="23" xr3:uid="{F71E5739-8B79-47B3-9A24-E2E4D1DD46E6}" name="Observação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5" totalsRowShown="0" headerRowDxfId="140" dataDxfId="139">
  <autoFilter ref="A1:U65" xr:uid="{4BA44271-44C6-408A-A6A6-B543ACC82025}"/>
  <tableColumns count="21">
    <tableColumn id="1" xr3:uid="{59A78859-607B-43B6-A1C1-8FD9058D131E}" name="PV" dataDxfId="138"/>
    <tableColumn id="2" xr3:uid="{5AC3CDB0-EECF-4366-AABB-10D4632E5647}" name="Item" dataDxfId="137"/>
    <tableColumn id="3" xr3:uid="{CA90DF44-B521-495F-A8BF-53A3271A5DAF}" name="Cliente" dataDxfId="136"/>
    <tableColumn id="4" xr3:uid="{12AD5BC7-853C-41A0-AF2A-10508DE122E6}" name="Descrição" dataDxfId="135"/>
    <tableColumn id="5" xr3:uid="{04BE35C7-D026-451E-8D4A-708772E0EEA0}" name="Qtde." dataDxfId="134"/>
    <tableColumn id="6" xr3:uid="{A8C5072F-7F3F-44B2-9E08-0B2B05394BBD}" name="Bit" dataDxfId="133"/>
    <tableColumn id="21" xr3:uid="{CA10AF60-179E-4208-9164-EC57F967A475}" name="Terno" dataDxfId="132"/>
    <tableColumn id="7" xr3:uid="{817D5A28-820D-426F-9B7B-6D7C33A33750}" name="Desenho_x000a_Previsão" dataDxfId="131"/>
    <tableColumn id="8" xr3:uid="{2AD27BA2-0CC6-4648-8F39-70EA6F2DCA28}" name="Des." dataDxfId="130"/>
    <tableColumn id="9" xr3:uid="{AD513A49-4F2F-4FD4-BABD-5E91B76CDAAC}" name="Prazo_x000a_Entrega" dataDxfId="129"/>
    <tableColumn id="10" xr3:uid="{DDFA283B-37B1-4509-9A90-96F168A6EA1A}" name="OP1" dataDxfId="128"/>
    <tableColumn id="11" xr3:uid="{7E5D6482-94D4-4961-A07A-AA83431642CA}" name="OP2" dataDxfId="127"/>
    <tableColumn id="12" xr3:uid="{3C73DB98-7E09-4F7D-99A4-F49C8EFED7C1}" name="OP3" dataDxfId="126"/>
    <tableColumn id="13" xr3:uid="{C9B276C1-EAA2-44D3-BC63-09DEABE1333C}" name="OP4" dataDxfId="125"/>
    <tableColumn id="14" xr3:uid="{701CD035-8F78-4DD2-ADB3-14616A43EDDD}" name="OP5" dataDxfId="124"/>
    <tableColumn id="15" xr3:uid="{FEC9B4B9-312E-4D84-9BEC-71B7DBB01E5B}" name="OP6" dataDxfId="123"/>
    <tableColumn id="16" xr3:uid="{43FA3F4C-88C2-41D3-860E-2222B637DA98}" name="OP7" dataDxfId="122"/>
    <tableColumn id="17" xr3:uid="{25BFED7E-9400-4EBB-9B25-F0519E3A306F}" name="OP8" dataDxfId="121"/>
    <tableColumn id="18" xr3:uid="{5536059E-6F8D-4810-A678-B0DF23A1ECE4}" name="OP9" dataDxfId="120"/>
    <tableColumn id="19" xr3:uid="{03C085CC-9EDE-476B-8644-A15B2377E8CA}" name="Status" dataDxfId="119"/>
    <tableColumn id="20" xr3:uid="{3944B797-D6B2-47B5-A9F2-815EB3A25DE8}" name="Observação" dataDxfId="118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117" dataDxfId="116">
  <autoFilter ref="A1:R147" xr:uid="{8F2F252D-0322-4579-B9EF-622E98B5994C}">
    <filterColumn colId="4">
      <filters>
        <filter val="Coopcana"/>
      </filters>
    </filterColumn>
  </autoFilter>
  <tableColumns count="18">
    <tableColumn id="1" xr3:uid="{56D3DA8E-4CA8-4DC6-8208-BAB93CDE51C0}" name="PV" dataDxfId="115"/>
    <tableColumn id="2" xr3:uid="{B14AE1B6-8C05-4725-BF42-3DBDB37AA4E3}" name="item" dataDxfId="114"/>
    <tableColumn id="3" xr3:uid="{24FE1002-C88A-4623-8882-5F391ECAB319}" name="OS/Peças" dataDxfId="113"/>
    <tableColumn id="4" xr3:uid="{4ED6249C-2003-4F3F-AE5A-67316434275E}" name="Seq." dataDxfId="112"/>
    <tableColumn id="5" xr3:uid="{6CE5B2E1-F32C-4D32-93F0-A17C05267ADB}" name="Cliente" dataDxfId="111"/>
    <tableColumn id="6" xr3:uid="{605F51C8-79D3-407B-8642-02F131952C62}" name="Qtd." dataDxfId="110"/>
    <tableColumn id="9" xr3:uid="{5366226E-7F3B-42E4-AC0C-86C659505CC8}" name="Descrição" dataDxfId="109"/>
    <tableColumn id="10" xr3:uid="{B0D229C5-5F5A-4951-A0B4-FEA62AEFBB36}" name="Prazo_x000a_Fundido" dataDxfId="108"/>
    <tableColumn id="11" xr3:uid="{8AE09F18-EB17-4537-8FBD-24671292144B}" name="Pz Fundido_x000a_Real" dataDxfId="107"/>
    <tableColumn id="12" xr3:uid="{965E0234-7E4B-482D-8943-132C1520AD21}" name="Prazo_x000a_Entrega" dataDxfId="106"/>
    <tableColumn id="13" xr3:uid="{D70BE32E-86AF-4C0F-893D-AC939E731683}" name="Pz Entrega_x000a_Real" dataDxfId="105"/>
    <tableColumn id="15" xr3:uid="{2FE637E5-62E2-4AE9-AE5A-BC264DC93D4F}" name="Falta_x000a_Dias" dataDxfId="104">
      <calculatedColumnFormula>Tabela4[[#This Row],[Prazo
Entrega]]-TODAY()</calculatedColumnFormula>
    </tableColumn>
    <tableColumn id="14" xr3:uid="{23AEF4D3-817F-4A15-AFBA-EC837E4BE1AE}" name="Indicador" dataDxfId="103">
      <calculatedColumnFormula>IF(L2&lt;0,"ATRASADO",IF(L2&lt;=15,"ATENÇÃO","NO PRAZO"))</calculatedColumnFormula>
    </tableColumn>
    <tableColumn id="16" xr3:uid="{78F55B7C-8E60-49C5-B1F7-B023E76BDA6E}" name="Condição" dataDxfId="102"/>
    <tableColumn id="20" xr3:uid="{A889C1FB-2FE0-407A-B849-FEB9F2CA4F96}" name="Desenho_x000a_Previsão" dataDxfId="101"/>
    <tableColumn id="19" xr3:uid="{FB1E21D0-A118-422F-AA5B-F56FFBA7B5E4}" name="Des." dataDxfId="100"/>
    <tableColumn id="17" xr3:uid="{C14325D6-C653-45B3-B85F-6AF107A71546}" name="Status" dataDxfId="99"/>
    <tableColumn id="18" xr3:uid="{C6F7CA6A-B8B3-4E22-B3E8-05FFB1A03AB6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5" totalsRowShown="0" headerRowDxfId="97" dataDxfId="96">
  <autoFilter ref="A1:AB225" xr:uid="{08F50CE1-35A6-4ABA-9594-79B9C39908E8}">
    <filterColumn colId="2">
      <filters>
        <filter val="Cafealcool"/>
      </filters>
    </filterColumn>
  </autoFilter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18" totalsRowShown="0" headerRowDxfId="67" dataDxfId="66">
  <autoFilter ref="A1:W118" xr:uid="{08F50CE1-35A6-4ABA-9594-79B9C39908E8}">
    <filterColumn colId="2">
      <filters>
        <filter val="Cafealcool"/>
      </filters>
    </filterColumn>
  </autoFilter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view="pageBreakPreview" zoomScaleNormal="100" zoomScaleSheetLayoutView="100" workbookViewId="0">
      <selection activeCell="F43" sqref="F43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499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hidden="1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-18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498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hidden="1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10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hidden="1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10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hidden="1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-11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hidden="1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-11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hidden="1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-11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hidden="1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-18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hidden="1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-18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hidden="1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-18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hidden="1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-18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hidden="1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-11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hidden="1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-11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hidden="1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-11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hidden="1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-4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hidden="1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-11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hidden="1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-18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hidden="1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-18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hidden="1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-18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hidden="1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-11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hidden="1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-4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3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4" t="s">
        <v>497</v>
      </c>
      <c r="U22" s="8" t="s">
        <v>469</v>
      </c>
      <c r="V22" s="8" t="s">
        <v>498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3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4" t="s">
        <v>497</v>
      </c>
      <c r="U23" s="8" t="s">
        <v>469</v>
      </c>
      <c r="V23" s="8" t="s">
        <v>498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hidden="1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-21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498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hidden="1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-21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498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hidden="1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-21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498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hidden="1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-21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498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hidden="1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-21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498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hidden="1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-21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498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3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4" t="s">
        <v>497</v>
      </c>
      <c r="U30" s="8" t="s">
        <v>469</v>
      </c>
      <c r="V30" s="8" t="s">
        <v>498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hidden="1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-18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hidden="1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-11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hidden="1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-4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hidden="1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-11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hidden="1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-4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hidden="1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-11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hidden="1" x14ac:dyDescent="0.25">
      <c r="A37" s="13">
        <v>2201</v>
      </c>
      <c r="B37" s="13">
        <v>10</v>
      </c>
      <c r="C37" s="13">
        <v>1148039</v>
      </c>
      <c r="D37" s="13">
        <v>1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-4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tr">
        <f>IF(I37="","AG. FUNDIDO",IF(Q37="AG","AG. USINAGEM","EM USINAGEM"))</f>
        <v>EM USINAGEM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3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4" t="s">
        <v>372</v>
      </c>
      <c r="X38" s="8" t="str">
        <f>IF(I38="","AG. FUNDIDO",IF(Q38="AG","AG. USINAGEM","EM USINAGEM"))</f>
        <v>EM USINAGEM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3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3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10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8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10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10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10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3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4" t="s">
        <v>497</v>
      </c>
      <c r="U45" s="8" t="s">
        <v>469</v>
      </c>
      <c r="V45" s="8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3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3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4" t="s">
        <v>497</v>
      </c>
      <c r="U47" s="8" t="s">
        <v>469</v>
      </c>
      <c r="V47" s="8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hidden="1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10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8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3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4" t="s">
        <v>372</v>
      </c>
      <c r="X49" s="8" t="str">
        <f t="shared" si="2"/>
        <v>EM USINAGEM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3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4" t="s">
        <v>372</v>
      </c>
      <c r="X50" s="8" t="str">
        <f t="shared" si="2"/>
        <v>EM USINAGEM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hidden="1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10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4" t="s">
        <v>372</v>
      </c>
      <c r="X51" s="8" t="str">
        <f t="shared" si="2"/>
        <v>EM USINAGEM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hidden="1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10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4" t="s">
        <v>372</v>
      </c>
      <c r="X52" s="8" t="str">
        <f t="shared" si="2"/>
        <v>EM USINAGEM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hidden="1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10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8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hidden="1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10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8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hidden="1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10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8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hidden="1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10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8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hidden="1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10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8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hidden="1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17</v>
      </c>
      <c r="M58" s="37" t="str">
        <f t="shared" ca="1" si="1"/>
        <v>NO PRAZO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hidden="1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17</v>
      </c>
      <c r="M59" s="37" t="str">
        <f t="shared" ca="1" si="1"/>
        <v>NO PRAZO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3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3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3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3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3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3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3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hidden="1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17</v>
      </c>
      <c r="M67" s="37" t="str">
        <f t="shared" ca="1" si="3"/>
        <v>NO PRAZO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hidden="1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17</v>
      </c>
      <c r="M68" s="37" t="str">
        <f t="shared" ca="1" si="3"/>
        <v>NO PRAZO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hidden="1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24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hidden="1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24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hidden="1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24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hidden="1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24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hidden="1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24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hidden="1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24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hidden="1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28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hidden="1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28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hidden="1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28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hidden="1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4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76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hidden="1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64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76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hidden="1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4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76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hidden="1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35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76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hidden="1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35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76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hidden="1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64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76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hidden="1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79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hidden="1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79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hidden="1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79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hidden="1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79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hidden="1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79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hidden="1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79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hidden="1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50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hidden="1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50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hidden="1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50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hidden="1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50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hidden="1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50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hidden="1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125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hidden="1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125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hidden="1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125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hidden="1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125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hidden="1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125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hidden="1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125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hidden="1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125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hidden="1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125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hidden="1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125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hidden="1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125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hidden="1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125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hidden="1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125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hidden="1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125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hidden="1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125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hidden="1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125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hidden="1" x14ac:dyDescent="0.25">
      <c r="A110" s="13">
        <v>2333</v>
      </c>
      <c r="B110" s="13">
        <v>58</v>
      </c>
      <c r="C110" s="13">
        <v>27616</v>
      </c>
      <c r="D110" s="13">
        <v>52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94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hidden="1" x14ac:dyDescent="0.25">
      <c r="A111" s="13">
        <v>2333</v>
      </c>
      <c r="B111" s="13">
        <v>59</v>
      </c>
      <c r="C111" s="13">
        <v>27616</v>
      </c>
      <c r="D111" s="13">
        <v>53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94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hidden="1" x14ac:dyDescent="0.25">
      <c r="A112" s="13">
        <v>2333</v>
      </c>
      <c r="B112" s="13">
        <v>60</v>
      </c>
      <c r="C112" s="13">
        <v>27616</v>
      </c>
      <c r="D112" s="13">
        <v>54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94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hidden="1" x14ac:dyDescent="0.25">
      <c r="A113" s="13">
        <v>2333</v>
      </c>
      <c r="B113" s="13">
        <v>61</v>
      </c>
      <c r="C113" s="13">
        <v>27616</v>
      </c>
      <c r="D113" s="13">
        <v>55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94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hidden="1" x14ac:dyDescent="0.25">
      <c r="A114" s="13">
        <v>2333</v>
      </c>
      <c r="B114" s="13">
        <v>62</v>
      </c>
      <c r="C114" s="13">
        <v>27616</v>
      </c>
      <c r="D114" s="13">
        <v>56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94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hidden="1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155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hidden="1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155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hidden="1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508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155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hidden="1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155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hidden="1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509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155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hidden="1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155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workbookViewId="0">
      <selection activeCell="F10" sqref="F10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301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301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301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301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301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301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301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301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301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301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301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301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2</v>
      </c>
      <c r="O33" s="8" t="str">
        <f t="shared" ca="1" si="0"/>
        <v>ATENÇÃO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2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2</v>
      </c>
      <c r="O35" s="8" t="str">
        <f t="shared" ca="1" si="1"/>
        <v>ATENÇÃO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2</v>
      </c>
      <c r="O36" s="8" t="str">
        <f t="shared" ca="1" si="1"/>
        <v>ATENÇÃO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2</v>
      </c>
      <c r="O37" s="8" t="str">
        <f t="shared" ca="1" si="1"/>
        <v>ATENÇÃO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35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35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35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35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35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35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35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35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35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35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35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35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45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45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8"/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45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48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45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45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45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45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45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45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45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45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45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45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45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45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55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55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55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55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55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55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55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55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55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55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55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55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55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55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55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35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35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35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65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65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65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65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65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65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65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65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65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8"/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94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8"/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94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94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94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94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94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8"/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94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48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8"/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94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48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94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94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8"/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94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48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8"/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94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48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94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8"/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94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48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94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8"/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94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48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94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8"/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94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48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94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94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94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94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94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8"/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94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48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94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94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8"/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94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48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8"/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94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48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94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94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94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94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94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94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94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94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94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8"/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94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48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94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94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-11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-11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-11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-11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-11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2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596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17</v>
      </c>
      <c r="O138" s="8" t="str">
        <f t="shared" ca="1" si="4"/>
        <v>NO PRAZO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17</v>
      </c>
      <c r="O139" s="8" t="str">
        <f t="shared" ca="1" si="4"/>
        <v>NO PRAZO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2</v>
      </c>
      <c r="O140" s="8" t="str">
        <f t="shared" ca="1" si="4"/>
        <v>ATENÇÃO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595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2</v>
      </c>
      <c r="O141" s="8" t="str">
        <f t="shared" ca="1" si="4"/>
        <v>ATENÇÃO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595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17</v>
      </c>
      <c r="O142" s="8" t="str">
        <f t="shared" ca="1" si="4"/>
        <v>NO PRAZO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17</v>
      </c>
      <c r="O143" s="8" t="str">
        <f t="shared" ca="1" si="4"/>
        <v>NO PRAZO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2</v>
      </c>
      <c r="O144" s="8" t="str">
        <f ca="1">IF(N144&lt;0,"ATRASADO",IF(N144&lt;=15,"ATENÇÃO","NO PRAZO"))</f>
        <v>ATENÇÃO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2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2</v>
      </c>
      <c r="O146" s="8" t="str">
        <f t="shared" ca="1" si="5"/>
        <v>ATENÇÃO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2</v>
      </c>
      <c r="O147" s="8" t="str">
        <f t="shared" ca="1" si="5"/>
        <v>ATENÇÃO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2</v>
      </c>
      <c r="O148" s="8" t="str">
        <f t="shared" ca="1" si="5"/>
        <v>ATENÇÃO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2</v>
      </c>
      <c r="O149" s="8" t="str">
        <f t="shared" ca="1" si="5"/>
        <v>ATENÇÃO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2</v>
      </c>
      <c r="O150" s="8" t="str">
        <f t="shared" ca="1" si="5"/>
        <v>ATENÇÃO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2</v>
      </c>
      <c r="O151" s="8" t="str">
        <f t="shared" ca="1" si="5"/>
        <v>ATENÇÃO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17</v>
      </c>
      <c r="O152" s="8" t="str">
        <f t="shared" ref="O152:O156" ca="1" si="6">IF(N152&lt;0,"ATRASADO",IF(N152&lt;=15,"ATENÇÃO","NO PRAZO"))</f>
        <v>NO PRAZO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2</v>
      </c>
      <c r="O153" s="8" t="str">
        <f t="shared" ca="1" si="6"/>
        <v>ATENÇÃO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596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2</v>
      </c>
      <c r="O154" s="8" t="str">
        <f t="shared" ca="1" si="6"/>
        <v>ATENÇÃO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596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17</v>
      </c>
      <c r="O155" s="8" t="str">
        <f t="shared" ca="1" si="6"/>
        <v>NO PRAZO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17</v>
      </c>
      <c r="O156" s="8" t="str">
        <f t="shared" ca="1" si="6"/>
        <v>NO PRAZO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10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10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10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10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10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10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10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17</v>
      </c>
      <c r="O164" s="8" t="str">
        <f t="shared" ref="O164:O167" ca="1" si="8">IF(N164&lt;0,"ATRASADO",IF(N164&lt;=15,"ATENÇÃO","NO PRAZO"))</f>
        <v>NO PRAZO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17</v>
      </c>
      <c r="O165" s="8" t="str">
        <f t="shared" ca="1" si="8"/>
        <v>NO PRAZO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17</v>
      </c>
      <c r="O166" s="8" t="str">
        <f t="shared" ca="1" si="8"/>
        <v>NO PRAZO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17</v>
      </c>
      <c r="O167" s="8" t="str">
        <f t="shared" ca="1" si="8"/>
        <v>NO PRAZO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510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155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510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155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510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155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510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155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510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155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511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155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512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155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513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155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513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155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514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155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514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155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514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155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514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155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514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155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512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155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513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155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515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155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521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515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155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521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515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155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521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515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155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521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516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155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521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517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155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521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518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155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521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519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155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521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519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155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521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519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155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521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519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155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521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519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155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521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520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155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521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517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155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521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518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155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521</v>
      </c>
    </row>
    <row r="199" spans="1:23" x14ac:dyDescent="0.25">
      <c r="A199" s="8">
        <v>2367</v>
      </c>
      <c r="B199" s="8">
        <v>1</v>
      </c>
      <c r="C199" s="8" t="s">
        <v>602</v>
      </c>
      <c r="D199" s="8" t="s">
        <v>63</v>
      </c>
      <c r="E199" s="8" t="s">
        <v>599</v>
      </c>
      <c r="F199" s="114" t="s">
        <v>600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9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x14ac:dyDescent="0.25">
      <c r="A200" s="8">
        <v>2367</v>
      </c>
      <c r="B200" s="8">
        <v>2</v>
      </c>
      <c r="C200" s="8" t="s">
        <v>602</v>
      </c>
      <c r="D200" s="8" t="s">
        <v>63</v>
      </c>
      <c r="E200" s="8" t="s">
        <v>599</v>
      </c>
      <c r="F200" s="114" t="s">
        <v>600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9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x14ac:dyDescent="0.25">
      <c r="A201" s="8">
        <v>2367</v>
      </c>
      <c r="B201" s="8">
        <v>3</v>
      </c>
      <c r="C201" s="8" t="s">
        <v>602</v>
      </c>
      <c r="D201" s="8" t="s">
        <v>63</v>
      </c>
      <c r="E201" s="8" t="s">
        <v>599</v>
      </c>
      <c r="F201" s="114" t="s">
        <v>600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9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x14ac:dyDescent="0.25">
      <c r="A202" s="8">
        <v>2367</v>
      </c>
      <c r="B202" s="8">
        <v>4</v>
      </c>
      <c r="C202" s="8" t="s">
        <v>602</v>
      </c>
      <c r="D202" s="8" t="s">
        <v>63</v>
      </c>
      <c r="E202" s="8" t="s">
        <v>599</v>
      </c>
      <c r="F202" s="114" t="s">
        <v>601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9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x14ac:dyDescent="0.25">
      <c r="A203" s="8">
        <v>2367</v>
      </c>
      <c r="B203" s="8">
        <v>5</v>
      </c>
      <c r="C203" s="8" t="s">
        <v>602</v>
      </c>
      <c r="D203" s="8" t="s">
        <v>63</v>
      </c>
      <c r="E203" s="8" t="s">
        <v>599</v>
      </c>
      <c r="F203" s="114" t="s">
        <v>601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9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603</v>
      </c>
      <c r="F204" s="115" t="s">
        <v>604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>
        <v>46231</v>
      </c>
      <c r="M204" s="10" t="s">
        <v>56</v>
      </c>
      <c r="N204" s="10">
        <f ca="1">Tabela3[[#This Row],[Prazo
Entrega]]-TODAY()</f>
        <v>6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603</v>
      </c>
      <c r="F205" s="115" t="s">
        <v>604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>
        <v>46231</v>
      </c>
      <c r="M205" s="10" t="s">
        <v>56</v>
      </c>
      <c r="N205" s="10">
        <f ca="1">Tabela3[[#This Row],[Prazo
Entrega]]-TODAY()</f>
        <v>6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603</v>
      </c>
      <c r="F206" s="115" t="s">
        <v>604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>
        <v>46231</v>
      </c>
      <c r="M206" s="10" t="s">
        <v>56</v>
      </c>
      <c r="N206" s="10">
        <f ca="1">Tabela3[[#This Row],[Prazo
Entrega]]-TODAY()</f>
        <v>6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603</v>
      </c>
      <c r="F207" s="115" t="s">
        <v>605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>
        <v>46231</v>
      </c>
      <c r="M207" s="10" t="s">
        <v>58</v>
      </c>
      <c r="N207" s="10">
        <f ca="1">Tabela3[[#This Row],[Prazo
Entrega]]-TODAY()</f>
        <v>6</v>
      </c>
      <c r="O207" s="8" t="str">
        <f t="shared" ca="1" si="11"/>
        <v>ATENÇÃO</v>
      </c>
      <c r="P207" s="8" t="s">
        <v>32</v>
      </c>
      <c r="Q207" s="96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603</v>
      </c>
      <c r="F208" s="115" t="s">
        <v>605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>
        <v>46231</v>
      </c>
      <c r="M208" s="10" t="s">
        <v>58</v>
      </c>
      <c r="N208" s="10">
        <f ca="1">Tabela3[[#This Row],[Prazo
Entrega]]-TODAY()</f>
        <v>6</v>
      </c>
      <c r="O208" s="8" t="str">
        <f t="shared" ca="1" si="11"/>
        <v>ATENÇÃO</v>
      </c>
      <c r="P208" s="8" t="s">
        <v>32</v>
      </c>
      <c r="Q208" s="96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603</v>
      </c>
      <c r="F209" s="115" t="s">
        <v>605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>
        <v>46231</v>
      </c>
      <c r="M209" s="10" t="s">
        <v>58</v>
      </c>
      <c r="N209" s="10">
        <f ca="1">Tabela3[[#This Row],[Prazo
Entrega]]-TODAY()</f>
        <v>6</v>
      </c>
      <c r="O209" s="8" t="str">
        <f t="shared" ca="1" si="11"/>
        <v>ATENÇÃO</v>
      </c>
      <c r="P209" s="8" t="s">
        <v>32</v>
      </c>
      <c r="Q209" s="96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603</v>
      </c>
      <c r="F210" s="115" t="s">
        <v>606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>
        <v>46231</v>
      </c>
      <c r="M210" s="10" t="s">
        <v>56</v>
      </c>
      <c r="N210" s="10">
        <f ca="1">Tabela3[[#This Row],[Prazo
Entrega]]-TODAY()</f>
        <v>6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603</v>
      </c>
      <c r="F211" s="115" t="s">
        <v>606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>
        <v>46231</v>
      </c>
      <c r="M211" s="10" t="s">
        <v>56</v>
      </c>
      <c r="N211" s="10">
        <f ca="1">Tabela3[[#This Row],[Prazo
Entrega]]-TODAY()</f>
        <v>6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603</v>
      </c>
      <c r="F212" s="115" t="s">
        <v>606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>
        <v>46231</v>
      </c>
      <c r="M212" s="10" t="s">
        <v>56</v>
      </c>
      <c r="N212" s="10">
        <f ca="1">Tabela3[[#This Row],[Prazo
Entrega]]-TODAY()</f>
        <v>6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603</v>
      </c>
      <c r="F213" s="115" t="s">
        <v>606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>
        <v>46231</v>
      </c>
      <c r="M213" s="10" t="s">
        <v>56</v>
      </c>
      <c r="N213" s="10">
        <f ca="1">Tabela3[[#This Row],[Prazo
Entrega]]-TODAY()</f>
        <v>6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603</v>
      </c>
      <c r="F214" s="115" t="s">
        <v>606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>
        <v>46231</v>
      </c>
      <c r="M214" s="10" t="s">
        <v>56</v>
      </c>
      <c r="N214" s="10">
        <f ca="1">Tabela3[[#This Row],[Prazo
Entrega]]-TODAY()</f>
        <v>6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D1" workbookViewId="0">
      <selection activeCell="H69" sqref="H69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/>
      <c r="J2" s="16">
        <v>46269</v>
      </c>
      <c r="K2" s="28"/>
      <c r="L2" s="11">
        <f ca="1">Tabela13[[#This Row],[Data Prev.
Entrega]]-TODAY()</f>
        <v>38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AG. FUNDIDO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1"/>
      <c r="J3" s="16">
        <v>46269</v>
      </c>
      <c r="K3" s="28"/>
      <c r="L3" s="11">
        <f ca="1">Tabela13[[#This Row],[Data Prev.
Entrega]]-TODAY()</f>
        <v>38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AG. FUNDIDO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8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8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8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64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8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35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35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35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35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35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64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64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64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49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49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49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49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49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49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49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49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49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143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143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143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55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55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55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143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143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143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143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64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64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64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64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502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98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502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98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502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98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502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98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502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98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502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98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98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98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98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98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98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98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503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155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504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505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155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506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505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155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507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522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155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522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155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5"/>
  <sheetViews>
    <sheetView topLeftCell="A9" workbookViewId="0">
      <selection activeCell="D44" sqref="D44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543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543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548</v>
      </c>
      <c r="D45" s="81" t="s">
        <v>549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548</v>
      </c>
      <c r="D46" s="81" t="s">
        <v>549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548</v>
      </c>
      <c r="D47" s="81" t="s">
        <v>550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548</v>
      </c>
      <c r="D48" s="81" t="s">
        <v>550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548</v>
      </c>
      <c r="D49" s="81" t="s">
        <v>550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551</v>
      </c>
      <c r="D50" s="81" t="s">
        <v>552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551</v>
      </c>
      <c r="D51" s="81" t="s">
        <v>552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551</v>
      </c>
      <c r="D52" s="81" t="s">
        <v>552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551</v>
      </c>
      <c r="D53" s="81" t="s">
        <v>552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563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563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563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563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/>
      <c r="C58" s="81" t="s">
        <v>574</v>
      </c>
      <c r="D58" s="81" t="s">
        <v>572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/>
      <c r="C59" s="81" t="s">
        <v>574</v>
      </c>
      <c r="D59" s="81" t="s">
        <v>572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/>
      <c r="C60" s="81" t="s">
        <v>574</v>
      </c>
      <c r="D60" s="81" t="s">
        <v>583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/>
      <c r="C61" s="81" t="s">
        <v>574</v>
      </c>
      <c r="D61" s="81" t="s">
        <v>584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/>
      <c r="C62" s="81" t="s">
        <v>574</v>
      </c>
      <c r="D62" s="81" t="s">
        <v>585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/>
      <c r="C63" s="81" t="s">
        <v>574</v>
      </c>
      <c r="D63" s="81" t="s">
        <v>586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/>
      <c r="C64" s="81" t="s">
        <v>574</v>
      </c>
      <c r="D64" s="81" t="s">
        <v>587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/>
      <c r="C65" s="81" t="s">
        <v>574</v>
      </c>
      <c r="D65" s="81" t="s">
        <v>588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J9" sqref="J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499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23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23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23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23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23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23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23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23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-53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145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569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145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569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145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569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145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145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145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50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50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145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145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145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145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145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145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145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145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145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145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145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145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145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145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145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145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145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145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145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145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145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145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145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145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145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145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145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145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145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145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145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145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145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145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574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-28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125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125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125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125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125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125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125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125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125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125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125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125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125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125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125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125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125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125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125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125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125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125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125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125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125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125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125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125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125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125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125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125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125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125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125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-28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140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140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140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140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140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140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140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140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573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66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573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66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573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66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573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66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573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66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573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66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574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125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574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125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574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125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574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125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574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125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574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125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574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125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574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125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574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125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574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125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574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125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574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125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574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125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574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125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574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125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574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125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574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125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574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125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574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125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574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125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571</v>
      </c>
      <c r="F124" s="12">
        <v>1</v>
      </c>
      <c r="G124" s="6" t="s">
        <v>525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155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571</v>
      </c>
      <c r="F125" s="12">
        <v>1</v>
      </c>
      <c r="G125" s="6" t="s">
        <v>525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155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571</v>
      </c>
      <c r="F126" s="12">
        <v>1</v>
      </c>
      <c r="G126" s="6" t="s">
        <v>526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155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571</v>
      </c>
      <c r="F127" s="12">
        <v>1</v>
      </c>
      <c r="G127" s="6" t="s">
        <v>526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155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571</v>
      </c>
      <c r="F128" s="101">
        <v>1</v>
      </c>
      <c r="G128" s="62" t="s">
        <v>531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155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571</v>
      </c>
      <c r="F129" s="101">
        <v>1</v>
      </c>
      <c r="G129" s="62" t="s">
        <v>530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155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571</v>
      </c>
      <c r="F130" s="109">
        <v>2</v>
      </c>
      <c r="G130" s="110" t="s">
        <v>527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155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571</v>
      </c>
      <c r="F131" s="109">
        <v>2</v>
      </c>
      <c r="G131" s="110" t="s">
        <v>532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155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571</v>
      </c>
      <c r="F132" s="101">
        <v>2</v>
      </c>
      <c r="G132" s="62" t="s">
        <v>528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155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571</v>
      </c>
      <c r="F133" s="101">
        <v>2</v>
      </c>
      <c r="G133" s="62" t="s">
        <v>533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155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571</v>
      </c>
      <c r="F134" s="101">
        <v>1</v>
      </c>
      <c r="G134" s="62" t="s">
        <v>534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155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571</v>
      </c>
      <c r="F135" s="101">
        <v>1</v>
      </c>
      <c r="G135" s="62" t="s">
        <v>534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155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571</v>
      </c>
      <c r="F136" s="101">
        <v>1</v>
      </c>
      <c r="G136" s="62" t="s">
        <v>534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155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571</v>
      </c>
      <c r="F137" s="101">
        <v>1</v>
      </c>
      <c r="G137" s="62" t="s">
        <v>534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155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571</v>
      </c>
      <c r="F138" s="12">
        <v>16</v>
      </c>
      <c r="G138" s="62" t="s">
        <v>535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155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571</v>
      </c>
      <c r="F139" s="12">
        <v>16</v>
      </c>
      <c r="G139" s="62" t="s">
        <v>529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155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546</v>
      </c>
      <c r="F140" s="12">
        <v>1</v>
      </c>
      <c r="G140" s="6" t="s">
        <v>547</v>
      </c>
      <c r="H140" s="7">
        <v>46287</v>
      </c>
      <c r="J140" s="7">
        <v>46328</v>
      </c>
      <c r="L140" s="11">
        <f ca="1">Tabela4[[#This Row],[Prazo
Entrega]]-TODAY()</f>
        <v>97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546</v>
      </c>
      <c r="F141" s="12">
        <v>1</v>
      </c>
      <c r="G141" s="6" t="s">
        <v>547</v>
      </c>
      <c r="H141" s="7">
        <v>46287</v>
      </c>
      <c r="J141" s="7">
        <v>46328</v>
      </c>
      <c r="L141" s="11">
        <f ca="1">Tabela4[[#This Row],[Prazo
Entrega]]-TODAY()</f>
        <v>97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546</v>
      </c>
      <c r="F142" s="12">
        <v>1</v>
      </c>
      <c r="G142" s="6" t="s">
        <v>547</v>
      </c>
      <c r="H142" s="7">
        <v>46287</v>
      </c>
      <c r="J142" s="7">
        <v>46328</v>
      </c>
      <c r="L142" s="11">
        <f ca="1">Tabela4[[#This Row],[Prazo
Entrega]]-TODAY()</f>
        <v>97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546</v>
      </c>
      <c r="F143" s="12">
        <v>1</v>
      </c>
      <c r="G143" s="6" t="s">
        <v>547</v>
      </c>
      <c r="H143" s="7">
        <v>46287</v>
      </c>
      <c r="J143" s="7">
        <v>46328</v>
      </c>
      <c r="L143" s="11">
        <f ca="1">Tabela4[[#This Row],[Prazo
Entrega]]-TODAY()</f>
        <v>97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546</v>
      </c>
      <c r="F144" s="12">
        <v>1</v>
      </c>
      <c r="G144" s="6" t="s">
        <v>547</v>
      </c>
      <c r="H144" s="7">
        <v>46287</v>
      </c>
      <c r="J144" s="7">
        <v>46328</v>
      </c>
      <c r="L144" s="11">
        <f ca="1">Tabela4[[#This Row],[Prazo
Entrega]]-TODAY()</f>
        <v>97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546</v>
      </c>
      <c r="F145" s="12">
        <v>1</v>
      </c>
      <c r="G145" s="6" t="s">
        <v>547</v>
      </c>
      <c r="H145" s="7">
        <v>46287</v>
      </c>
      <c r="J145" s="7">
        <v>46328</v>
      </c>
      <c r="L145" s="11">
        <f ca="1">Tabela4[[#This Row],[Prazo
Entrega]]-TODAY()</f>
        <v>97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546</v>
      </c>
      <c r="F146" s="12">
        <v>1</v>
      </c>
      <c r="G146" s="6" t="s">
        <v>547</v>
      </c>
      <c r="H146" s="7">
        <v>46287</v>
      </c>
      <c r="J146" s="7">
        <v>46328</v>
      </c>
      <c r="L146" s="11">
        <f ca="1">Tabela4[[#This Row],[Prazo
Entrega]]-TODAY()</f>
        <v>97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546</v>
      </c>
      <c r="F147" s="12">
        <v>1</v>
      </c>
      <c r="G147" s="6" t="s">
        <v>547</v>
      </c>
      <c r="H147" s="7">
        <v>46287</v>
      </c>
      <c r="J147" s="7">
        <v>46328</v>
      </c>
      <c r="L147" s="11">
        <f ca="1">Tabela4[[#This Row],[Prazo
Entrega]]-TODAY()</f>
        <v>97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topLeftCell="C1" zoomScale="90" zoomScaleNormal="90" workbookViewId="0">
      <selection activeCell="AA28" sqref="AA2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537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538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537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252</v>
      </c>
      <c r="AB20" s="51" t="s">
        <v>444</v>
      </c>
    </row>
    <row r="21" spans="1:28" ht="20.10000000000000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76</v>
      </c>
      <c r="AB28" s="51"/>
    </row>
    <row r="29" spans="1:28" ht="20.10000000000000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76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536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536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536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536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536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536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536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/>
    </row>
    <row r="107" spans="1:28" ht="20.10000000000000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540</v>
      </c>
    </row>
    <row r="108" spans="1:28" ht="20.10000000000000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541</v>
      </c>
    </row>
    <row r="109" spans="1:28" ht="20.10000000000000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539</v>
      </c>
    </row>
    <row r="110" spans="1:28" ht="20.10000000000000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542</v>
      </c>
    </row>
    <row r="111" spans="1:28" ht="20.10000000000000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539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567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568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544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568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568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568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567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567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545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555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556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557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557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598</v>
      </c>
    </row>
    <row r="125" spans="1:28" ht="20.100000000000001" hidden="1" customHeight="1" x14ac:dyDescent="0.25">
      <c r="A125" s="102">
        <v>2348</v>
      </c>
      <c r="B125" s="51" t="s">
        <v>63</v>
      </c>
      <c r="C125" s="51" t="s">
        <v>573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>
        <v>46239</v>
      </c>
      <c r="Q125" s="51" t="s">
        <v>58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hidden="1" customHeight="1" x14ac:dyDescent="0.25">
      <c r="A126" s="102">
        <v>2348</v>
      </c>
      <c r="B126" s="51" t="s">
        <v>63</v>
      </c>
      <c r="C126" s="51" t="s">
        <v>573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558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hidden="1" customHeight="1" x14ac:dyDescent="0.25">
      <c r="A127" s="102">
        <v>2348</v>
      </c>
      <c r="B127" s="51" t="s">
        <v>63</v>
      </c>
      <c r="C127" s="51" t="s">
        <v>573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559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hidden="1" customHeight="1" x14ac:dyDescent="0.25">
      <c r="A128" s="102">
        <v>2348</v>
      </c>
      <c r="B128" s="51" t="s">
        <v>63</v>
      </c>
      <c r="C128" s="51" t="s">
        <v>573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>
        <v>46239</v>
      </c>
      <c r="Q128" s="51" t="s">
        <v>58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hidden="1" customHeight="1" x14ac:dyDescent="0.25">
      <c r="A129" s="102">
        <v>2348</v>
      </c>
      <c r="B129" s="51" t="s">
        <v>63</v>
      </c>
      <c r="C129" s="51" t="s">
        <v>573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560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hidden="1" customHeight="1" x14ac:dyDescent="0.25">
      <c r="A130" s="102">
        <v>2348</v>
      </c>
      <c r="B130" s="51" t="s">
        <v>63</v>
      </c>
      <c r="C130" s="51" t="s">
        <v>573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>
        <v>46239</v>
      </c>
      <c r="Q130" s="51" t="s">
        <v>58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hidden="1" customHeight="1" x14ac:dyDescent="0.25">
      <c r="A131" s="102">
        <v>2348</v>
      </c>
      <c r="B131" s="51" t="s">
        <v>63</v>
      </c>
      <c r="C131" s="51" t="s">
        <v>573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hidden="1" customHeight="1" x14ac:dyDescent="0.25">
      <c r="A132" s="102">
        <v>2348</v>
      </c>
      <c r="B132" s="51" t="s">
        <v>63</v>
      </c>
      <c r="C132" s="51" t="s">
        <v>573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561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574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575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574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576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574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577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574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574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574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574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574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574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574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574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574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574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574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574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574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578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574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579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574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580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593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589</v>
      </c>
      <c r="L151" s="51" t="s">
        <v>63</v>
      </c>
      <c r="M151" s="107">
        <v>46254</v>
      </c>
      <c r="N151" s="51"/>
      <c r="O151" s="112">
        <v>46254</v>
      </c>
      <c r="P151" s="51"/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593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589</v>
      </c>
      <c r="L152" s="51" t="s">
        <v>63</v>
      </c>
      <c r="M152" s="107">
        <v>46254</v>
      </c>
      <c r="N152" s="51"/>
      <c r="O152" s="112">
        <v>46254</v>
      </c>
      <c r="P152" s="51"/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593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589</v>
      </c>
      <c r="L153" s="51" t="s">
        <v>63</v>
      </c>
      <c r="M153" s="107">
        <v>46254</v>
      </c>
      <c r="N153" s="51"/>
      <c r="O153" s="112">
        <v>46254</v>
      </c>
      <c r="P153" s="51"/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593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589</v>
      </c>
      <c r="L154" s="51" t="s">
        <v>63</v>
      </c>
      <c r="M154" s="107">
        <v>46254</v>
      </c>
      <c r="N154" s="51"/>
      <c r="O154" s="112">
        <v>46254</v>
      </c>
      <c r="P154" s="51"/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593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589</v>
      </c>
      <c r="L155" s="51" t="s">
        <v>63</v>
      </c>
      <c r="M155" s="107">
        <v>46254</v>
      </c>
      <c r="N155" s="51"/>
      <c r="O155" s="112">
        <v>46254</v>
      </c>
      <c r="P155" s="51"/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593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589</v>
      </c>
      <c r="L156" s="51" t="s">
        <v>63</v>
      </c>
      <c r="M156" s="107">
        <v>46254</v>
      </c>
      <c r="N156" s="51"/>
      <c r="O156" s="112">
        <v>46254</v>
      </c>
      <c r="P156" s="51"/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593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589</v>
      </c>
      <c r="L157" s="51" t="s">
        <v>63</v>
      </c>
      <c r="M157" s="107">
        <v>46254</v>
      </c>
      <c r="N157" s="51"/>
      <c r="O157" s="112">
        <v>46254</v>
      </c>
      <c r="P157" s="51"/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593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589</v>
      </c>
      <c r="L158" s="51" t="s">
        <v>63</v>
      </c>
      <c r="M158" s="107">
        <v>46254</v>
      </c>
      <c r="N158" s="51"/>
      <c r="O158" s="112">
        <v>46254</v>
      </c>
      <c r="P158" s="51"/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593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589</v>
      </c>
      <c r="L159" s="51" t="s">
        <v>63</v>
      </c>
      <c r="M159" s="107">
        <v>46254</v>
      </c>
      <c r="N159" s="51"/>
      <c r="O159" s="112">
        <v>46254</v>
      </c>
      <c r="P159" s="51"/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593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589</v>
      </c>
      <c r="L160" s="51" t="s">
        <v>63</v>
      </c>
      <c r="M160" s="107">
        <v>46254</v>
      </c>
      <c r="N160" s="51"/>
      <c r="O160" s="112">
        <v>46254</v>
      </c>
      <c r="P160" s="51"/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593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589</v>
      </c>
      <c r="L161" s="51" t="s">
        <v>63</v>
      </c>
      <c r="M161" s="107">
        <v>46254</v>
      </c>
      <c r="N161" s="51"/>
      <c r="O161" s="112">
        <v>46254</v>
      </c>
      <c r="P161" s="51"/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593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589</v>
      </c>
      <c r="L162" s="51" t="s">
        <v>63</v>
      </c>
      <c r="M162" s="107">
        <v>46254</v>
      </c>
      <c r="N162" s="51"/>
      <c r="O162" s="112">
        <v>46254</v>
      </c>
      <c r="P162" s="51"/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593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589</v>
      </c>
      <c r="L163" s="51" t="s">
        <v>63</v>
      </c>
      <c r="M163" s="107">
        <v>46254</v>
      </c>
      <c r="N163" s="51"/>
      <c r="O163" s="112">
        <v>46254</v>
      </c>
      <c r="P163" s="51"/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593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589</v>
      </c>
      <c r="L164" s="51" t="s">
        <v>63</v>
      </c>
      <c r="M164" s="107">
        <v>46254</v>
      </c>
      <c r="N164" s="51"/>
      <c r="O164" s="112">
        <v>46254</v>
      </c>
      <c r="P164" s="51"/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593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589</v>
      </c>
      <c r="L165" s="51" t="s">
        <v>63</v>
      </c>
      <c r="M165" s="107">
        <v>46254</v>
      </c>
      <c r="N165" s="51"/>
      <c r="O165" s="112">
        <v>46254</v>
      </c>
      <c r="P165" s="51"/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593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589</v>
      </c>
      <c r="L166" s="51" t="s">
        <v>63</v>
      </c>
      <c r="M166" s="107">
        <v>46254</v>
      </c>
      <c r="N166" s="51"/>
      <c r="O166" s="112">
        <v>46254</v>
      </c>
      <c r="P166" s="51"/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593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589</v>
      </c>
      <c r="L167" s="51" t="s">
        <v>63</v>
      </c>
      <c r="M167" s="107">
        <v>46254</v>
      </c>
      <c r="N167" s="51"/>
      <c r="O167" s="112">
        <v>46254</v>
      </c>
      <c r="P167" s="51"/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593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589</v>
      </c>
      <c r="L168" s="51" t="s">
        <v>63</v>
      </c>
      <c r="M168" s="107">
        <v>46254</v>
      </c>
      <c r="N168" s="51"/>
      <c r="O168" s="112">
        <v>46254</v>
      </c>
      <c r="P168" s="51"/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593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589</v>
      </c>
      <c r="L169" s="51" t="s">
        <v>63</v>
      </c>
      <c r="M169" s="107">
        <v>46254</v>
      </c>
      <c r="N169" s="51"/>
      <c r="O169" s="112">
        <v>46254</v>
      </c>
      <c r="P169" s="51"/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593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589</v>
      </c>
      <c r="L170" s="51" t="s">
        <v>63</v>
      </c>
      <c r="M170" s="107">
        <v>46254</v>
      </c>
      <c r="N170" s="51"/>
      <c r="O170" s="112">
        <v>46254</v>
      </c>
      <c r="P170" s="51"/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593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589</v>
      </c>
      <c r="L171" s="51" t="s">
        <v>63</v>
      </c>
      <c r="M171" s="107">
        <v>46254</v>
      </c>
      <c r="N171" s="51"/>
      <c r="O171" s="112">
        <v>46254</v>
      </c>
      <c r="P171" s="51"/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593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589</v>
      </c>
      <c r="L172" s="51" t="s">
        <v>63</v>
      </c>
      <c r="M172" s="107">
        <v>46254</v>
      </c>
      <c r="N172" s="51"/>
      <c r="O172" s="112">
        <v>46254</v>
      </c>
      <c r="P172" s="51"/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593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589</v>
      </c>
      <c r="L173" s="51" t="s">
        <v>63</v>
      </c>
      <c r="M173" s="107">
        <v>46254</v>
      </c>
      <c r="N173" s="51"/>
      <c r="O173" s="112">
        <v>46254</v>
      </c>
      <c r="P173" s="51"/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593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589</v>
      </c>
      <c r="L174" s="51" t="s">
        <v>63</v>
      </c>
      <c r="M174" s="107">
        <v>46254</v>
      </c>
      <c r="N174" s="51"/>
      <c r="O174" s="112">
        <v>46254</v>
      </c>
      <c r="P174" s="51"/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593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589</v>
      </c>
      <c r="L175" s="51" t="s">
        <v>63</v>
      </c>
      <c r="M175" s="107">
        <v>46254</v>
      </c>
      <c r="N175" s="51"/>
      <c r="O175" s="112">
        <v>46254</v>
      </c>
      <c r="P175" s="51"/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593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589</v>
      </c>
      <c r="L176" s="51" t="s">
        <v>63</v>
      </c>
      <c r="M176" s="107">
        <v>46254</v>
      </c>
      <c r="N176" s="51"/>
      <c r="O176" s="112">
        <v>46254</v>
      </c>
      <c r="P176" s="51"/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593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589</v>
      </c>
      <c r="L177" s="51" t="s">
        <v>63</v>
      </c>
      <c r="M177" s="107">
        <v>46254</v>
      </c>
      <c r="N177" s="51"/>
      <c r="O177" s="112">
        <v>46254</v>
      </c>
      <c r="P177" s="51"/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593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589</v>
      </c>
      <c r="L178" s="51" t="s">
        <v>63</v>
      </c>
      <c r="M178" s="107">
        <v>46254</v>
      </c>
      <c r="N178" s="51"/>
      <c r="O178" s="112">
        <v>46254</v>
      </c>
      <c r="P178" s="51"/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593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589</v>
      </c>
      <c r="L179" s="51" t="s">
        <v>63</v>
      </c>
      <c r="M179" s="107">
        <v>46254</v>
      </c>
      <c r="N179" s="51"/>
      <c r="O179" s="112">
        <v>46254</v>
      </c>
      <c r="P179" s="51"/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593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589</v>
      </c>
      <c r="L180" s="51" t="s">
        <v>63</v>
      </c>
      <c r="M180" s="107">
        <v>46254</v>
      </c>
      <c r="N180" s="51"/>
      <c r="O180" s="112">
        <v>46254</v>
      </c>
      <c r="P180" s="51"/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593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589</v>
      </c>
      <c r="L181" s="51" t="s">
        <v>63</v>
      </c>
      <c r="M181" s="107">
        <v>46254</v>
      </c>
      <c r="N181" s="51"/>
      <c r="O181" s="112">
        <v>46254</v>
      </c>
      <c r="P181" s="51"/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593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589</v>
      </c>
      <c r="L182" s="51" t="s">
        <v>63</v>
      </c>
      <c r="M182" s="107">
        <v>46254</v>
      </c>
      <c r="N182" s="51"/>
      <c r="O182" s="112">
        <v>46254</v>
      </c>
      <c r="P182" s="51"/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593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589</v>
      </c>
      <c r="L183" s="51" t="s">
        <v>63</v>
      </c>
      <c r="M183" s="107">
        <v>46254</v>
      </c>
      <c r="N183" s="51"/>
      <c r="O183" s="112">
        <v>46254</v>
      </c>
      <c r="P183" s="51"/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593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589</v>
      </c>
      <c r="L184" s="51" t="s">
        <v>63</v>
      </c>
      <c r="M184" s="107">
        <v>46254</v>
      </c>
      <c r="N184" s="51"/>
      <c r="O184" s="112">
        <v>46254</v>
      </c>
      <c r="P184" s="51"/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593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589</v>
      </c>
      <c r="L185" s="51" t="s">
        <v>63</v>
      </c>
      <c r="M185" s="107">
        <v>46254</v>
      </c>
      <c r="N185" s="51"/>
      <c r="O185" s="112">
        <v>46254</v>
      </c>
      <c r="P185" s="51"/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593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589</v>
      </c>
      <c r="L186" s="51" t="s">
        <v>63</v>
      </c>
      <c r="M186" s="107">
        <v>46254</v>
      </c>
      <c r="N186" s="51"/>
      <c r="O186" s="112">
        <v>46254</v>
      </c>
      <c r="P186" s="51"/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593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589</v>
      </c>
      <c r="L187" s="51" t="s">
        <v>63</v>
      </c>
      <c r="M187" s="107">
        <v>46254</v>
      </c>
      <c r="N187" s="51"/>
      <c r="O187" s="112">
        <v>46254</v>
      </c>
      <c r="P187" s="51"/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593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589</v>
      </c>
      <c r="L188" s="51" t="s">
        <v>63</v>
      </c>
      <c r="M188" s="107">
        <v>46254</v>
      </c>
      <c r="N188" s="51"/>
      <c r="O188" s="112">
        <v>46254</v>
      </c>
      <c r="P188" s="51"/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593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589</v>
      </c>
      <c r="L189" s="51" t="s">
        <v>63</v>
      </c>
      <c r="M189" s="107">
        <v>46254</v>
      </c>
      <c r="N189" s="51"/>
      <c r="O189" s="112">
        <v>46254</v>
      </c>
      <c r="P189" s="51"/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593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589</v>
      </c>
      <c r="L190" s="51" t="s">
        <v>63</v>
      </c>
      <c r="M190" s="107">
        <v>46254</v>
      </c>
      <c r="N190" s="51"/>
      <c r="O190" s="112">
        <v>46254</v>
      </c>
      <c r="P190" s="51"/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593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589</v>
      </c>
      <c r="L191" s="51" t="s">
        <v>63</v>
      </c>
      <c r="M191" s="107">
        <v>46254</v>
      </c>
      <c r="N191" s="51"/>
      <c r="O191" s="112">
        <v>46254</v>
      </c>
      <c r="P191" s="51"/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593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589</v>
      </c>
      <c r="L192" s="51" t="s">
        <v>63</v>
      </c>
      <c r="M192" s="107">
        <v>46254</v>
      </c>
      <c r="N192" s="51"/>
      <c r="O192" s="112">
        <v>46254</v>
      </c>
      <c r="P192" s="51"/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593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589</v>
      </c>
      <c r="L193" s="51" t="s">
        <v>63</v>
      </c>
      <c r="M193" s="107">
        <v>46254</v>
      </c>
      <c r="N193" s="51"/>
      <c r="O193" s="112">
        <v>46254</v>
      </c>
      <c r="P193" s="51"/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593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589</v>
      </c>
      <c r="L194" s="51" t="s">
        <v>63</v>
      </c>
      <c r="M194" s="107">
        <v>46254</v>
      </c>
      <c r="N194" s="51"/>
      <c r="O194" s="112">
        <v>46254</v>
      </c>
      <c r="P194" s="51"/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593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589</v>
      </c>
      <c r="L195" s="51" t="s">
        <v>63</v>
      </c>
      <c r="M195" s="107">
        <v>46254</v>
      </c>
      <c r="N195" s="51"/>
      <c r="O195" s="112">
        <v>46254</v>
      </c>
      <c r="P195" s="51"/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593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589</v>
      </c>
      <c r="L196" s="51" t="s">
        <v>63</v>
      </c>
      <c r="M196" s="107">
        <v>46206</v>
      </c>
      <c r="N196" s="107">
        <v>46206</v>
      </c>
      <c r="O196" s="112">
        <v>46206</v>
      </c>
      <c r="P196" s="107">
        <v>46206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593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589</v>
      </c>
      <c r="L197" s="51" t="s">
        <v>63</v>
      </c>
      <c r="M197" s="107">
        <v>46206</v>
      </c>
      <c r="N197" s="107">
        <v>46206</v>
      </c>
      <c r="O197" s="112">
        <v>46206</v>
      </c>
      <c r="P197" s="107">
        <v>46206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593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589</v>
      </c>
      <c r="L198" s="51" t="s">
        <v>63</v>
      </c>
      <c r="M198" s="107">
        <v>46206</v>
      </c>
      <c r="N198" s="107">
        <v>46206</v>
      </c>
      <c r="O198" s="112">
        <v>46206</v>
      </c>
      <c r="P198" s="107">
        <v>46206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593</v>
      </c>
      <c r="D199" s="111">
        <v>6792</v>
      </c>
      <c r="E199" s="51" t="s">
        <v>255</v>
      </c>
      <c r="F199" s="51">
        <v>1</v>
      </c>
      <c r="G199" s="83" t="s">
        <v>590</v>
      </c>
      <c r="H199" s="51" t="s">
        <v>63</v>
      </c>
      <c r="I199" s="51" t="s">
        <v>63</v>
      </c>
      <c r="J199" s="51" t="s">
        <v>63</v>
      </c>
      <c r="K199" s="51" t="s">
        <v>589</v>
      </c>
      <c r="L199" s="51" t="s">
        <v>63</v>
      </c>
      <c r="M199" s="107">
        <v>46186</v>
      </c>
      <c r="N199" s="107">
        <v>46186</v>
      </c>
      <c r="O199" s="112">
        <v>46186</v>
      </c>
      <c r="P199" s="107">
        <v>46186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593</v>
      </c>
      <c r="D200" s="111">
        <v>6793</v>
      </c>
      <c r="E200" s="51" t="s">
        <v>255</v>
      </c>
      <c r="F200" s="51">
        <v>1</v>
      </c>
      <c r="G200" s="83" t="s">
        <v>590</v>
      </c>
      <c r="H200" s="51" t="s">
        <v>63</v>
      </c>
      <c r="I200" s="51" t="s">
        <v>63</v>
      </c>
      <c r="J200" s="51" t="s">
        <v>63</v>
      </c>
      <c r="K200" s="51" t="s">
        <v>589</v>
      </c>
      <c r="L200" s="51" t="s">
        <v>63</v>
      </c>
      <c r="M200" s="107">
        <v>46186</v>
      </c>
      <c r="N200" s="107">
        <v>46186</v>
      </c>
      <c r="O200" s="112">
        <v>46186</v>
      </c>
      <c r="P200" s="107">
        <v>46186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593</v>
      </c>
      <c r="D201" s="111">
        <v>6794</v>
      </c>
      <c r="E201" s="51" t="s">
        <v>255</v>
      </c>
      <c r="F201" s="51">
        <v>1</v>
      </c>
      <c r="G201" s="83" t="s">
        <v>590</v>
      </c>
      <c r="H201" s="51" t="s">
        <v>63</v>
      </c>
      <c r="I201" s="51" t="s">
        <v>63</v>
      </c>
      <c r="J201" s="51" t="s">
        <v>63</v>
      </c>
      <c r="K201" s="51" t="s">
        <v>589</v>
      </c>
      <c r="L201" s="51" t="s">
        <v>63</v>
      </c>
      <c r="M201" s="107">
        <v>46186</v>
      </c>
      <c r="N201" s="107">
        <v>46186</v>
      </c>
      <c r="O201" s="112">
        <v>46186</v>
      </c>
      <c r="P201" s="107">
        <v>46186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593</v>
      </c>
      <c r="D202" s="111">
        <v>6795</v>
      </c>
      <c r="E202" s="51" t="s">
        <v>255</v>
      </c>
      <c r="F202" s="51">
        <v>1</v>
      </c>
      <c r="G202" s="83" t="s">
        <v>590</v>
      </c>
      <c r="H202" s="51" t="s">
        <v>63</v>
      </c>
      <c r="I202" s="51" t="s">
        <v>63</v>
      </c>
      <c r="J202" s="51" t="s">
        <v>63</v>
      </c>
      <c r="K202" s="51" t="s">
        <v>589</v>
      </c>
      <c r="L202" s="51" t="s">
        <v>63</v>
      </c>
      <c r="M202" s="107">
        <v>46186</v>
      </c>
      <c r="N202" s="107">
        <v>46186</v>
      </c>
      <c r="O202" s="112">
        <v>46186</v>
      </c>
      <c r="P202" s="107">
        <v>46186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593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589</v>
      </c>
      <c r="L203" s="51" t="s">
        <v>63</v>
      </c>
      <c r="M203" s="107">
        <v>46196</v>
      </c>
      <c r="N203" s="107">
        <v>46196</v>
      </c>
      <c r="O203" s="112">
        <v>46196</v>
      </c>
      <c r="P203" s="107">
        <v>46196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593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589</v>
      </c>
      <c r="L204" s="51" t="s">
        <v>63</v>
      </c>
      <c r="M204" s="107">
        <v>46196</v>
      </c>
      <c r="N204" s="107">
        <v>46196</v>
      </c>
      <c r="O204" s="112">
        <v>46196</v>
      </c>
      <c r="P204" s="107">
        <v>46196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593</v>
      </c>
      <c r="D205" s="111">
        <v>6798</v>
      </c>
      <c r="E205" s="51" t="s">
        <v>255</v>
      </c>
      <c r="F205" s="51">
        <v>1</v>
      </c>
      <c r="G205" s="83" t="s">
        <v>590</v>
      </c>
      <c r="H205" s="51" t="s">
        <v>63</v>
      </c>
      <c r="I205" s="51" t="s">
        <v>63</v>
      </c>
      <c r="J205" s="51" t="s">
        <v>63</v>
      </c>
      <c r="K205" s="51" t="s">
        <v>589</v>
      </c>
      <c r="L205" s="51" t="s">
        <v>63</v>
      </c>
      <c r="M205" s="107">
        <v>46196</v>
      </c>
      <c r="N205" s="107">
        <v>46196</v>
      </c>
      <c r="O205" s="112">
        <v>46196</v>
      </c>
      <c r="P205" s="107">
        <v>46196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593</v>
      </c>
      <c r="D206" s="111">
        <v>6799</v>
      </c>
      <c r="E206" s="51" t="s">
        <v>255</v>
      </c>
      <c r="F206" s="51">
        <v>1</v>
      </c>
      <c r="G206" s="83" t="s">
        <v>590</v>
      </c>
      <c r="H206" s="51" t="s">
        <v>63</v>
      </c>
      <c r="I206" s="51" t="s">
        <v>63</v>
      </c>
      <c r="J206" s="51" t="s">
        <v>63</v>
      </c>
      <c r="K206" s="51" t="s">
        <v>589</v>
      </c>
      <c r="L206" s="51" t="s">
        <v>63</v>
      </c>
      <c r="M206" s="107">
        <v>46196</v>
      </c>
      <c r="N206" s="107">
        <v>46196</v>
      </c>
      <c r="O206" s="112">
        <v>46196</v>
      </c>
      <c r="P206" s="107">
        <v>46196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593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589</v>
      </c>
      <c r="L207" s="51" t="s">
        <v>63</v>
      </c>
      <c r="M207" s="107">
        <v>46196</v>
      </c>
      <c r="N207" s="107">
        <v>46196</v>
      </c>
      <c r="O207" s="112">
        <v>46196</v>
      </c>
      <c r="P207" s="107">
        <v>46196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593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589</v>
      </c>
      <c r="L208" s="51" t="s">
        <v>63</v>
      </c>
      <c r="M208" s="107">
        <v>46196</v>
      </c>
      <c r="N208" s="107">
        <v>46196</v>
      </c>
      <c r="O208" s="112">
        <v>46196</v>
      </c>
      <c r="P208" s="107">
        <v>46196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593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589</v>
      </c>
      <c r="L209" s="51" t="s">
        <v>63</v>
      </c>
      <c r="M209" s="107">
        <v>46196</v>
      </c>
      <c r="N209" s="107">
        <v>46196</v>
      </c>
      <c r="O209" s="112">
        <v>46196</v>
      </c>
      <c r="P209" s="107">
        <v>46196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593</v>
      </c>
      <c r="D210" s="111">
        <v>6803</v>
      </c>
      <c r="E210" s="51" t="s">
        <v>255</v>
      </c>
      <c r="F210" s="51">
        <v>1</v>
      </c>
      <c r="G210" s="83" t="s">
        <v>591</v>
      </c>
      <c r="H210" s="51" t="s">
        <v>63</v>
      </c>
      <c r="I210" s="51" t="s">
        <v>63</v>
      </c>
      <c r="J210" s="51" t="s">
        <v>63</v>
      </c>
      <c r="K210" s="51" t="s">
        <v>589</v>
      </c>
      <c r="L210" s="51" t="s">
        <v>63</v>
      </c>
      <c r="M210" s="107">
        <v>46186</v>
      </c>
      <c r="N210" s="107">
        <v>46186</v>
      </c>
      <c r="O210" s="112">
        <v>46186</v>
      </c>
      <c r="P210" s="107">
        <v>46186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593</v>
      </c>
      <c r="D211" s="111">
        <v>6804</v>
      </c>
      <c r="E211" s="51" t="s">
        <v>255</v>
      </c>
      <c r="F211" s="51">
        <v>1</v>
      </c>
      <c r="G211" s="83" t="s">
        <v>591</v>
      </c>
      <c r="H211" s="51" t="s">
        <v>63</v>
      </c>
      <c r="I211" s="51" t="s">
        <v>63</v>
      </c>
      <c r="J211" s="51" t="s">
        <v>63</v>
      </c>
      <c r="K211" s="51" t="s">
        <v>589</v>
      </c>
      <c r="L211" s="51" t="s">
        <v>63</v>
      </c>
      <c r="M211" s="107">
        <v>46186</v>
      </c>
      <c r="N211" s="107">
        <v>46186</v>
      </c>
      <c r="O211" s="112">
        <v>46186</v>
      </c>
      <c r="P211" s="107">
        <v>46186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593</v>
      </c>
      <c r="D212" s="111">
        <v>6805</v>
      </c>
      <c r="E212" s="51" t="s">
        <v>255</v>
      </c>
      <c r="F212" s="51">
        <v>1</v>
      </c>
      <c r="G212" s="83" t="s">
        <v>591</v>
      </c>
      <c r="H212" s="51" t="s">
        <v>63</v>
      </c>
      <c r="I212" s="51" t="s">
        <v>63</v>
      </c>
      <c r="J212" s="51" t="s">
        <v>63</v>
      </c>
      <c r="K212" s="51" t="s">
        <v>589</v>
      </c>
      <c r="L212" s="51" t="s">
        <v>63</v>
      </c>
      <c r="M212" s="107">
        <v>46186</v>
      </c>
      <c r="N212" s="107">
        <v>46186</v>
      </c>
      <c r="O212" s="112">
        <v>46186</v>
      </c>
      <c r="P212" s="107">
        <v>46186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593</v>
      </c>
      <c r="D213" s="111">
        <v>6806</v>
      </c>
      <c r="E213" s="51" t="s">
        <v>255</v>
      </c>
      <c r="F213" s="51">
        <v>1</v>
      </c>
      <c r="G213" s="83" t="s">
        <v>591</v>
      </c>
      <c r="H213" s="51" t="s">
        <v>63</v>
      </c>
      <c r="I213" s="51" t="s">
        <v>63</v>
      </c>
      <c r="J213" s="51" t="s">
        <v>63</v>
      </c>
      <c r="K213" s="51" t="s">
        <v>589</v>
      </c>
      <c r="L213" s="51" t="s">
        <v>63</v>
      </c>
      <c r="M213" s="107">
        <v>46186</v>
      </c>
      <c r="N213" s="107">
        <v>46186</v>
      </c>
      <c r="O213" s="112">
        <v>46186</v>
      </c>
      <c r="P213" s="107">
        <v>46186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593</v>
      </c>
      <c r="D214" s="111">
        <v>6808</v>
      </c>
      <c r="E214" s="51" t="s">
        <v>255</v>
      </c>
      <c r="F214" s="51">
        <v>1</v>
      </c>
      <c r="G214" s="83" t="s">
        <v>592</v>
      </c>
      <c r="H214" s="51" t="s">
        <v>63</v>
      </c>
      <c r="I214" s="51" t="s">
        <v>63</v>
      </c>
      <c r="J214" s="51" t="s">
        <v>63</v>
      </c>
      <c r="K214" s="51" t="s">
        <v>589</v>
      </c>
      <c r="L214" s="51" t="s">
        <v>63</v>
      </c>
      <c r="M214" s="107">
        <v>46206</v>
      </c>
      <c r="N214" s="107">
        <v>46206</v>
      </c>
      <c r="O214" s="112">
        <v>46206</v>
      </c>
      <c r="P214" s="107">
        <v>46206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593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589</v>
      </c>
      <c r="L215" s="51" t="s">
        <v>63</v>
      </c>
      <c r="M215" s="107">
        <v>46206</v>
      </c>
      <c r="N215" s="107">
        <v>46206</v>
      </c>
      <c r="O215" s="112">
        <v>46206</v>
      </c>
      <c r="P215" s="107">
        <v>46206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593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589</v>
      </c>
      <c r="L216" s="51" t="s">
        <v>63</v>
      </c>
      <c r="M216" s="107">
        <v>46206</v>
      </c>
      <c r="N216" s="107">
        <v>46206</v>
      </c>
      <c r="O216" s="112">
        <v>46206</v>
      </c>
      <c r="P216" s="107">
        <v>46206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593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589</v>
      </c>
      <c r="L217" s="51" t="s">
        <v>63</v>
      </c>
      <c r="M217" s="107">
        <v>46206</v>
      </c>
      <c r="N217" s="107">
        <v>46206</v>
      </c>
      <c r="O217" s="112">
        <v>46206</v>
      </c>
      <c r="P217" s="107">
        <v>46206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593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589</v>
      </c>
      <c r="L218" s="51" t="s">
        <v>63</v>
      </c>
      <c r="M218" s="107">
        <v>46206</v>
      </c>
      <c r="N218" s="107">
        <v>46206</v>
      </c>
      <c r="O218" s="112">
        <v>46206</v>
      </c>
      <c r="P218" s="107">
        <v>46206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593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589</v>
      </c>
      <c r="L219" s="51" t="s">
        <v>63</v>
      </c>
      <c r="M219" s="107">
        <v>46206</v>
      </c>
      <c r="N219" s="107"/>
      <c r="O219" s="112">
        <v>46206</v>
      </c>
      <c r="P219" s="107"/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594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593</v>
      </c>
      <c r="D220" s="111">
        <v>6817</v>
      </c>
      <c r="E220" s="51" t="s">
        <v>255</v>
      </c>
      <c r="F220" s="51">
        <v>1</v>
      </c>
      <c r="G220" s="83" t="s">
        <v>590</v>
      </c>
      <c r="H220" s="51" t="s">
        <v>63</v>
      </c>
      <c r="I220" s="51" t="s">
        <v>63</v>
      </c>
      <c r="J220" s="51" t="s">
        <v>63</v>
      </c>
      <c r="K220" s="51" t="s">
        <v>589</v>
      </c>
      <c r="L220" s="51" t="s">
        <v>63</v>
      </c>
      <c r="M220" s="107">
        <v>46206</v>
      </c>
      <c r="N220" s="107">
        <v>46206</v>
      </c>
      <c r="O220" s="112">
        <v>46206</v>
      </c>
      <c r="P220" s="107">
        <v>46206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593</v>
      </c>
      <c r="D221" s="111">
        <v>6818</v>
      </c>
      <c r="E221" s="51" t="s">
        <v>255</v>
      </c>
      <c r="F221" s="51">
        <v>1</v>
      </c>
      <c r="G221" s="83" t="s">
        <v>590</v>
      </c>
      <c r="H221" s="51" t="s">
        <v>63</v>
      </c>
      <c r="I221" s="51" t="s">
        <v>63</v>
      </c>
      <c r="J221" s="51" t="s">
        <v>63</v>
      </c>
      <c r="K221" s="51" t="s">
        <v>589</v>
      </c>
      <c r="L221" s="51" t="s">
        <v>63</v>
      </c>
      <c r="M221" s="107">
        <v>46186</v>
      </c>
      <c r="N221" s="107">
        <v>46186</v>
      </c>
      <c r="O221" s="112">
        <v>46186</v>
      </c>
      <c r="P221" s="107">
        <v>46186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593</v>
      </c>
      <c r="D222" s="111">
        <v>6819</v>
      </c>
      <c r="E222" s="51" t="s">
        <v>255</v>
      </c>
      <c r="F222" s="51">
        <v>1</v>
      </c>
      <c r="G222" s="83" t="s">
        <v>590</v>
      </c>
      <c r="H222" s="51" t="s">
        <v>63</v>
      </c>
      <c r="I222" s="51" t="s">
        <v>63</v>
      </c>
      <c r="J222" s="51" t="s">
        <v>63</v>
      </c>
      <c r="K222" s="51" t="s">
        <v>589</v>
      </c>
      <c r="L222" s="51" t="s">
        <v>63</v>
      </c>
      <c r="M222" s="107">
        <v>46206</v>
      </c>
      <c r="N222" s="107">
        <v>46206</v>
      </c>
      <c r="O222" s="112">
        <v>46206</v>
      </c>
      <c r="P222" s="107">
        <v>46206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593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589</v>
      </c>
      <c r="L223" s="51" t="s">
        <v>63</v>
      </c>
      <c r="M223" s="52">
        <v>46220</v>
      </c>
      <c r="N223" s="52">
        <v>46220</v>
      </c>
      <c r="O223" s="52">
        <v>46220</v>
      </c>
      <c r="P223" s="52">
        <v>46220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607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593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589</v>
      </c>
      <c r="L224" s="51" t="s">
        <v>63</v>
      </c>
      <c r="M224" s="52">
        <v>46220</v>
      </c>
      <c r="N224" s="52">
        <v>46220</v>
      </c>
      <c r="O224" s="52">
        <v>46220</v>
      </c>
      <c r="P224" s="52">
        <v>46220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607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593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589</v>
      </c>
      <c r="L225" s="51" t="s">
        <v>63</v>
      </c>
      <c r="M225" s="52">
        <v>46255</v>
      </c>
      <c r="N225" s="51"/>
      <c r="O225" s="52">
        <v>46255</v>
      </c>
      <c r="P225" s="51"/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/>
    <row r="227" spans="1:28" ht="20.100000000000001" customHeight="1" x14ac:dyDescent="0.25"/>
    <row r="228" spans="1:28" ht="20.100000000000001" customHeight="1" x14ac:dyDescent="0.25"/>
    <row r="229" spans="1:28" ht="20.100000000000001" customHeight="1" x14ac:dyDescent="0.25"/>
    <row r="230" spans="1:28" ht="20.100000000000001" customHeight="1" x14ac:dyDescent="0.25"/>
    <row r="231" spans="1:28" ht="20.100000000000001" customHeight="1" x14ac:dyDescent="0.25"/>
    <row r="232" spans="1:28" ht="20.100000000000001" customHeight="1" x14ac:dyDescent="0.25"/>
    <row r="233" spans="1:28" ht="20.100000000000001" customHeight="1" x14ac:dyDescent="0.25"/>
    <row r="234" spans="1:28" ht="20.100000000000001" customHeight="1" x14ac:dyDescent="0.25"/>
    <row r="235" spans="1:28" ht="20.100000000000001" customHeight="1" x14ac:dyDescent="0.25"/>
    <row r="236" spans="1:28" ht="20.100000000000001" customHeight="1" x14ac:dyDescent="0.25"/>
    <row r="237" spans="1:28" ht="20.100000000000001" customHeight="1" x14ac:dyDescent="0.25"/>
    <row r="238" spans="1:28" ht="20.100000000000001" customHeight="1" x14ac:dyDescent="0.25"/>
    <row r="239" spans="1:28" ht="20.100000000000001" customHeight="1" x14ac:dyDescent="0.25"/>
    <row r="240" spans="1:28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zoomScale="90" zoomScaleNormal="90" workbookViewId="0">
      <selection activeCell="V47" sqref="V47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hidden="1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hidden="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hidden="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hidden="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hidden="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hidden="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hidden="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hidden="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hidden="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hidden="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hidden="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hidden="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hidden="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hidden="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hidden="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hidden="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hidden="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hidden="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hidden="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hidden="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hidden="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hidden="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hidden="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hidden="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hidden="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hidden="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hidden="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hidden="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hidden="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hidden="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hidden="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hidden="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hidden="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hidden="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hidden="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1" t="s">
        <v>447</v>
      </c>
      <c r="N38" s="51" t="s">
        <v>370</v>
      </c>
      <c r="O38" s="51"/>
      <c r="P38" s="51"/>
      <c r="Q38" s="51"/>
      <c r="R38" s="51"/>
      <c r="S38" s="51"/>
      <c r="T38" s="51"/>
      <c r="U38" s="51"/>
      <c r="V38" s="51" t="s">
        <v>198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500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500</v>
      </c>
      <c r="O48" s="51" t="s">
        <v>472</v>
      </c>
      <c r="P48" s="51" t="s">
        <v>501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hidden="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hidden="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hidden="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hidden="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hidden="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hidden="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hidden="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hidden="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hidden="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hidden="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hidden="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hidden="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hidden="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hidden="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hidden="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hidden="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hidden="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hidden="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hidden="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76</v>
      </c>
      <c r="W69" s="51"/>
    </row>
    <row r="70" spans="1:23" ht="20.100000000000001" hidden="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hidden="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hidden="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hidden="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hidden="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hidden="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hidden="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hidden="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hidden="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hidden="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hidden="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523</v>
      </c>
    </row>
    <row r="81" spans="1:23" ht="20.100000000000001" hidden="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554</v>
      </c>
    </row>
    <row r="82" spans="1:23" ht="20.100000000000001" hidden="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523</v>
      </c>
    </row>
    <row r="83" spans="1:23" ht="20.100000000000001" hidden="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hidden="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523</v>
      </c>
    </row>
    <row r="85" spans="1:23" ht="20.100000000000001" hidden="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hidden="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524</v>
      </c>
    </row>
    <row r="87" spans="1:23" ht="20.100000000000001" hidden="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523</v>
      </c>
    </row>
    <row r="88" spans="1:23" ht="20.100000000000001" hidden="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hidden="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hidden="1" customHeight="1" x14ac:dyDescent="0.25">
      <c r="A90" s="78">
        <v>1048</v>
      </c>
      <c r="B90" s="78" t="s">
        <v>63</v>
      </c>
      <c r="C90" s="51" t="s">
        <v>551</v>
      </c>
      <c r="D90" s="51" t="s">
        <v>564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553</v>
      </c>
    </row>
    <row r="91" spans="1:23" ht="20.100000000000001" hidden="1" customHeight="1" x14ac:dyDescent="0.25">
      <c r="A91" s="78">
        <v>1048</v>
      </c>
      <c r="B91" s="78" t="s">
        <v>63</v>
      </c>
      <c r="C91" s="51" t="s">
        <v>551</v>
      </c>
      <c r="D91" s="51" t="s">
        <v>564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553</v>
      </c>
    </row>
    <row r="92" spans="1:23" ht="20.100000000000001" hidden="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597</v>
      </c>
    </row>
    <row r="93" spans="1:23" ht="20.100000000000001" hidden="1" customHeight="1" x14ac:dyDescent="0.25">
      <c r="A93" s="78">
        <v>2347</v>
      </c>
      <c r="B93" s="78" t="s">
        <v>63</v>
      </c>
      <c r="C93" s="51" t="s">
        <v>573</v>
      </c>
      <c r="D93" s="51" t="s">
        <v>565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559</v>
      </c>
      <c r="M93" s="51" t="s">
        <v>562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570</v>
      </c>
    </row>
    <row r="94" spans="1:23" ht="20.100000000000001" hidden="1" customHeight="1" x14ac:dyDescent="0.25">
      <c r="A94" s="78">
        <v>2347</v>
      </c>
      <c r="B94" s="78" t="s">
        <v>63</v>
      </c>
      <c r="C94" s="51" t="s">
        <v>573</v>
      </c>
      <c r="D94" s="51" t="s">
        <v>565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560</v>
      </c>
      <c r="M94" s="51" t="s">
        <v>562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570</v>
      </c>
    </row>
    <row r="95" spans="1:23" ht="20.100000000000001" hidden="1" customHeight="1" x14ac:dyDescent="0.25">
      <c r="A95" s="78">
        <v>2347</v>
      </c>
      <c r="B95" s="78" t="s">
        <v>63</v>
      </c>
      <c r="C95" s="51" t="s">
        <v>573</v>
      </c>
      <c r="D95" s="51" t="s">
        <v>565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561</v>
      </c>
      <c r="M95" s="51" t="s">
        <v>562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570</v>
      </c>
    </row>
    <row r="96" spans="1:23" ht="20.100000000000001" hidden="1" customHeight="1" x14ac:dyDescent="0.25">
      <c r="A96" s="78">
        <v>1040</v>
      </c>
      <c r="B96" s="78" t="s">
        <v>63</v>
      </c>
      <c r="C96" s="51" t="s">
        <v>573</v>
      </c>
      <c r="D96" s="51" t="s">
        <v>566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558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hidden="1" customHeight="1" x14ac:dyDescent="0.25">
      <c r="A97" s="78">
        <v>1040</v>
      </c>
      <c r="B97" s="78" t="s">
        <v>63</v>
      </c>
      <c r="C97" s="51" t="s">
        <v>573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hidden="1" customHeight="1" x14ac:dyDescent="0.25">
      <c r="A98" s="78">
        <v>1040</v>
      </c>
      <c r="B98" s="78" t="s">
        <v>63</v>
      </c>
      <c r="C98" s="51" t="s">
        <v>573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hidden="1" customHeight="1" x14ac:dyDescent="0.25">
      <c r="A99" s="78">
        <v>1040</v>
      </c>
      <c r="B99" s="78" t="s">
        <v>63</v>
      </c>
      <c r="C99" s="51" t="s">
        <v>573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hidden="1" customHeight="1" x14ac:dyDescent="0.25">
      <c r="A100" s="78">
        <v>1040</v>
      </c>
      <c r="B100" s="78" t="s">
        <v>63</v>
      </c>
      <c r="C100" s="51" t="s">
        <v>573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hidden="1" customHeight="1" x14ac:dyDescent="0.25">
      <c r="A101" s="78">
        <v>1041</v>
      </c>
      <c r="B101" s="78" t="s">
        <v>63</v>
      </c>
      <c r="C101" s="51" t="s">
        <v>574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575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hidden="1" customHeight="1" x14ac:dyDescent="0.25">
      <c r="A102" s="78">
        <v>1041</v>
      </c>
      <c r="B102" s="78" t="s">
        <v>63</v>
      </c>
      <c r="C102" s="51" t="s">
        <v>574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576</v>
      </c>
      <c r="M102" s="53" t="s">
        <v>365</v>
      </c>
      <c r="N102" s="53" t="s">
        <v>370</v>
      </c>
      <c r="O102" s="53" t="s">
        <v>242</v>
      </c>
      <c r="P102" s="51"/>
      <c r="Q102" s="51"/>
      <c r="R102" s="51"/>
      <c r="S102" s="51"/>
      <c r="T102" s="51"/>
      <c r="U102" s="51"/>
      <c r="V102" s="51" t="s">
        <v>445</v>
      </c>
      <c r="W102" s="51"/>
    </row>
    <row r="103" spans="1:23" ht="20.100000000000001" hidden="1" customHeight="1" x14ac:dyDescent="0.25">
      <c r="A103" s="78">
        <v>1041</v>
      </c>
      <c r="B103" s="78" t="s">
        <v>63</v>
      </c>
      <c r="C103" s="51" t="s">
        <v>574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577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hidden="1" customHeight="1" x14ac:dyDescent="0.25">
      <c r="A104" s="78">
        <v>1041</v>
      </c>
      <c r="B104" s="78" t="s">
        <v>63</v>
      </c>
      <c r="C104" s="51" t="s">
        <v>574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hidden="1" customHeight="1" x14ac:dyDescent="0.25">
      <c r="A105" s="78">
        <v>1041</v>
      </c>
      <c r="B105" s="78" t="s">
        <v>63</v>
      </c>
      <c r="C105" s="51" t="s">
        <v>574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hidden="1" customHeight="1" x14ac:dyDescent="0.25">
      <c r="A106" s="78">
        <v>1041</v>
      </c>
      <c r="B106" s="78" t="s">
        <v>63</v>
      </c>
      <c r="C106" s="51" t="s">
        <v>574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hidden="1" customHeight="1" x14ac:dyDescent="0.25">
      <c r="A107" s="78">
        <v>1041</v>
      </c>
      <c r="B107" s="78" t="s">
        <v>63</v>
      </c>
      <c r="C107" s="51" t="s">
        <v>574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hidden="1" customHeight="1" x14ac:dyDescent="0.25">
      <c r="A108" s="78">
        <v>1041</v>
      </c>
      <c r="B108" s="78" t="s">
        <v>63</v>
      </c>
      <c r="C108" s="51" t="s">
        <v>574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582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hidden="1" customHeight="1" x14ac:dyDescent="0.25">
      <c r="A109" s="78">
        <v>1041</v>
      </c>
      <c r="B109" s="78" t="s">
        <v>63</v>
      </c>
      <c r="C109" s="51" t="s">
        <v>574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hidden="1" customHeight="1" x14ac:dyDescent="0.25">
      <c r="A110" s="78">
        <v>1041</v>
      </c>
      <c r="B110" s="78" t="s">
        <v>63</v>
      </c>
      <c r="C110" s="51" t="s">
        <v>574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hidden="1" customHeight="1" x14ac:dyDescent="0.25">
      <c r="A111" s="78">
        <v>1041</v>
      </c>
      <c r="B111" s="78" t="s">
        <v>63</v>
      </c>
      <c r="C111" s="51" t="s">
        <v>574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hidden="1" customHeight="1" x14ac:dyDescent="0.25">
      <c r="A112" s="78">
        <v>1041</v>
      </c>
      <c r="B112" s="78" t="s">
        <v>63</v>
      </c>
      <c r="C112" s="51" t="s">
        <v>574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hidden="1" customHeight="1" x14ac:dyDescent="0.25">
      <c r="A113" s="78">
        <v>1041</v>
      </c>
      <c r="B113" s="78" t="s">
        <v>63</v>
      </c>
      <c r="C113" s="51" t="s">
        <v>574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hidden="1" customHeight="1" x14ac:dyDescent="0.25">
      <c r="A114" s="78">
        <v>1041</v>
      </c>
      <c r="B114" s="78" t="s">
        <v>63</v>
      </c>
      <c r="C114" s="51" t="s">
        <v>574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hidden="1" customHeight="1" x14ac:dyDescent="0.25">
      <c r="A115" s="78">
        <v>1041</v>
      </c>
      <c r="B115" s="78" t="s">
        <v>63</v>
      </c>
      <c r="C115" s="51" t="s">
        <v>574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hidden="1" customHeight="1" x14ac:dyDescent="0.25">
      <c r="A116" s="78">
        <v>1041</v>
      </c>
      <c r="B116" s="78" t="s">
        <v>63</v>
      </c>
      <c r="C116" s="51" t="s">
        <v>574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578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hidden="1" customHeight="1" x14ac:dyDescent="0.25">
      <c r="A117" s="78">
        <v>1041</v>
      </c>
      <c r="B117" s="78" t="s">
        <v>63</v>
      </c>
      <c r="C117" s="51" t="s">
        <v>574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579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hidden="1" customHeight="1" x14ac:dyDescent="0.25">
      <c r="A118" s="78">
        <v>1041</v>
      </c>
      <c r="B118" s="78" t="s">
        <v>63</v>
      </c>
      <c r="C118" s="51" t="s">
        <v>574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580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581</v>
      </c>
    </row>
    <row r="119" spans="1:23" ht="20.100000000000001" customHeight="1" x14ac:dyDescent="0.25"/>
    <row r="120" spans="1:23" ht="20.100000000000001" customHeight="1" x14ac:dyDescent="0.25"/>
    <row r="121" spans="1:23" ht="20.100000000000001" customHeight="1" x14ac:dyDescent="0.25"/>
    <row r="122" spans="1:23" ht="20.100000000000001" customHeight="1" x14ac:dyDescent="0.25"/>
    <row r="123" spans="1:23" ht="20.100000000000001" customHeight="1" x14ac:dyDescent="0.25"/>
    <row r="124" spans="1:23" ht="20.100000000000001" customHeight="1" x14ac:dyDescent="0.25"/>
    <row r="125" spans="1:23" ht="20.100000000000001" customHeight="1" x14ac:dyDescent="0.25"/>
    <row r="126" spans="1:23" ht="20.100000000000001" customHeight="1" x14ac:dyDescent="0.25"/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tabSelected="1" view="pageBreakPreview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614</v>
      </c>
      <c r="I1" s="19" t="s">
        <v>610</v>
      </c>
      <c r="J1" s="19" t="s">
        <v>613</v>
      </c>
      <c r="K1" s="19" t="s">
        <v>611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609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609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609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612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609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612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609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609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612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609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612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609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612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609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612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609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612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609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612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609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612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608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612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609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609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612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609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612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609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612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608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612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609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609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612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609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616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609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609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616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609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609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609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608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612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608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612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608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612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608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612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609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609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609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609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609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608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608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608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608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608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609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609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609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609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609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609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609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609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609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608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609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609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609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609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609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609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609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609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608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E11" sqref="E1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615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615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2026-07-28T12:12:48Z</dcterms:modified>
</cp:coreProperties>
</file>