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994DFD07-BD81-460D-8873-59EF591DF482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BAGACEIRAS!$A$1:$AD$117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40" i="2"/>
  <c r="X41" i="2"/>
  <c r="X42" i="2"/>
  <c r="X43" i="2"/>
  <c r="X44" i="2"/>
  <c r="X45" i="2"/>
  <c r="X46" i="2"/>
  <c r="X47" i="2"/>
  <c r="X48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<sst xmlns="http://schemas.openxmlformats.org/spreadsheetml/2006/main" count="13685" uniqueCount="676">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</sst>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0" borderId="0" xfId="0" applyFont="1" applyFill="1" applyAlignment="1">
      <alignment horizontal="center" vertical="center"/>
    </xf>
    <xf numFmtId="14" fontId="9" fillId="0" borderId="0" xfId="0" applyNumberFormat="1" applyFont="1" applyFill="1" applyAlignment="1">
      <alignment horizontal="center" vertical="center"/>
    </xf>
    <xf numFmtId="0" fontId="20" fillId="0" borderId="0" xfId="0" applyFont="1" applyFill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164" fontId="21" fillId="0" borderId="0" xfId="0" applyNumberFormat="1" applyFont="1" applyBorder="1" applyAlignment="1">
      <alignment horizontal="center" vertical="center"/>
    </xf>
    <xf numFmtId="0" fontId="21" fillId="0" borderId="0" xfId="0" applyFont="1" applyBorder="1" applyAlignment="1">
      <alignment horizontal="center"/>
    </xf>
    <xf numFmtId="0" fontId="9" fillId="0" borderId="0" xfId="0" applyFont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24" dataDxfId="223">
  <autoFilter ref="A1:AD12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92" dataDxfId="191">
  <autoFilter ref="A1:W214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67" dataDxfId="166">
  <autoFilter ref="A1:Y56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1" totalsRowShown="0" headerRowDxfId="140" dataDxfId="139">
  <autoFilter ref="A1:U91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43" totalsRowShown="0" headerRowDxfId="97" dataDxfId="96">
  <autoFilter ref="A1:AB243" xr:uid="{08F50CE1-35A6-4ABA-9594-79B9C39908E8}">
    <filterColumn colId="2">
      <filters>
        <filter val="Água Bonita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44" totalsRowShown="0" headerRowDxfId="67" dataDxfId="66">
  <autoFilter ref="A1:W144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H1" zoomScaleNormal="100" zoomScaleSheetLayoutView="100" workbookViewId="0">
      <selection activeCell="V29" sqref="V29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498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-20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8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8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-13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-13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-13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-20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-20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-20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-20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-13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-13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-13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-6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-13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-20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-20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-20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-13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-6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1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497</v>
      </c>
      <c r="U22" s="93" t="s">
        <v>469</v>
      </c>
      <c r="V22" s="94" t="s">
        <v>372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1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497</v>
      </c>
      <c r="U23" s="93" t="s">
        <v>469</v>
      </c>
      <c r="V23" s="94" t="s">
        <v>372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-23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-23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-23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-23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-23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-23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1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497</v>
      </c>
      <c r="U30" s="93" t="s">
        <v>469</v>
      </c>
      <c r="V30" s="94" t="s">
        <v>372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-20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-13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-6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-13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-6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-13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-6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1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1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1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8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4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8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8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8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1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497</v>
      </c>
      <c r="U45" s="93" t="s">
        <v>469</v>
      </c>
      <c r="V45" s="94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1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1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497</v>
      </c>
      <c r="U47" s="93" t="s">
        <v>469</v>
      </c>
      <c r="V47" s="94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8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1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1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8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8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8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8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8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8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8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15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15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1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1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1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1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1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1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1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15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15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22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22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22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22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22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22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26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26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26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2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62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2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33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33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62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77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77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77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77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77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77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48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48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48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48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48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123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123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123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123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123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123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123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123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123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123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123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123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123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123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123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92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92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92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92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92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153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153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507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153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153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508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153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153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opLeftCell="A76" workbookViewId="0">
      <selection activeCell="F100" sqref="F100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0</v>
      </c>
      <c r="O33" s="8" t="str">
        <f t="shared" ca="1" si="0"/>
        <v>ATENÇÃO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0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0</v>
      </c>
      <c r="O35" s="8" t="str">
        <f t="shared" ca="1" si="1"/>
        <v>ATENÇÃO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0</v>
      </c>
      <c r="O36" s="8" t="str">
        <f t="shared" ca="1" si="1"/>
        <v>ATENÇÃO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0</v>
      </c>
      <c r="O37" s="8" t="str">
        <f t="shared" ca="1" si="1"/>
        <v>ATENÇÃO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33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33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33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33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33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33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33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33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33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33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33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33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43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43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43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43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43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43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43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43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43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43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43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43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43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43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43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53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53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53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53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53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53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53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53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53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53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53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53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53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53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53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33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33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33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63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63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63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63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63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63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63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63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63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92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92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92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92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92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92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92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92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92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92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92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92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92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92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92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92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92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92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92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92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92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92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92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92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92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92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92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92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92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92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92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92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92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92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92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92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92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92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92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92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-13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-13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-13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-13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-13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0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595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15</v>
      </c>
      <c r="O138" s="8" t="str">
        <f t="shared" ca="1" si="4"/>
        <v>ATENÇÃO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15</v>
      </c>
      <c r="O139" s="8" t="str">
        <f t="shared" ca="1" si="4"/>
        <v>ATENÇÃO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0</v>
      </c>
      <c r="O140" s="8" t="str">
        <f t="shared" ca="1" si="4"/>
        <v>ATENÇÃO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594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0</v>
      </c>
      <c r="O141" s="8" t="str">
        <f t="shared" ca="1" si="4"/>
        <v>ATENÇÃO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594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15</v>
      </c>
      <c r="O142" s="8" t="str">
        <f t="shared" ca="1" si="4"/>
        <v>ATENÇÃO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15</v>
      </c>
      <c r="O143" s="8" t="str">
        <f t="shared" ca="1" si="4"/>
        <v>ATENÇÃO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0</v>
      </c>
      <c r="O144" s="8" t="str">
        <f ca="1">IF(N144&lt;0,"ATRASADO",IF(N144&lt;=15,"ATENÇÃO","NO PRAZO"))</f>
        <v>ATENÇÃO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0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0</v>
      </c>
      <c r="O146" s="8" t="str">
        <f t="shared" ca="1" si="5"/>
        <v>ATENÇÃO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0</v>
      </c>
      <c r="O147" s="8" t="str">
        <f t="shared" ca="1" si="5"/>
        <v>ATENÇÃO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0</v>
      </c>
      <c r="O148" s="8" t="str">
        <f t="shared" ca="1" si="5"/>
        <v>ATENÇÃO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0</v>
      </c>
      <c r="O149" s="8" t="str">
        <f t="shared" ca="1" si="5"/>
        <v>ATENÇÃO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0</v>
      </c>
      <c r="O150" s="8" t="str">
        <f t="shared" ca="1" si="5"/>
        <v>ATENÇÃO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0</v>
      </c>
      <c r="O151" s="8" t="str">
        <f t="shared" ca="1" si="5"/>
        <v>ATENÇÃO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15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0</v>
      </c>
      <c r="O153" s="8" t="str">
        <f t="shared" ca="1" si="6"/>
        <v>ATENÇÃO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595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0</v>
      </c>
      <c r="O154" s="8" t="str">
        <f t="shared" ca="1" si="6"/>
        <v>ATENÇÃO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595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15</v>
      </c>
      <c r="O155" s="8" t="str">
        <f t="shared" ca="1" si="6"/>
        <v>ATENÇÃO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15</v>
      </c>
      <c r="O156" s="8" t="str">
        <f t="shared" ca="1" si="6"/>
        <v>ATENÇÃO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8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8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8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8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8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8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8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15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15</v>
      </c>
      <c r="O165" s="8" t="str">
        <f t="shared" ca="1" si="8"/>
        <v>ATENÇÃO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15</v>
      </c>
      <c r="O166" s="8" t="str">
        <f t="shared" ca="1" si="8"/>
        <v>ATENÇÃO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15</v>
      </c>
      <c r="O167" s="8" t="str">
        <f t="shared" ca="1" si="8"/>
        <v>ATENÇÃO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509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153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509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153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509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153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509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153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509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153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510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153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511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153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512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153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512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153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513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153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513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153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513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153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513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153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513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153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511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153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512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153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514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153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520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514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153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520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514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153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520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514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153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520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515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153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520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516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153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520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517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153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520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518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153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520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518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153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520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518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153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520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518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153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520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518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153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520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519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153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520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516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153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520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517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153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520</v>
      </c>
    </row>
    <row r="199" spans="1:23" x14ac:dyDescent="0.25">
      <c r="A199" s="8">
        <v>2367</v>
      </c>
      <c r="B199" s="8">
        <v>1</v>
      </c>
      <c r="C199" s="8" t="s">
        <v>601</v>
      </c>
      <c r="D199" s="8" t="s">
        <v>63</v>
      </c>
      <c r="E199" s="8" t="s">
        <v>598</v>
      </c>
      <c r="F199" s="114" t="s">
        <v>599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7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x14ac:dyDescent="0.25">
      <c r="A200" s="8">
        <v>2367</v>
      </c>
      <c r="B200" s="8">
        <v>2</v>
      </c>
      <c r="C200" s="8" t="s">
        <v>601</v>
      </c>
      <c r="D200" s="8" t="s">
        <v>63</v>
      </c>
      <c r="E200" s="8" t="s">
        <v>598</v>
      </c>
      <c r="F200" s="114" t="s">
        <v>599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7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x14ac:dyDescent="0.25">
      <c r="A201" s="8">
        <v>2367</v>
      </c>
      <c r="B201" s="8">
        <v>3</v>
      </c>
      <c r="C201" s="8" t="s">
        <v>601</v>
      </c>
      <c r="D201" s="8" t="s">
        <v>63</v>
      </c>
      <c r="E201" s="8" t="s">
        <v>598</v>
      </c>
      <c r="F201" s="114" t="s">
        <v>599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7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x14ac:dyDescent="0.25">
      <c r="A202" s="8">
        <v>2367</v>
      </c>
      <c r="B202" s="8">
        <v>4</v>
      </c>
      <c r="C202" s="8" t="s">
        <v>601</v>
      </c>
      <c r="D202" s="8" t="s">
        <v>63</v>
      </c>
      <c r="E202" s="8" t="s">
        <v>598</v>
      </c>
      <c r="F202" s="114" t="s">
        <v>600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7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x14ac:dyDescent="0.25">
      <c r="A203" s="8">
        <v>2367</v>
      </c>
      <c r="B203" s="8">
        <v>5</v>
      </c>
      <c r="C203" s="8" t="s">
        <v>601</v>
      </c>
      <c r="D203" s="8" t="s">
        <v>63</v>
      </c>
      <c r="E203" s="8" t="s">
        <v>598</v>
      </c>
      <c r="F203" s="114" t="s">
        <v>600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7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602</v>
      </c>
      <c r="F204" s="115" t="s">
        <v>603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4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602</v>
      </c>
      <c r="F205" s="115" t="s">
        <v>603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4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602</v>
      </c>
      <c r="F206" s="115" t="s">
        <v>603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4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602</v>
      </c>
      <c r="F207" s="115" t="s">
        <v>604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4</v>
      </c>
      <c r="O207" s="8" t="str">
        <f t="shared" ca="1" si="11"/>
        <v>ATENÇÃO</v>
      </c>
      <c r="P207" s="8" t="s">
        <v>32</v>
      </c>
      <c r="Q207" s="94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602</v>
      </c>
      <c r="F208" s="115" t="s">
        <v>604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4</v>
      </c>
      <c r="O208" s="8" t="str">
        <f t="shared" ca="1" si="11"/>
        <v>ATENÇÃO</v>
      </c>
      <c r="P208" s="8" t="s">
        <v>32</v>
      </c>
      <c r="Q208" s="94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602</v>
      </c>
      <c r="F209" s="115" t="s">
        <v>604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4</v>
      </c>
      <c r="O209" s="8" t="str">
        <f t="shared" ca="1" si="11"/>
        <v>ATENÇÃO</v>
      </c>
      <c r="P209" s="8" t="s">
        <v>32</v>
      </c>
      <c r="Q209" s="94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602</v>
      </c>
      <c r="F210" s="115" t="s">
        <v>605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4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602</v>
      </c>
      <c r="F211" s="115" t="s">
        <v>605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4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602</v>
      </c>
      <c r="F212" s="115" t="s">
        <v>605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4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602</v>
      </c>
      <c r="F213" s="115" t="s">
        <v>605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4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602</v>
      </c>
      <c r="F214" s="115" t="s">
        <v>605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4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36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36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6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6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6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62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6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33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33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33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33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33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62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62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62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47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47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47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47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47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47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47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47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47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141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141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141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53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53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53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141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141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141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141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62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62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62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62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501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96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501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96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501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96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501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96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501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96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501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96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96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96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96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96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96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96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502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153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503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504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153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505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504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153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506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521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153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521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153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1"/>
  <sheetViews>
    <sheetView topLeftCell="A54" workbookViewId="0">
      <selection activeCell="J91" sqref="J91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542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542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547</v>
      </c>
      <c r="D45" s="81" t="s">
        <v>548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547</v>
      </c>
      <c r="D46" s="81" t="s">
        <v>548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547</v>
      </c>
      <c r="D47" s="81" t="s">
        <v>549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547</v>
      </c>
      <c r="D48" s="81" t="s">
        <v>549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547</v>
      </c>
      <c r="D49" s="81" t="s">
        <v>549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550</v>
      </c>
      <c r="D50" s="81" t="s">
        <v>551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550</v>
      </c>
      <c r="D51" s="81" t="s">
        <v>551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550</v>
      </c>
      <c r="D52" s="81" t="s">
        <v>551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550</v>
      </c>
      <c r="D53" s="81" t="s">
        <v>551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562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562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562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562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573</v>
      </c>
      <c r="D58" s="81" t="s">
        <v>571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573</v>
      </c>
      <c r="D59" s="81" t="s">
        <v>571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573</v>
      </c>
      <c r="D60" s="81" t="s">
        <v>582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573</v>
      </c>
      <c r="D61" s="81" t="s">
        <v>583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573</v>
      </c>
      <c r="D62" s="81" t="s">
        <v>584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573</v>
      </c>
      <c r="D63" s="81" t="s">
        <v>585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573</v>
      </c>
      <c r="D64" s="81" t="s">
        <v>586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573</v>
      </c>
      <c r="D65" s="81" t="s">
        <v>587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626</v>
      </c>
      <c r="E66" s="81">
        <v>1</v>
      </c>
      <c r="F66" s="81" t="s">
        <v>590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632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483</v>
      </c>
      <c r="U66" s="81" t="s">
        <v>630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627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632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483</v>
      </c>
      <c r="U67" s="81" t="s">
        <v>631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628</v>
      </c>
      <c r="E68" s="81">
        <v>1</v>
      </c>
      <c r="F68" s="81" t="s">
        <v>590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611</v>
      </c>
      <c r="U68" s="81" t="s">
        <v>629</v>
      </c>
    </row>
    <row r="69" spans="1:21" x14ac:dyDescent="0.25">
      <c r="A69" s="85">
        <v>1040</v>
      </c>
      <c r="B69" s="85" t="s">
        <v>63</v>
      </c>
      <c r="C69" s="81" t="s">
        <v>570</v>
      </c>
      <c r="D69" s="81" t="s">
        <v>571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570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570</v>
      </c>
      <c r="D71" s="81" t="s">
        <v>636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570</v>
      </c>
      <c r="D72" s="81" t="s">
        <v>638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570</v>
      </c>
      <c r="D73" s="81" t="s">
        <v>637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122">
        <v>1043</v>
      </c>
      <c r="B74" s="122" t="s">
        <v>63</v>
      </c>
      <c r="C74" s="120" t="s">
        <v>570</v>
      </c>
      <c r="D74" s="123" t="s">
        <v>658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122">
        <v>1043</v>
      </c>
      <c r="B75" s="122" t="s">
        <v>63</v>
      </c>
      <c r="C75" s="120" t="s">
        <v>570</v>
      </c>
      <c r="D75" s="123" t="s">
        <v>659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122">
        <v>1043</v>
      </c>
      <c r="B76" s="122" t="s">
        <v>63</v>
      </c>
      <c r="C76" s="120" t="s">
        <v>570</v>
      </c>
      <c r="D76" s="123" t="s">
        <v>660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122">
        <v>1043</v>
      </c>
      <c r="B77" s="122" t="s">
        <v>63</v>
      </c>
      <c r="C77" s="120" t="s">
        <v>570</v>
      </c>
      <c r="D77" s="123" t="s">
        <v>661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122">
        <v>1043</v>
      </c>
      <c r="B78" s="122" t="s">
        <v>63</v>
      </c>
      <c r="C78" s="120" t="s">
        <v>570</v>
      </c>
      <c r="D78" s="123" t="s">
        <v>662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122">
        <v>1043</v>
      </c>
      <c r="B79" s="122" t="s">
        <v>63</v>
      </c>
      <c r="C79" s="120" t="s">
        <v>570</v>
      </c>
      <c r="D79" s="123" t="s">
        <v>663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122">
        <v>1043</v>
      </c>
      <c r="B80" s="122" t="s">
        <v>63</v>
      </c>
      <c r="C80" s="120" t="s">
        <v>570</v>
      </c>
      <c r="D80" s="123" t="s">
        <v>664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122">
        <v>1043</v>
      </c>
      <c r="B81" s="122" t="s">
        <v>63</v>
      </c>
      <c r="C81" s="120" t="s">
        <v>570</v>
      </c>
      <c r="D81" s="123" t="s">
        <v>665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122">
        <v>1043</v>
      </c>
      <c r="B82" s="122" t="s">
        <v>63</v>
      </c>
      <c r="C82" s="120" t="s">
        <v>570</v>
      </c>
      <c r="D82" s="123" t="s">
        <v>666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122">
        <v>1043</v>
      </c>
      <c r="B83" s="122" t="s">
        <v>63</v>
      </c>
      <c r="C83" s="120" t="s">
        <v>570</v>
      </c>
      <c r="D83" s="123" t="s">
        <v>667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122">
        <v>1043</v>
      </c>
      <c r="B84" s="122" t="s">
        <v>63</v>
      </c>
      <c r="C84" s="120" t="s">
        <v>570</v>
      </c>
      <c r="D84" s="123" t="s">
        <v>668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122">
        <v>1043</v>
      </c>
      <c r="B85" s="122" t="s">
        <v>63</v>
      </c>
      <c r="C85" s="120" t="s">
        <v>570</v>
      </c>
      <c r="D85" s="123" t="s">
        <v>669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122">
        <v>1043</v>
      </c>
      <c r="B86" s="122" t="s">
        <v>63</v>
      </c>
      <c r="C86" s="120" t="s">
        <v>570</v>
      </c>
      <c r="D86" s="123" t="s">
        <v>670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122">
        <v>1043</v>
      </c>
      <c r="B87" s="122" t="s">
        <v>63</v>
      </c>
      <c r="C87" s="120" t="s">
        <v>570</v>
      </c>
      <c r="D87" s="123" t="s">
        <v>671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122">
        <v>1043</v>
      </c>
      <c r="B88" s="122" t="s">
        <v>63</v>
      </c>
      <c r="C88" s="120" t="s">
        <v>570</v>
      </c>
      <c r="D88" s="123" t="s">
        <v>672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122">
        <v>1043</v>
      </c>
      <c r="B89" s="122" t="s">
        <v>63</v>
      </c>
      <c r="C89" s="120" t="s">
        <v>570</v>
      </c>
      <c r="D89" s="123" t="s">
        <v>673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122">
        <v>1043</v>
      </c>
      <c r="B90" s="122" t="s">
        <v>63</v>
      </c>
      <c r="C90" s="120" t="s">
        <v>570</v>
      </c>
      <c r="D90" s="123" t="s">
        <v>674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122">
        <v>1043</v>
      </c>
      <c r="B91" s="122" t="s">
        <v>63</v>
      </c>
      <c r="C91" s="120" t="s">
        <v>570</v>
      </c>
      <c r="D91" s="123" t="s">
        <v>675</v>
      </c>
      <c r="E91" s="120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121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120"/>
      <c r="Q91" s="120"/>
      <c r="R91" s="120"/>
      <c r="S91" s="120"/>
      <c r="T91" s="81" t="s">
        <v>196</v>
      </c>
      <c r="U91" s="120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G139" sqref="G13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498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21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21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21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21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21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21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21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21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-55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143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568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143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568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143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568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143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143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143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48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48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143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143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143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143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143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143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143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143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143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143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143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143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143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143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143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143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143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143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143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143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143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143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143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143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143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143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143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143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143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143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143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143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143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143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573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-30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123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123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123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123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123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123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123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123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123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123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123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123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123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123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123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123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123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123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123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123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123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123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123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123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123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123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123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123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123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123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123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123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123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123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123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-30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138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138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138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138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138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138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138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138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572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64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572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64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572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64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572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64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572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64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572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64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573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123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573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123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573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123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573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123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573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123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573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123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573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123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573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123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573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123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573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123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573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123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573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123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573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123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573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123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573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123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573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123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573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123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573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123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573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123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573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123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570</v>
      </c>
      <c r="F124" s="12">
        <v>1</v>
      </c>
      <c r="G124" s="6" t="s">
        <v>524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153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570</v>
      </c>
      <c r="F125" s="12">
        <v>1</v>
      </c>
      <c r="G125" s="6" t="s">
        <v>524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153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570</v>
      </c>
      <c r="F126" s="12">
        <v>1</v>
      </c>
      <c r="G126" s="6" t="s">
        <v>525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153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570</v>
      </c>
      <c r="F127" s="12">
        <v>1</v>
      </c>
      <c r="G127" s="6" t="s">
        <v>525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153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570</v>
      </c>
      <c r="F128" s="101">
        <v>1</v>
      </c>
      <c r="G128" s="62" t="s">
        <v>530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153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570</v>
      </c>
      <c r="F129" s="101">
        <v>1</v>
      </c>
      <c r="G129" s="62" t="s">
        <v>529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153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570</v>
      </c>
      <c r="F130" s="109">
        <v>2</v>
      </c>
      <c r="G130" s="110" t="s">
        <v>526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153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570</v>
      </c>
      <c r="F131" s="109">
        <v>2</v>
      </c>
      <c r="G131" s="110" t="s">
        <v>531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153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570</v>
      </c>
      <c r="F132" s="101">
        <v>2</v>
      </c>
      <c r="G132" s="62" t="s">
        <v>527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153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570</v>
      </c>
      <c r="F133" s="101">
        <v>2</v>
      </c>
      <c r="G133" s="62" t="s">
        <v>532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153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570</v>
      </c>
      <c r="F134" s="101">
        <v>1</v>
      </c>
      <c r="G134" s="62" t="s">
        <v>533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153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570</v>
      </c>
      <c r="F135" s="101">
        <v>1</v>
      </c>
      <c r="G135" s="62" t="s">
        <v>533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153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570</v>
      </c>
      <c r="F136" s="101">
        <v>1</v>
      </c>
      <c r="G136" s="62" t="s">
        <v>533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153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570</v>
      </c>
      <c r="F137" s="101">
        <v>1</v>
      </c>
      <c r="G137" s="62" t="s">
        <v>533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153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570</v>
      </c>
      <c r="F138" s="12">
        <v>16</v>
      </c>
      <c r="G138" s="62" t="s">
        <v>534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153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570</v>
      </c>
      <c r="F139" s="12">
        <v>16</v>
      </c>
      <c r="G139" s="62" t="s">
        <v>528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153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545</v>
      </c>
      <c r="F140" s="12">
        <v>1</v>
      </c>
      <c r="G140" s="6" t="s">
        <v>546</v>
      </c>
      <c r="H140" s="7">
        <v>46287</v>
      </c>
      <c r="J140" s="7">
        <v>46328</v>
      </c>
      <c r="L140" s="11">
        <f ca="1">Tabela4[[#This Row],[Prazo
Entrega]]-TODAY()</f>
        <v>95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545</v>
      </c>
      <c r="F141" s="12">
        <v>1</v>
      </c>
      <c r="G141" s="6" t="s">
        <v>546</v>
      </c>
      <c r="H141" s="7">
        <v>46287</v>
      </c>
      <c r="J141" s="7">
        <v>46328</v>
      </c>
      <c r="L141" s="11">
        <f ca="1">Tabela4[[#This Row],[Prazo
Entrega]]-TODAY()</f>
        <v>95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545</v>
      </c>
      <c r="F142" s="12">
        <v>1</v>
      </c>
      <c r="G142" s="6" t="s">
        <v>546</v>
      </c>
      <c r="H142" s="7">
        <v>46287</v>
      </c>
      <c r="J142" s="7">
        <v>46328</v>
      </c>
      <c r="L142" s="11">
        <f ca="1">Tabela4[[#This Row],[Prazo
Entrega]]-TODAY()</f>
        <v>95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545</v>
      </c>
      <c r="F143" s="12">
        <v>1</v>
      </c>
      <c r="G143" s="6" t="s">
        <v>546</v>
      </c>
      <c r="H143" s="7">
        <v>46287</v>
      </c>
      <c r="J143" s="7">
        <v>46328</v>
      </c>
      <c r="L143" s="11">
        <f ca="1">Tabela4[[#This Row],[Prazo
Entrega]]-TODAY()</f>
        <v>95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545</v>
      </c>
      <c r="F144" s="12">
        <v>1</v>
      </c>
      <c r="G144" s="6" t="s">
        <v>546</v>
      </c>
      <c r="H144" s="7">
        <v>46287</v>
      </c>
      <c r="J144" s="7">
        <v>46328</v>
      </c>
      <c r="L144" s="11">
        <f ca="1">Tabela4[[#This Row],[Prazo
Entrega]]-TODAY()</f>
        <v>95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545</v>
      </c>
      <c r="F145" s="12">
        <v>1</v>
      </c>
      <c r="G145" s="6" t="s">
        <v>546</v>
      </c>
      <c r="H145" s="7">
        <v>46287</v>
      </c>
      <c r="J145" s="7">
        <v>46328</v>
      </c>
      <c r="L145" s="11">
        <f ca="1">Tabela4[[#This Row],[Prazo
Entrega]]-TODAY()</f>
        <v>95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545</v>
      </c>
      <c r="F146" s="12">
        <v>1</v>
      </c>
      <c r="G146" s="6" t="s">
        <v>546</v>
      </c>
      <c r="H146" s="7">
        <v>46287</v>
      </c>
      <c r="J146" s="7">
        <v>46328</v>
      </c>
      <c r="L146" s="11">
        <f ca="1">Tabela4[[#This Row],[Prazo
Entrega]]-TODAY()</f>
        <v>95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545</v>
      </c>
      <c r="F147" s="12">
        <v>1</v>
      </c>
      <c r="G147" s="6" t="s">
        <v>546</v>
      </c>
      <c r="H147" s="7">
        <v>46287</v>
      </c>
      <c r="J147" s="7">
        <v>46328</v>
      </c>
      <c r="L147" s="11">
        <f ca="1">Tabela4[[#This Row],[Prazo
Entrega]]-TODAY()</f>
        <v>95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abSelected="1" topLeftCell="B1" zoomScale="90" zoomScaleNormal="90" workbookViewId="0">
      <selection activeCell="AB16" sqref="AB16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536</v>
      </c>
    </row>
    <row r="13" spans="1:28" ht="20.10000000000000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537</v>
      </c>
    </row>
    <row r="15" spans="1:28" ht="20.10000000000000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536</v>
      </c>
    </row>
    <row r="17" spans="1:28" ht="20.10000000000000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535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535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535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535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535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535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535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633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539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540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538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541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538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566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567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543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567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567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567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566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566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544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554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555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556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556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597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572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572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557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572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558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572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572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559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572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572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572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560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573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574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573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575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573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576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573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573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573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573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573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573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573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573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573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573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573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573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573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577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573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578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573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579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592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588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592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588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592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588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592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588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592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588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592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588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592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588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592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588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592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588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592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588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592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588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592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588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592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588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592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588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592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588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592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588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592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588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592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588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592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588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592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588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592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588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592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588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592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588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592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588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592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588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592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588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592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588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592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588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592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588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592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588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592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588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592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588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592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588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592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588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592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588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592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588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592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588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592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588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592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588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592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588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592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588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592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588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592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588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592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588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592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588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592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588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592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588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592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588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592</v>
      </c>
      <c r="D199" s="111">
        <v>6792</v>
      </c>
      <c r="E199" s="51" t="s">
        <v>255</v>
      </c>
      <c r="F199" s="51">
        <v>1</v>
      </c>
      <c r="G199" s="83" t="s">
        <v>589</v>
      </c>
      <c r="H199" s="51" t="s">
        <v>63</v>
      </c>
      <c r="I199" s="51" t="s">
        <v>63</v>
      </c>
      <c r="J199" s="51" t="s">
        <v>63</v>
      </c>
      <c r="K199" s="51" t="s">
        <v>588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592</v>
      </c>
      <c r="D200" s="111">
        <v>6793</v>
      </c>
      <c r="E200" s="51" t="s">
        <v>255</v>
      </c>
      <c r="F200" s="51">
        <v>1</v>
      </c>
      <c r="G200" s="83" t="s">
        <v>589</v>
      </c>
      <c r="H200" s="51" t="s">
        <v>63</v>
      </c>
      <c r="I200" s="51" t="s">
        <v>63</v>
      </c>
      <c r="J200" s="51" t="s">
        <v>63</v>
      </c>
      <c r="K200" s="51" t="s">
        <v>588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592</v>
      </c>
      <c r="D201" s="111">
        <v>6794</v>
      </c>
      <c r="E201" s="51" t="s">
        <v>255</v>
      </c>
      <c r="F201" s="51">
        <v>1</v>
      </c>
      <c r="G201" s="83" t="s">
        <v>589</v>
      </c>
      <c r="H201" s="51" t="s">
        <v>63</v>
      </c>
      <c r="I201" s="51" t="s">
        <v>63</v>
      </c>
      <c r="J201" s="51" t="s">
        <v>63</v>
      </c>
      <c r="K201" s="51" t="s">
        <v>588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592</v>
      </c>
      <c r="D202" s="111">
        <v>6795</v>
      </c>
      <c r="E202" s="51" t="s">
        <v>255</v>
      </c>
      <c r="F202" s="51">
        <v>1</v>
      </c>
      <c r="G202" s="83" t="s">
        <v>589</v>
      </c>
      <c r="H202" s="51" t="s">
        <v>63</v>
      </c>
      <c r="I202" s="51" t="s">
        <v>63</v>
      </c>
      <c r="J202" s="51" t="s">
        <v>63</v>
      </c>
      <c r="K202" s="51" t="s">
        <v>588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592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588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592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588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592</v>
      </c>
      <c r="D205" s="111">
        <v>6798</v>
      </c>
      <c r="E205" s="51" t="s">
        <v>255</v>
      </c>
      <c r="F205" s="51">
        <v>1</v>
      </c>
      <c r="G205" s="83" t="s">
        <v>589</v>
      </c>
      <c r="H205" s="51" t="s">
        <v>63</v>
      </c>
      <c r="I205" s="51" t="s">
        <v>63</v>
      </c>
      <c r="J205" s="51" t="s">
        <v>63</v>
      </c>
      <c r="K205" s="51" t="s">
        <v>588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592</v>
      </c>
      <c r="D206" s="111">
        <v>6799</v>
      </c>
      <c r="E206" s="51" t="s">
        <v>255</v>
      </c>
      <c r="F206" s="51">
        <v>1</v>
      </c>
      <c r="G206" s="83" t="s">
        <v>589</v>
      </c>
      <c r="H206" s="51" t="s">
        <v>63</v>
      </c>
      <c r="I206" s="51" t="s">
        <v>63</v>
      </c>
      <c r="J206" s="51" t="s">
        <v>63</v>
      </c>
      <c r="K206" s="51" t="s">
        <v>588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592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588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592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588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592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588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592</v>
      </c>
      <c r="D210" s="111">
        <v>6803</v>
      </c>
      <c r="E210" s="51" t="s">
        <v>255</v>
      </c>
      <c r="F210" s="51">
        <v>1</v>
      </c>
      <c r="G210" s="83" t="s">
        <v>590</v>
      </c>
      <c r="H210" s="51" t="s">
        <v>63</v>
      </c>
      <c r="I210" s="51" t="s">
        <v>63</v>
      </c>
      <c r="J210" s="51" t="s">
        <v>63</v>
      </c>
      <c r="K210" s="51" t="s">
        <v>588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592</v>
      </c>
      <c r="D211" s="111">
        <v>6804</v>
      </c>
      <c r="E211" s="51" t="s">
        <v>255</v>
      </c>
      <c r="F211" s="51">
        <v>1</v>
      </c>
      <c r="G211" s="83" t="s">
        <v>590</v>
      </c>
      <c r="H211" s="51" t="s">
        <v>63</v>
      </c>
      <c r="I211" s="51" t="s">
        <v>63</v>
      </c>
      <c r="J211" s="51" t="s">
        <v>63</v>
      </c>
      <c r="K211" s="51" t="s">
        <v>588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592</v>
      </c>
      <c r="D212" s="111">
        <v>6805</v>
      </c>
      <c r="E212" s="51" t="s">
        <v>255</v>
      </c>
      <c r="F212" s="51">
        <v>1</v>
      </c>
      <c r="G212" s="83" t="s">
        <v>590</v>
      </c>
      <c r="H212" s="51" t="s">
        <v>63</v>
      </c>
      <c r="I212" s="51" t="s">
        <v>63</v>
      </c>
      <c r="J212" s="51" t="s">
        <v>63</v>
      </c>
      <c r="K212" s="51" t="s">
        <v>588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592</v>
      </c>
      <c r="D213" s="111">
        <v>6806</v>
      </c>
      <c r="E213" s="51" t="s">
        <v>255</v>
      </c>
      <c r="F213" s="51">
        <v>1</v>
      </c>
      <c r="G213" s="83" t="s">
        <v>590</v>
      </c>
      <c r="H213" s="51" t="s">
        <v>63</v>
      </c>
      <c r="I213" s="51" t="s">
        <v>63</v>
      </c>
      <c r="J213" s="51" t="s">
        <v>63</v>
      </c>
      <c r="K213" s="51" t="s">
        <v>588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592</v>
      </c>
      <c r="D214" s="111">
        <v>6808</v>
      </c>
      <c r="E214" s="51" t="s">
        <v>255</v>
      </c>
      <c r="F214" s="51">
        <v>1</v>
      </c>
      <c r="G214" s="83" t="s">
        <v>591</v>
      </c>
      <c r="H214" s="51" t="s">
        <v>63</v>
      </c>
      <c r="I214" s="51" t="s">
        <v>63</v>
      </c>
      <c r="J214" s="51" t="s">
        <v>63</v>
      </c>
      <c r="K214" s="51" t="s">
        <v>588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592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588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592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588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592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588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592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588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592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588</v>
      </c>
      <c r="L219" s="51" t="s">
        <v>63</v>
      </c>
      <c r="M219" s="107">
        <v>46206</v>
      </c>
      <c r="N219" s="107"/>
      <c r="O219" s="112">
        <v>46206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593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592</v>
      </c>
      <c r="D220" s="111">
        <v>6817</v>
      </c>
      <c r="E220" s="51" t="s">
        <v>255</v>
      </c>
      <c r="F220" s="51">
        <v>1</v>
      </c>
      <c r="G220" s="83" t="s">
        <v>589</v>
      </c>
      <c r="H220" s="51" t="s">
        <v>63</v>
      </c>
      <c r="I220" s="51" t="s">
        <v>63</v>
      </c>
      <c r="J220" s="51" t="s">
        <v>63</v>
      </c>
      <c r="K220" s="51" t="s">
        <v>588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592</v>
      </c>
      <c r="D221" s="111">
        <v>6818</v>
      </c>
      <c r="E221" s="51" t="s">
        <v>255</v>
      </c>
      <c r="F221" s="51">
        <v>1</v>
      </c>
      <c r="G221" s="83" t="s">
        <v>589</v>
      </c>
      <c r="H221" s="51" t="s">
        <v>63</v>
      </c>
      <c r="I221" s="51" t="s">
        <v>63</v>
      </c>
      <c r="J221" s="51" t="s">
        <v>63</v>
      </c>
      <c r="K221" s="51" t="s">
        <v>588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592</v>
      </c>
      <c r="D222" s="111">
        <v>6819</v>
      </c>
      <c r="E222" s="51" t="s">
        <v>255</v>
      </c>
      <c r="F222" s="51">
        <v>1</v>
      </c>
      <c r="G222" s="83" t="s">
        <v>589</v>
      </c>
      <c r="H222" s="51" t="s">
        <v>63</v>
      </c>
      <c r="I222" s="51" t="s">
        <v>63</v>
      </c>
      <c r="J222" s="51" t="s">
        <v>63</v>
      </c>
      <c r="K222" s="51" t="s">
        <v>588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592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588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606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592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588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606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592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588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117">
        <v>1043</v>
      </c>
      <c r="B226" s="117" t="s">
        <v>63</v>
      </c>
      <c r="C226" s="117" t="s">
        <v>570</v>
      </c>
      <c r="D226" s="117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117" t="s">
        <v>205</v>
      </c>
      <c r="L226" s="51" t="s">
        <v>639</v>
      </c>
      <c r="M226" s="117" t="s">
        <v>63</v>
      </c>
      <c r="N226" s="118">
        <v>46233</v>
      </c>
      <c r="O226" s="118">
        <v>46409</v>
      </c>
      <c r="P226" s="118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117"/>
    </row>
    <row r="227" spans="1:28" ht="20.100000000000001" hidden="1" customHeight="1" x14ac:dyDescent="0.25">
      <c r="A227" s="117">
        <v>1043</v>
      </c>
      <c r="B227" s="117" t="s">
        <v>63</v>
      </c>
      <c r="C227" s="117" t="s">
        <v>570</v>
      </c>
      <c r="D227" s="117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117" t="s">
        <v>193</v>
      </c>
      <c r="L227" s="51" t="s">
        <v>640</v>
      </c>
      <c r="M227" s="118">
        <v>46239</v>
      </c>
      <c r="N227" s="118">
        <v>46233</v>
      </c>
      <c r="O227" s="118">
        <v>46285</v>
      </c>
      <c r="P227" s="117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117"/>
    </row>
    <row r="228" spans="1:28" ht="20.100000000000001" hidden="1" customHeight="1" x14ac:dyDescent="0.25">
      <c r="A228" s="117">
        <v>1043</v>
      </c>
      <c r="B228" s="117" t="s">
        <v>63</v>
      </c>
      <c r="C228" s="117" t="s">
        <v>570</v>
      </c>
      <c r="D228" s="117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117" t="s">
        <v>193</v>
      </c>
      <c r="L228" s="51" t="s">
        <v>641</v>
      </c>
      <c r="M228" s="118">
        <v>46239</v>
      </c>
      <c r="N228" s="118">
        <v>46233</v>
      </c>
      <c r="O228" s="118">
        <v>46280</v>
      </c>
      <c r="P228" s="117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196</v>
      </c>
      <c r="AB228" s="117"/>
    </row>
    <row r="229" spans="1:28" ht="20.100000000000001" hidden="1" customHeight="1" x14ac:dyDescent="0.25">
      <c r="A229" s="117">
        <v>1043</v>
      </c>
      <c r="B229" s="117" t="s">
        <v>63</v>
      </c>
      <c r="C229" s="117" t="s">
        <v>570</v>
      </c>
      <c r="D229" s="117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117" t="s">
        <v>205</v>
      </c>
      <c r="L229" s="51" t="s">
        <v>642</v>
      </c>
      <c r="M229" s="117" t="s">
        <v>63</v>
      </c>
      <c r="N229" s="118">
        <v>46233</v>
      </c>
      <c r="O229" s="118">
        <v>46410</v>
      </c>
      <c r="P229" s="118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117"/>
    </row>
    <row r="230" spans="1:28" ht="20.100000000000001" hidden="1" customHeight="1" x14ac:dyDescent="0.25">
      <c r="A230" s="117">
        <v>1043</v>
      </c>
      <c r="B230" s="117" t="s">
        <v>63</v>
      </c>
      <c r="C230" s="117" t="s">
        <v>570</v>
      </c>
      <c r="D230" s="117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117" t="s">
        <v>205</v>
      </c>
      <c r="L230" s="51" t="s">
        <v>643</v>
      </c>
      <c r="M230" s="117" t="s">
        <v>63</v>
      </c>
      <c r="N230" s="118">
        <v>46233</v>
      </c>
      <c r="O230" s="118">
        <v>46412</v>
      </c>
      <c r="P230" s="118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117"/>
    </row>
    <row r="231" spans="1:28" ht="20.100000000000001" hidden="1" customHeight="1" x14ac:dyDescent="0.25">
      <c r="A231" s="117">
        <v>1043</v>
      </c>
      <c r="B231" s="117" t="s">
        <v>63</v>
      </c>
      <c r="C231" s="117" t="s">
        <v>570</v>
      </c>
      <c r="D231" s="117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117" t="s">
        <v>193</v>
      </c>
      <c r="L231" s="51" t="s">
        <v>644</v>
      </c>
      <c r="M231" s="118">
        <v>46239</v>
      </c>
      <c r="N231" s="118">
        <v>46233</v>
      </c>
      <c r="O231" s="118">
        <v>46280</v>
      </c>
      <c r="P231" s="117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196</v>
      </c>
      <c r="AB231" s="117"/>
    </row>
    <row r="232" spans="1:28" ht="20.100000000000001" hidden="1" customHeight="1" x14ac:dyDescent="0.25">
      <c r="A232" s="117">
        <v>1043</v>
      </c>
      <c r="B232" s="117" t="s">
        <v>63</v>
      </c>
      <c r="C232" s="117" t="s">
        <v>570</v>
      </c>
      <c r="D232" s="117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117" t="s">
        <v>205</v>
      </c>
      <c r="L232" s="51" t="s">
        <v>645</v>
      </c>
      <c r="M232" s="117" t="s">
        <v>63</v>
      </c>
      <c r="N232" s="118">
        <v>46233</v>
      </c>
      <c r="O232" s="118">
        <v>46413</v>
      </c>
      <c r="P232" s="118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117"/>
    </row>
    <row r="233" spans="1:28" ht="20.100000000000001" hidden="1" customHeight="1" x14ac:dyDescent="0.25">
      <c r="A233" s="117">
        <v>1043</v>
      </c>
      <c r="B233" s="117" t="s">
        <v>63</v>
      </c>
      <c r="C233" s="117" t="s">
        <v>570</v>
      </c>
      <c r="D233" s="117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117" t="s">
        <v>205</v>
      </c>
      <c r="L233" s="51" t="s">
        <v>646</v>
      </c>
      <c r="M233" s="117" t="s">
        <v>63</v>
      </c>
      <c r="N233" s="118">
        <v>46233</v>
      </c>
      <c r="O233" s="118">
        <v>46416</v>
      </c>
      <c r="P233" s="118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117"/>
    </row>
    <row r="234" spans="1:28" ht="20.100000000000001" hidden="1" customHeight="1" x14ac:dyDescent="0.25">
      <c r="A234" s="117">
        <v>1043</v>
      </c>
      <c r="B234" s="117" t="s">
        <v>63</v>
      </c>
      <c r="C234" s="117" t="s">
        <v>570</v>
      </c>
      <c r="D234" s="117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117" t="s">
        <v>205</v>
      </c>
      <c r="L234" s="51" t="s">
        <v>647</v>
      </c>
      <c r="M234" s="117" t="s">
        <v>63</v>
      </c>
      <c r="N234" s="118">
        <v>46233</v>
      </c>
      <c r="O234" s="118">
        <v>46430</v>
      </c>
      <c r="P234" s="118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117"/>
    </row>
    <row r="235" spans="1:28" ht="20.100000000000001" hidden="1" customHeight="1" x14ac:dyDescent="0.25">
      <c r="A235" s="117">
        <v>1043</v>
      </c>
      <c r="B235" s="117" t="s">
        <v>63</v>
      </c>
      <c r="C235" s="117" t="s">
        <v>570</v>
      </c>
      <c r="D235" s="117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117" t="s">
        <v>205</v>
      </c>
      <c r="L235" s="51" t="s">
        <v>648</v>
      </c>
      <c r="M235" s="117" t="s">
        <v>63</v>
      </c>
      <c r="N235" s="118">
        <v>46233</v>
      </c>
      <c r="O235" s="118">
        <v>46275</v>
      </c>
      <c r="P235" s="118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117" t="s">
        <v>124</v>
      </c>
      <c r="AB235" s="117"/>
    </row>
    <row r="236" spans="1:28" ht="20.100000000000001" hidden="1" customHeight="1" x14ac:dyDescent="0.25">
      <c r="A236" s="117">
        <v>1043</v>
      </c>
      <c r="B236" s="117" t="s">
        <v>63</v>
      </c>
      <c r="C236" s="117" t="s">
        <v>570</v>
      </c>
      <c r="D236" s="117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117" t="s">
        <v>205</v>
      </c>
      <c r="L236" s="51" t="s">
        <v>649</v>
      </c>
      <c r="M236" s="117" t="s">
        <v>63</v>
      </c>
      <c r="N236" s="118">
        <v>46233</v>
      </c>
      <c r="O236" s="118">
        <v>46418</v>
      </c>
      <c r="P236" s="118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117"/>
    </row>
    <row r="237" spans="1:28" ht="20.100000000000001" hidden="1" customHeight="1" x14ac:dyDescent="0.25">
      <c r="A237" s="117">
        <v>1043</v>
      </c>
      <c r="B237" s="117" t="s">
        <v>63</v>
      </c>
      <c r="C237" s="117" t="s">
        <v>570</v>
      </c>
      <c r="D237" s="117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117" t="s">
        <v>205</v>
      </c>
      <c r="L237" s="51" t="s">
        <v>650</v>
      </c>
      <c r="M237" s="117" t="s">
        <v>63</v>
      </c>
      <c r="N237" s="118">
        <v>46233</v>
      </c>
      <c r="O237" s="118">
        <v>46430</v>
      </c>
      <c r="P237" s="118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117"/>
    </row>
    <row r="238" spans="1:28" ht="20.100000000000001" hidden="1" customHeight="1" x14ac:dyDescent="0.25">
      <c r="A238" s="117">
        <v>1043</v>
      </c>
      <c r="B238" s="117" t="s">
        <v>63</v>
      </c>
      <c r="C238" s="117" t="s">
        <v>570</v>
      </c>
      <c r="D238" s="117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117" t="s">
        <v>205</v>
      </c>
      <c r="L238" s="51" t="s">
        <v>651</v>
      </c>
      <c r="M238" s="117" t="s">
        <v>63</v>
      </c>
      <c r="N238" s="118">
        <v>46233</v>
      </c>
      <c r="O238" s="118">
        <v>46420</v>
      </c>
      <c r="P238" s="118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117"/>
    </row>
    <row r="239" spans="1:28" ht="20.100000000000001" hidden="1" customHeight="1" x14ac:dyDescent="0.25">
      <c r="A239" s="117">
        <v>1043</v>
      </c>
      <c r="B239" s="117" t="s">
        <v>63</v>
      </c>
      <c r="C239" s="117" t="s">
        <v>570</v>
      </c>
      <c r="D239" s="117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117" t="s">
        <v>205</v>
      </c>
      <c r="L239" s="51" t="s">
        <v>652</v>
      </c>
      <c r="M239" s="117" t="s">
        <v>63</v>
      </c>
      <c r="N239" s="118">
        <v>46233</v>
      </c>
      <c r="O239" s="118">
        <v>46421</v>
      </c>
      <c r="P239" s="118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117"/>
    </row>
    <row r="240" spans="1:28" ht="20.100000000000001" hidden="1" customHeight="1" x14ac:dyDescent="0.25">
      <c r="A240" s="117">
        <v>1043</v>
      </c>
      <c r="B240" s="117" t="s">
        <v>63</v>
      </c>
      <c r="C240" s="117" t="s">
        <v>570</v>
      </c>
      <c r="D240" s="117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117" t="s">
        <v>205</v>
      </c>
      <c r="L240" s="51" t="s">
        <v>653</v>
      </c>
      <c r="M240" s="117" t="s">
        <v>63</v>
      </c>
      <c r="N240" s="118">
        <v>46233</v>
      </c>
      <c r="O240" s="118">
        <v>46431</v>
      </c>
      <c r="P240" s="118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117"/>
    </row>
    <row r="241" spans="1:28" ht="20.100000000000001" hidden="1" customHeight="1" x14ac:dyDescent="0.25">
      <c r="A241" s="117">
        <v>1043</v>
      </c>
      <c r="B241" s="117" t="s">
        <v>63</v>
      </c>
      <c r="C241" s="117" t="s">
        <v>570</v>
      </c>
      <c r="D241" s="117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117" t="s">
        <v>193</v>
      </c>
      <c r="L241" s="51" t="s">
        <v>654</v>
      </c>
      <c r="M241" s="118">
        <v>46239</v>
      </c>
      <c r="N241" s="118">
        <v>46233</v>
      </c>
      <c r="O241" s="118">
        <v>46270</v>
      </c>
      <c r="P241" s="117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117"/>
    </row>
    <row r="242" spans="1:28" ht="20.100000000000001" hidden="1" customHeight="1" x14ac:dyDescent="0.25">
      <c r="A242" s="117">
        <v>1043</v>
      </c>
      <c r="B242" s="117" t="s">
        <v>63</v>
      </c>
      <c r="C242" s="117" t="s">
        <v>570</v>
      </c>
      <c r="D242" s="117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117" t="s">
        <v>205</v>
      </c>
      <c r="L242" s="51" t="s">
        <v>655</v>
      </c>
      <c r="M242" s="118">
        <v>46239</v>
      </c>
      <c r="N242" s="118">
        <v>46233</v>
      </c>
      <c r="O242" s="118">
        <v>46270</v>
      </c>
      <c r="P242" s="117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117"/>
    </row>
    <row r="243" spans="1:28" ht="20.100000000000001" hidden="1" customHeight="1" x14ac:dyDescent="0.25">
      <c r="A243" s="117">
        <v>1043</v>
      </c>
      <c r="B243" s="117" t="s">
        <v>63</v>
      </c>
      <c r="C243" s="117" t="s">
        <v>570</v>
      </c>
      <c r="D243" s="117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117" t="s">
        <v>193</v>
      </c>
      <c r="L243" s="51" t="s">
        <v>656</v>
      </c>
      <c r="M243" s="117" t="s">
        <v>63</v>
      </c>
      <c r="N243" s="118">
        <v>46233</v>
      </c>
      <c r="O243" s="118">
        <v>46275</v>
      </c>
      <c r="P243" s="118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117"/>
    </row>
    <row r="244" spans="1:28" ht="20.100000000000001" customHeight="1" x14ac:dyDescent="0.25"/>
    <row r="245" spans="1:28" ht="20.100000000000001" customHeight="1" x14ac:dyDescent="0.25"/>
    <row r="246" spans="1:28" ht="20.100000000000001" customHeight="1" x14ac:dyDescent="0.25"/>
    <row r="247" spans="1:28" ht="20.100000000000001" customHeight="1" x14ac:dyDescent="0.25"/>
    <row r="248" spans="1:28" ht="20.100000000000001" customHeight="1" x14ac:dyDescent="0.25"/>
    <row r="249" spans="1:28" ht="20.100000000000001" customHeight="1" x14ac:dyDescent="0.25"/>
    <row r="250" spans="1:28" ht="20.100000000000001" customHeight="1" x14ac:dyDescent="0.25"/>
    <row r="251" spans="1:28" ht="20.100000000000001" customHeight="1" x14ac:dyDescent="0.25"/>
    <row r="252" spans="1:28" ht="20.100000000000001" customHeight="1" x14ac:dyDescent="0.25"/>
    <row r="253" spans="1:28" ht="20.100000000000001" customHeight="1" x14ac:dyDescent="0.25"/>
    <row r="254" spans="1:28" ht="20.100000000000001" customHeight="1" x14ac:dyDescent="0.25"/>
    <row r="255" spans="1:28" ht="20.100000000000001" customHeight="1" x14ac:dyDescent="0.25"/>
    <row r="256" spans="1:28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opLeftCell="A124" zoomScale="90" zoomScaleNormal="90" workbookViewId="0">
      <selection activeCell="L127" sqref="L127:L144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499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499</v>
      </c>
      <c r="O48" s="51" t="s">
        <v>472</v>
      </c>
      <c r="P48" s="51" t="s">
        <v>500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522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553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522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522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523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522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550</v>
      </c>
      <c r="D90" s="51" t="s">
        <v>563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552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550</v>
      </c>
      <c r="D91" s="51" t="s">
        <v>563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552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596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572</v>
      </c>
      <c r="D93" s="51" t="s">
        <v>564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558</v>
      </c>
      <c r="M93" s="51" t="s">
        <v>561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569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572</v>
      </c>
      <c r="D94" s="51" t="s">
        <v>564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559</v>
      </c>
      <c r="M94" s="51" t="s">
        <v>561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569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572</v>
      </c>
      <c r="D95" s="51" t="s">
        <v>564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560</v>
      </c>
      <c r="M95" s="51" t="s">
        <v>561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569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572</v>
      </c>
      <c r="D96" s="51" t="s">
        <v>565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557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572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572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572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572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573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574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573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575</v>
      </c>
      <c r="M102" s="51" t="s">
        <v>447</v>
      </c>
      <c r="N102" s="51" t="s">
        <v>499</v>
      </c>
      <c r="O102" s="51" t="s">
        <v>472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573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576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573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573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573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573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573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581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573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573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573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573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573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573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573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573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577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573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578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573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579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580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616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617</v>
      </c>
      <c r="M119" s="51" t="s">
        <v>447</v>
      </c>
      <c r="N119" s="51" t="s">
        <v>463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483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616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618</v>
      </c>
      <c r="M120" s="51" t="s">
        <v>470</v>
      </c>
      <c r="N120" s="51" t="s">
        <v>624</v>
      </c>
      <c r="O120" s="51" t="s">
        <v>220</v>
      </c>
      <c r="P120" s="51" t="s">
        <v>625</v>
      </c>
      <c r="Q120" s="51" t="s">
        <v>472</v>
      </c>
      <c r="R120" s="51" t="s">
        <v>220</v>
      </c>
      <c r="S120" s="51" t="s">
        <v>463</v>
      </c>
      <c r="T120" s="51" t="s">
        <v>370</v>
      </c>
      <c r="U120" s="51"/>
      <c r="V120" s="51" t="s">
        <v>483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616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619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483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616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620</v>
      </c>
      <c r="M122" s="51" t="s">
        <v>447</v>
      </c>
      <c r="N122" s="51" t="s">
        <v>463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483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616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621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483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616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622</v>
      </c>
      <c r="M124" s="51" t="s">
        <v>447</v>
      </c>
      <c r="N124" s="51" t="s">
        <v>470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483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616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623</v>
      </c>
      <c r="M125" s="51" t="s">
        <v>470</v>
      </c>
      <c r="N125" s="51" t="s">
        <v>624</v>
      </c>
      <c r="O125" s="51" t="s">
        <v>220</v>
      </c>
      <c r="P125" s="51" t="s">
        <v>625</v>
      </c>
      <c r="Q125" s="51" t="s">
        <v>472</v>
      </c>
      <c r="R125" s="51" t="s">
        <v>220</v>
      </c>
      <c r="S125" s="51" t="s">
        <v>463</v>
      </c>
      <c r="T125" s="51" t="s">
        <v>370</v>
      </c>
      <c r="U125" s="51"/>
      <c r="V125" s="51" t="s">
        <v>483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634</v>
      </c>
      <c r="D126" s="51" t="s">
        <v>635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466</v>
      </c>
      <c r="M126" s="51" t="s">
        <v>447</v>
      </c>
      <c r="N126" s="51" t="s">
        <v>473</v>
      </c>
      <c r="O126" s="51" t="s">
        <v>220</v>
      </c>
      <c r="P126" s="51" t="s">
        <v>463</v>
      </c>
      <c r="Q126" s="51" t="s">
        <v>473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>
      <c r="A127" s="119">
        <v>1043</v>
      </c>
      <c r="B127" s="119" t="s">
        <v>63</v>
      </c>
      <c r="C127" s="117" t="s">
        <v>570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118">
        <v>46416</v>
      </c>
      <c r="J127" s="51" t="s">
        <v>58</v>
      </c>
      <c r="K127" s="51" t="s">
        <v>58</v>
      </c>
      <c r="L127" s="51" t="s">
        <v>639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117"/>
    </row>
    <row r="128" spans="1:23" ht="20.100000000000001" customHeight="1" x14ac:dyDescent="0.25">
      <c r="A128" s="119">
        <v>1043</v>
      </c>
      <c r="B128" s="119" t="s">
        <v>63</v>
      </c>
      <c r="C128" s="117" t="s">
        <v>570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118">
        <v>46413</v>
      </c>
      <c r="J128" s="51" t="s">
        <v>58</v>
      </c>
      <c r="K128" s="51" t="s">
        <v>58</v>
      </c>
      <c r="L128" s="51" t="s">
        <v>640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117"/>
    </row>
    <row r="129" spans="1:23" ht="20.100000000000001" customHeight="1" x14ac:dyDescent="0.25">
      <c r="A129" s="119">
        <v>1043</v>
      </c>
      <c r="B129" s="119" t="s">
        <v>63</v>
      </c>
      <c r="C129" s="117" t="s">
        <v>570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118">
        <v>46295</v>
      </c>
      <c r="J129" s="51" t="s">
        <v>58</v>
      </c>
      <c r="K129" s="51" t="s">
        <v>58</v>
      </c>
      <c r="L129" s="51" t="s">
        <v>641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117"/>
    </row>
    <row r="130" spans="1:23" ht="20.100000000000001" customHeight="1" x14ac:dyDescent="0.25">
      <c r="A130" s="119">
        <v>1043</v>
      </c>
      <c r="B130" s="119" t="s">
        <v>63</v>
      </c>
      <c r="C130" s="117" t="s">
        <v>570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118">
        <v>46417</v>
      </c>
      <c r="J130" s="51" t="s">
        <v>58</v>
      </c>
      <c r="K130" s="51" t="s">
        <v>58</v>
      </c>
      <c r="L130" s="51" t="s">
        <v>642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117"/>
    </row>
    <row r="131" spans="1:23" ht="20.100000000000001" customHeight="1" x14ac:dyDescent="0.25">
      <c r="A131" s="119">
        <v>1043</v>
      </c>
      <c r="B131" s="119" t="s">
        <v>63</v>
      </c>
      <c r="C131" s="117" t="s">
        <v>570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118">
        <v>46419</v>
      </c>
      <c r="J131" s="51" t="s">
        <v>58</v>
      </c>
      <c r="K131" s="51" t="s">
        <v>58</v>
      </c>
      <c r="L131" s="51" t="s">
        <v>643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117"/>
    </row>
    <row r="132" spans="1:23" ht="20.100000000000001" customHeight="1" x14ac:dyDescent="0.25">
      <c r="A132" s="119">
        <v>1043</v>
      </c>
      <c r="B132" s="119" t="s">
        <v>63</v>
      </c>
      <c r="C132" s="117" t="s">
        <v>570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118">
        <v>46435</v>
      </c>
      <c r="J132" s="51" t="s">
        <v>58</v>
      </c>
      <c r="K132" s="51" t="s">
        <v>58</v>
      </c>
      <c r="L132" s="51" t="s">
        <v>644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117"/>
    </row>
    <row r="133" spans="1:23" ht="20.100000000000001" customHeight="1" x14ac:dyDescent="0.25">
      <c r="A133" s="119">
        <v>1043</v>
      </c>
      <c r="B133" s="119" t="s">
        <v>63</v>
      </c>
      <c r="C133" s="117" t="s">
        <v>570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118">
        <v>46420</v>
      </c>
      <c r="J133" s="51" t="s">
        <v>58</v>
      </c>
      <c r="K133" s="51" t="s">
        <v>58</v>
      </c>
      <c r="L133" s="51" t="s">
        <v>645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117"/>
    </row>
    <row r="134" spans="1:23" ht="20.100000000000001" customHeight="1" x14ac:dyDescent="0.25">
      <c r="A134" s="119">
        <v>1043</v>
      </c>
      <c r="B134" s="119" t="s">
        <v>63</v>
      </c>
      <c r="C134" s="117" t="s">
        <v>570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118">
        <v>46423</v>
      </c>
      <c r="J134" s="51" t="s">
        <v>58</v>
      </c>
      <c r="K134" s="51" t="s">
        <v>58</v>
      </c>
      <c r="L134" s="51" t="s">
        <v>646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117"/>
    </row>
    <row r="135" spans="1:23" ht="20.100000000000001" customHeight="1" x14ac:dyDescent="0.25">
      <c r="A135" s="119">
        <v>1043</v>
      </c>
      <c r="B135" s="119" t="s">
        <v>63</v>
      </c>
      <c r="C135" s="117" t="s">
        <v>570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118">
        <v>46437</v>
      </c>
      <c r="J135" s="51" t="s">
        <v>58</v>
      </c>
      <c r="K135" s="51" t="s">
        <v>58</v>
      </c>
      <c r="L135" s="51" t="s">
        <v>647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117"/>
    </row>
    <row r="136" spans="1:23" ht="20.100000000000001" customHeight="1" x14ac:dyDescent="0.25">
      <c r="A136" s="119">
        <v>1043</v>
      </c>
      <c r="B136" s="119" t="s">
        <v>63</v>
      </c>
      <c r="C136" s="117" t="s">
        <v>570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118">
        <v>46295</v>
      </c>
      <c r="J136" s="51" t="s">
        <v>58</v>
      </c>
      <c r="K136" s="51" t="s">
        <v>58</v>
      </c>
      <c r="L136" s="51" t="s">
        <v>648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117"/>
    </row>
    <row r="137" spans="1:23" ht="20.100000000000001" customHeight="1" x14ac:dyDescent="0.25">
      <c r="A137" s="119">
        <v>1043</v>
      </c>
      <c r="B137" s="119" t="s">
        <v>63</v>
      </c>
      <c r="C137" s="117" t="s">
        <v>570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117" t="s">
        <v>657</v>
      </c>
      <c r="J137" s="51" t="s">
        <v>58</v>
      </c>
      <c r="K137" s="51" t="s">
        <v>58</v>
      </c>
      <c r="L137" s="51" t="s">
        <v>649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117"/>
    </row>
    <row r="138" spans="1:23" ht="20.100000000000001" customHeight="1" x14ac:dyDescent="0.25">
      <c r="A138" s="119">
        <v>1043</v>
      </c>
      <c r="B138" s="119" t="s">
        <v>63</v>
      </c>
      <c r="C138" s="117" t="s">
        <v>570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118">
        <v>46437</v>
      </c>
      <c r="J138" s="51" t="s">
        <v>58</v>
      </c>
      <c r="K138" s="51" t="s">
        <v>58</v>
      </c>
      <c r="L138" s="51" t="s">
        <v>650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117"/>
    </row>
    <row r="139" spans="1:23" ht="20.100000000000001" customHeight="1" x14ac:dyDescent="0.25">
      <c r="A139" s="119">
        <v>1043</v>
      </c>
      <c r="B139" s="119" t="s">
        <v>63</v>
      </c>
      <c r="C139" s="117" t="s">
        <v>570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118">
        <v>46427</v>
      </c>
      <c r="J139" s="51" t="s">
        <v>58</v>
      </c>
      <c r="K139" s="51" t="s">
        <v>58</v>
      </c>
      <c r="L139" s="51" t="s">
        <v>651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117"/>
    </row>
    <row r="140" spans="1:23" ht="20.100000000000001" customHeight="1" x14ac:dyDescent="0.25">
      <c r="A140" s="119">
        <v>1043</v>
      </c>
      <c r="B140" s="119" t="s">
        <v>63</v>
      </c>
      <c r="C140" s="117" t="s">
        <v>570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118">
        <v>46428</v>
      </c>
      <c r="J140" s="51" t="s">
        <v>58</v>
      </c>
      <c r="K140" s="51" t="s">
        <v>58</v>
      </c>
      <c r="L140" s="51" t="s">
        <v>652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117"/>
    </row>
    <row r="141" spans="1:23" ht="20.100000000000001" customHeight="1" x14ac:dyDescent="0.25">
      <c r="A141" s="119">
        <v>1043</v>
      </c>
      <c r="B141" s="119" t="s">
        <v>63</v>
      </c>
      <c r="C141" s="117" t="s">
        <v>570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118">
        <v>46438</v>
      </c>
      <c r="J141" s="51" t="s">
        <v>58</v>
      </c>
      <c r="K141" s="51" t="s">
        <v>58</v>
      </c>
      <c r="L141" s="51" t="s">
        <v>653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117"/>
    </row>
    <row r="142" spans="1:23" ht="20.100000000000001" customHeight="1" x14ac:dyDescent="0.25">
      <c r="A142" s="119">
        <v>1043</v>
      </c>
      <c r="B142" s="119" t="s">
        <v>63</v>
      </c>
      <c r="C142" s="117" t="s">
        <v>570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118">
        <v>46430</v>
      </c>
      <c r="J142" s="51" t="s">
        <v>58</v>
      </c>
      <c r="K142" s="51" t="s">
        <v>58</v>
      </c>
      <c r="L142" s="51" t="s">
        <v>654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117"/>
    </row>
    <row r="143" spans="1:23" ht="20.100000000000001" customHeight="1" x14ac:dyDescent="0.25">
      <c r="A143" s="119">
        <v>1043</v>
      </c>
      <c r="B143" s="119" t="s">
        <v>63</v>
      </c>
      <c r="C143" s="117" t="s">
        <v>570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118">
        <v>46431</v>
      </c>
      <c r="J143" s="51" t="s">
        <v>58</v>
      </c>
      <c r="K143" s="51" t="s">
        <v>58</v>
      </c>
      <c r="L143" s="51" t="s">
        <v>655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117"/>
    </row>
    <row r="144" spans="1:23" ht="20.100000000000001" customHeight="1" x14ac:dyDescent="0.25">
      <c r="A144" s="119">
        <v>1043</v>
      </c>
      <c r="B144" s="119" t="s">
        <v>63</v>
      </c>
      <c r="C144" s="117" t="s">
        <v>570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118">
        <v>46295</v>
      </c>
      <c r="J144" s="51" t="s">
        <v>58</v>
      </c>
      <c r="K144" s="51" t="s">
        <v>58</v>
      </c>
      <c r="L144" s="51" t="s">
        <v>656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117"/>
    </row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topLeftCell="A27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613</v>
      </c>
      <c r="I1" s="19" t="s">
        <v>609</v>
      </c>
      <c r="J1" s="19" t="s">
        <v>612</v>
      </c>
      <c r="K1" s="19" t="s">
        <v>610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608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608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608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611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608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611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608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608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611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608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611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608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611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608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611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608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611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608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611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608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611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607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611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608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608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611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608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611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608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611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607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611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608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608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611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608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615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608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608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615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608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608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608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607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611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607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611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607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611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607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611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608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608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608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608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608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607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607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607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607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607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608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608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608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608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608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608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608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608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608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607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608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608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608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608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608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608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608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608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607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K1" sqref="K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614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614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2026-07-30T19:35:25Z</dcterms:modified>
</cp:coreProperties>
</file>