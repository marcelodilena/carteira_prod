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2283669-2237-4CB1-9151-A1FB1DD40835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6" l="1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<sst xmlns="http://schemas.openxmlformats.org/spreadsheetml/2006/main" count="6298" uniqueCount="376">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</sst>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14" fontId="12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2" fillId="5" borderId="0" xfId="0" applyFont="1" applyFill="1" applyBorder="1" applyAlignment="1">
      <alignment horizontal="center" vertical="center"/>
    </xf>
    <xf numFmtId="0" fontId="12" fillId="4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14" fontId="13" fillId="0" borderId="0" xfId="0" applyNumberFormat="1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14" fontId="10" fillId="0" borderId="0" xfId="0" applyNumberFormat="1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/>
    <xf numFmtId="0" fontId="10" fillId="5" borderId="0" xfId="0" applyFont="1" applyFill="1" applyBorder="1" applyAlignment="1">
      <alignment horizontal="center" vertical="center"/>
    </xf>
    <xf numFmtId="0" fontId="13" fillId="6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0" fillId="0" borderId="0" xfId="0" applyFont="1" applyFill="1" applyBorder="1"/>
  </cellXfs>
  <cellStyles count="2">
    <cellStyle name="Normal" xfId="0" builtinId="0"/>
    <cellStyle name="Vírgula 2" xfId="1" xr:uid="{8785E80A-1CD4-4609-8517-D88B418F2B05}"/>
  </cellStyles>
  <dxfs count="247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46" dataDxfId="245">
  <autoFilter ref="A1:AI114" xr:uid="{0B979512-8F08-4F92-A755-B1320B33B48D}">
    <filterColumn colId="0">
      <filters>
        <filter val="2205"/>
      </filters>
    </filterColumn>
  </autoFilter>
  <tableColumns count="35">
    <tableColumn id="1" xr3:uid="{2AE87B23-57FB-4D7F-8BFD-D65EC0053BA3}" name="PV" dataDxfId="244"/>
    <tableColumn id="2" xr3:uid="{81052488-0765-4420-B185-DA73AE55FD88}" name="Item" dataDxfId="243"/>
    <tableColumn id="3" xr3:uid="{0E7DB960-0044-4341-ADB4-2A033B27B993}" name="O.S." dataDxfId="242"/>
    <tableColumn id="4" xr3:uid="{B0F20CBE-FFF4-445B-B0BF-7A9C6A140189}" name="Item2" dataDxfId="241"/>
    <tableColumn id="5" xr3:uid="{D1656E30-4AB0-4CD0-BF13-6D5A49C6E4A0}" name="Cliente" dataDxfId="240"/>
    <tableColumn id="6" xr3:uid="{71A11213-5711-429D-A6E0-A2F44677AD5D}" name="Peça" dataDxfId="239"/>
    <tableColumn id="7" xr3:uid="{3F7FD9F6-0726-4021-82B3-E31575A97A46}" name="Seq." dataDxfId="238"/>
    <tableColumn id="8" xr3:uid="{0D871CDA-AC7B-4365-B4FD-95C8967CF254}" name="Descrição" dataDxfId="237"/>
    <tableColumn id="9" xr3:uid="{9C6311D3-DE8E-4A12-8716-11D7CF745EA9}" name="Qtde." dataDxfId="236"/>
    <tableColumn id="10" xr3:uid="{0D119764-5D6A-44D7-A0C6-EAAE37326AEF}" name="Prazo_x000a_Fundido" dataDxfId="235"/>
    <tableColumn id="20" xr3:uid="{2835FDBA-B893-4E1E-9252-D088967B6B9B}" name="Semana_x000a_Fundido" dataDxfId="234">
      <calculatedColumnFormula>WEEKNUM(Tabela1[[#This Row],[Prazo
Fundido]])</calculatedColumnFormula>
    </tableColumn>
    <tableColumn id="11" xr3:uid="{357F67DE-6B6F-4353-906F-4FBB26ED7226}" name="Pz Fundido_x000a_Real" dataDxfId="233"/>
    <tableColumn id="12" xr3:uid="{5CF37CA2-8EC2-4A06-8A50-1305C1129D14}" name="Prazo_x000a_Entrega" dataDxfId="232"/>
    <tableColumn id="36" xr3:uid="{903E641C-0F4A-465E-9B87-4C77A3724350}" name="Pz Entrega_x000a_Real" dataDxfId="231"/>
    <tableColumn id="14" xr3:uid="{49E3A48F-4FBA-45ED-9BE5-0D3F2C039F64}" name="Dias_x000a_Falta2" dataDxfId="230">
      <calculatedColumnFormula>Tabela1[[#This Row],[Prazo
Entrega]]-TODAY()</calculatedColumnFormula>
    </tableColumn>
    <tableColumn id="24" xr3:uid="{FE82CCB3-C196-4A10-9CDF-EC3AAB610284}" name="Indicador" dataDxfId="229">
      <calculatedColumnFormula>IF(O2&lt;0,"ATRASADO",IF(O2&lt;=15,"ATENÇÃO","NO PRAZO"))</calculatedColumnFormula>
    </tableColumn>
    <tableColumn id="21" xr3:uid="{0E3EA19A-D149-4026-9EFA-582C442CDE24}" name="Semana_x000a_Entrega" dataDxfId="228">
      <calculatedColumnFormula>WEEKNUM(Tabela1[[#This Row],[Prazo
Entrega]],1)</calculatedColumnFormula>
    </tableColumn>
    <tableColumn id="22" xr3:uid="{8BBF8940-A612-415C-B30B-5BED69C42E59}" name="CONDIÇÃO" dataDxfId="227"/>
    <tableColumn id="35" xr3:uid="{DF0F32C7-2632-41CB-B20E-BE67D32DDFF8}" name="Desenho_x000a_Previsão" dataDxfId="226"/>
    <tableColumn id="33" xr3:uid="{B0C0F319-983E-42D8-8584-16523AED9BC7}" name="Des." dataDxfId="225"/>
    <tableColumn id="32" xr3:uid="{BB84EAAB-24E7-433E-8DE8-B7705F525D65}" name="Plainar" dataDxfId="224"/>
    <tableColumn id="31" xr3:uid="{811011C2-9E33-4F8A-BCD2-260DDF4CC060}" name="Facear" dataDxfId="223"/>
    <tableColumn id="30" xr3:uid="{EFE986D2-325F-4223-A6FC-89AFC0782517}" name="Serrar" dataDxfId="222"/>
    <tableColumn id="29" xr3:uid="{806CC413-43AC-4EDE-9413-A2852780B283}" name="Solda Dura" dataDxfId="221"/>
    <tableColumn id="28" xr3:uid="{669E3B74-6C47-4551-B95C-DE764412CB09}" name="Encaixe" dataDxfId="220"/>
    <tableColumn id="27" xr3:uid="{33B1427B-026C-4955-BEDC-C39ECFB35542}" name="Furação" dataDxfId="219"/>
    <tableColumn id="34" xr3:uid="{2004DA6B-65E8-4CFF-8DD6-03937C8E23A7}" name="Acabam." dataDxfId="218"/>
    <tableColumn id="25" xr3:uid="{94AD153B-B1BE-422C-9B64-A3F125946AE5}" name="Liberação" dataDxfId="217"/>
    <tableColumn id="23" xr3:uid="{6FFD36BA-4C85-4732-ACA9-BC9D46F4C26B}" name="Status Usinagem" dataDxfId="216">
      <calculatedColumnFormula>IF(L2="","AG. FUNDIDO",IF(U2="AG","AG. USINAGEM","EM USINAGEM"))</calculatedColumnFormula>
    </tableColumn>
    <tableColumn id="26" xr3:uid="{DF8CD1DA-6F25-4291-9F78-DB8D5E9AF463}" name="Observação" dataDxfId="215"/>
    <tableColumn id="15" xr3:uid="{8F53CFFE-8E1C-41F5-9090-488AE701829C}" name="Plainar_x000a_Facear" dataDxfId="214"/>
    <tableColumn id="16" xr3:uid="{EB12A620-BA24-453B-B639-A28F83CF7950}" name="Serrar2" dataDxfId="213"/>
    <tableColumn id="17" xr3:uid="{46D65A07-940A-4560-AFE5-056D37171937}" name="Solda_x000a_Dura2" dataDxfId="212"/>
    <tableColumn id="18" xr3:uid="{97823986-0C6D-4D6F-9BEE-2E43C2286AB2}" name="Encaixe /_x000a_Furação" dataDxfId="211"/>
    <tableColumn id="19" xr3:uid="{6F1924AE-480F-421A-BD70-FA16D1D4E641}" name="Acabam./_x000a_Inspeção" dataDxfId="21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43" totalsRowShown="0" headerRowDxfId="209" dataDxfId="208">
  <autoFilter ref="A1:V143" xr:uid="{71E71FAB-CF6D-4765-90BA-ABDE8C3299DB}"/>
  <tableColumns count="22">
    <tableColumn id="1" xr3:uid="{8F000DF9-1B1A-450A-B138-9EDBA7F17698}" name="PV" dataDxfId="207"/>
    <tableColumn id="2" xr3:uid="{4269DD7F-E557-42AF-949B-69AB74B45D7E}" name="Item" dataDxfId="206"/>
    <tableColumn id="3" xr3:uid="{B8E3D127-9007-43BC-9B71-611446984BAE}" name="O.S." dataDxfId="205"/>
    <tableColumn id="4" xr3:uid="{8A9FBC4E-431D-4132-B7C4-86DD1CC31C1D}" name="Item2" dataDxfId="204"/>
    <tableColumn id="5" xr3:uid="{E43CCBA4-A724-44DA-9BFB-2AD45322EC54}" name="Cliente" dataDxfId="203"/>
    <tableColumn id="6" xr3:uid="{301560AA-7C28-4FE5-AC00-2A14532B12A0}" name="Peça" dataDxfId="202"/>
    <tableColumn id="7" xr3:uid="{864BB541-5CD2-4DAB-AEC1-ADDD341A77F2}" name="Seq." dataDxfId="201"/>
    <tableColumn id="8" xr3:uid="{39F09B1D-71EC-461C-93C5-C5FCECCA0EC0}" name="Descrição" dataDxfId="200"/>
    <tableColumn id="9" xr3:uid="{0CC8781A-4370-473C-AD18-F562622EB79C}" name="Qtde." dataDxfId="199"/>
    <tableColumn id="10" xr3:uid="{8FC48674-090B-441A-B05D-5E7E4AB5177C}" name="Prazo_x000a_Fundido" dataDxfId="198"/>
    <tableColumn id="11" xr3:uid="{2B85402B-261F-4CF1-8AC4-DE439E438480}" name="Semana_x000a_Fundido" dataDxfId="197">
      <calculatedColumnFormula>WEEKNUM(Tabela3[[#This Row],[Prazo
Fundido]])</calculatedColumnFormula>
    </tableColumn>
    <tableColumn id="12" xr3:uid="{F410DF31-AFC5-4525-B8D3-A2AB464611B3}" name="Pz Fundido_x000a_Real" dataDxfId="196"/>
    <tableColumn id="13" xr3:uid="{7330A8B8-B0FE-4571-921F-35503842576A}" name="Prazo_x000a_Entrega" dataDxfId="195"/>
    <tableColumn id="23" xr3:uid="{050BF892-6E0A-4C1A-85E3-06353D54D7AC}" name="Pz Entrega_x000a_Real" dataDxfId="194"/>
    <tableColumn id="22" xr3:uid="{07396B9E-F2A0-47CC-B1C1-8D6A8D782E82}" name="Desenho_x000a_Previsão" dataDxfId="193"/>
    <tableColumn id="14" xr3:uid="{98904960-EE6F-4F44-87C3-8646B8C2D461}" name="Des." dataDxfId="192"/>
    <tableColumn id="15" xr3:uid="{4C38D84D-3A40-493A-A007-3826C38C0F9D}" name="Dias_x000a_Falta2" dataDxfId="191">
      <calculatedColumnFormula>Tabela3[[#This Row],[Prazo
Entrega]]-TODAY()</calculatedColumnFormula>
    </tableColumn>
    <tableColumn id="16" xr3:uid="{431C9D70-8530-4071-911B-7AAC65DE848C}" name="Indicador" dataDxfId="190">
      <calculatedColumnFormula>IF(Q2&lt;0,"ATRASADO",IF(Q2&lt;=15,"ATENÇÃO","NO PRAZO"))</calculatedColumnFormula>
    </tableColumn>
    <tableColumn id="17" xr3:uid="{37B1BAB9-4A72-4AB5-85A7-CFF0F27D94A6}" name="Semana_x000a_Entrega" dataDxfId="189">
      <calculatedColumnFormula>WEEKNUM(Tabela3[[#This Row],[Prazo
Entrega]])</calculatedColumnFormula>
    </tableColumn>
    <tableColumn id="19" xr3:uid="{A127FC22-0D53-4D0F-B783-28394B3FD90C}" name="CONDIÇÃO" dataDxfId="188"/>
    <tableColumn id="20" xr3:uid="{F610A49E-78E2-480E-B901-6B99A41E5174}" name="Status Usinagem" dataDxfId="187"/>
    <tableColumn id="21" xr3:uid="{FA7288EB-0143-4C36-8591-BF7231A8226E}" name="Observação" dataDxfId="18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85" dataDxfId="184">
  <autoFilter ref="A1:Z39" xr:uid="{2AC5416C-4E1B-4478-8A2A-B698870CAB96}"/>
  <tableColumns count="26">
    <tableColumn id="1" xr3:uid="{9A983B4E-3365-4153-9B40-D7FE26E8B98F}" name="PV " dataDxfId="183"/>
    <tableColumn id="2" xr3:uid="{4F16CD54-AAD4-4149-8D48-CC3FFEA93AA5}" name="Item" dataDxfId="182"/>
    <tableColumn id="3" xr3:uid="{27DB1DBC-B9DA-4067-9696-8CA5ACAAA450}" name="OS" dataDxfId="181"/>
    <tableColumn id="4" xr3:uid="{02C5E283-8ABF-44F8-B3B8-C3F186B4DF63}" name="Item2" dataDxfId="180"/>
    <tableColumn id="5" xr3:uid="{B1051CBE-EA72-4A43-8721-8756F3E2C9C9}" name="Cliente" dataDxfId="179"/>
    <tableColumn id="6" xr3:uid="{D81DBB81-327B-4EA3-89A3-229D33F3C14C}" name="Cod." dataDxfId="178"/>
    <tableColumn id="7" xr3:uid="{05B3DC4D-BFB9-401F-A18F-0D1B8527380B}" name="Seq." dataDxfId="177"/>
    <tableColumn id="8" xr3:uid="{9EBF401A-1F29-4CB3-BFA3-F2B326242AB0}" name="Descrição" dataDxfId="176"/>
    <tableColumn id="14" xr3:uid="{85D3397C-7F95-49C7-BFFB-35012CA3B716}" name="Qtd." dataDxfId="175"/>
    <tableColumn id="9" xr3:uid="{0D04583C-577A-446B-9773-A173C5C1C166}" name="Data Prev._x000a_Fundido" dataDxfId="174"/>
    <tableColumn id="10" xr3:uid="{935D3899-0C12-4408-89DF-490A507F79BA}" name="Data Real_x000a_Fundido" dataDxfId="173"/>
    <tableColumn id="11" xr3:uid="{0F06941F-293B-4C15-9764-BB3495C5D3BD}" name="Data Prev._x000a_Entrega" dataDxfId="172"/>
    <tableColumn id="12" xr3:uid="{92FF2511-5498-45BF-9B68-94DBEA588C5A}" name="Data Real_x000a_Entrega" dataDxfId="171"/>
    <tableColumn id="25" xr3:uid="{98545C7E-9674-485C-A07D-715E8945B00E}" name="Falta_x000a_Dias" dataDxfId="170">
      <calculatedColumnFormula>Tabela13[[#This Row],[Data Prev.
Entrega]]-TODAY()</calculatedColumnFormula>
    </tableColumn>
    <tableColumn id="27" xr3:uid="{4EB63243-AA79-4695-93C8-CEA977B11387}" name="Indicador" dataDxfId="169">
      <calculatedColumnFormula>IF(N2&lt;0,"ATRASADO",IF(N2&lt;=15,"ATENÇÃO","NO PRAZO"))</calculatedColumnFormula>
    </tableColumn>
    <tableColumn id="15" xr3:uid="{7AB992C1-F70E-4469-85BB-EBB7763B2038}" name="Condição" dataDxfId="168"/>
    <tableColumn id="24" xr3:uid="{B5965349-4BC8-4DF7-9EB4-857B6D471E8A}" name="Desenho_x000a_Previsão" dataDxfId="167"/>
    <tableColumn id="13" xr3:uid="{FD827F61-5F7F-4B65-8A60-B59D23455B46}" name="Des." dataDxfId="166"/>
    <tableColumn id="16" xr3:uid="{3D186A5F-076F-4232-B21C-37E58E5373B2}" name="Desb." dataDxfId="165"/>
    <tableColumn id="17" xr3:uid="{6EEDF11E-F341-4B3E-8CD2-5595785C3427}" name="T.T." dataDxfId="164"/>
    <tableColumn id="18" xr3:uid="{A84EFCF4-218F-4B17-8F46-8D5412141429}" name="Us. Final" dataDxfId="163"/>
    <tableColumn id="19" xr3:uid="{EBD50149-594D-440E-BFBB-E73ACAF7B6F8}" name="Fundo D." dataDxfId="162"/>
    <tableColumn id="20" xr3:uid="{91BE30ED-20C1-4F30-9041-45A50CCA04F0}" name="Acabam." dataDxfId="161"/>
    <tableColumn id="21" xr3:uid="{A1A12DF6-FC3D-4466-8284-DBD00DEAF994}" name="Liberação" dataDxfId="160"/>
    <tableColumn id="22" xr3:uid="{436F202D-DCF4-4376-A550-2541153BD99F}" name="Status Usinagem" dataDxfId="159">
      <calculatedColumnFormula>IF(K2="","AG. FUNDIDO",IF(X2="OK","LIBERADA","EM USINAGEM"))</calculatedColumnFormula>
    </tableColumn>
    <tableColumn id="23" xr3:uid="{F71E5739-8B79-47B3-9A24-E2E4D1DD46E6}" name="Observação" dataDxfId="1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157" dataDxfId="156">
  <autoFilter ref="A1:T89" xr:uid="{8F2F252D-0322-4579-B9EF-622E98B5994C}"/>
  <tableColumns count="20">
    <tableColumn id="1" xr3:uid="{56D3DA8E-4CA8-4DC6-8208-BAB93CDE51C0}" name="PV" dataDxfId="155"/>
    <tableColumn id="2" xr3:uid="{B14AE1B6-8C05-4725-BF42-3DBDB37AA4E3}" name="item" dataDxfId="154"/>
    <tableColumn id="3" xr3:uid="{24FE1002-C88A-4623-8882-5F391ECAB319}" name="OS" dataDxfId="153"/>
    <tableColumn id="4" xr3:uid="{4ED6249C-2003-4F3F-AE5A-67316434275E}" name="Item2" dataDxfId="152"/>
    <tableColumn id="5" xr3:uid="{6CE5B2E1-F32C-4D32-93F0-A17C05267ADB}" name="Cliente" dataDxfId="151"/>
    <tableColumn id="6" xr3:uid="{605F51C8-79D3-407B-8642-02F131952C62}" name="Qtd." dataDxfId="150"/>
    <tableColumn id="7" xr3:uid="{3AC59FFB-0DC5-477B-B780-880A1FD84811}" name="Peça" dataDxfId="149"/>
    <tableColumn id="8" xr3:uid="{2EE377A7-B17C-442E-A107-012310DB953B}" name="Seq." dataDxfId="148"/>
    <tableColumn id="9" xr3:uid="{5366226E-7F3B-42E4-AC0C-86C659505CC8}" name="Descrição" dataDxfId="147"/>
    <tableColumn id="10" xr3:uid="{B0D229C5-5F5A-4951-A0B4-FEA62AEFBB36}" name="Prazo_x000a_Fundido" dataDxfId="146"/>
    <tableColumn id="11" xr3:uid="{8AE09F18-EB17-4537-8FBD-24671292144B}" name="Pz Fundido_x000a_Real" dataDxfId="145"/>
    <tableColumn id="12" xr3:uid="{965E0234-7E4B-482D-8943-132C1520AD21}" name="Prazo_x000a_Entrega" dataDxfId="144"/>
    <tableColumn id="13" xr3:uid="{D70BE32E-86AF-4C0F-893D-AC939E731683}" name="Pz Entrega_x000a_Real" dataDxfId="143"/>
    <tableColumn id="15" xr3:uid="{2FE637E5-62E2-4AE9-AE5A-BC264DC93D4F}" name="Falta_x000a_Dias" dataDxfId="142">
      <calculatedColumnFormula>Tabela4[[#This Row],[Prazo
Entrega]]-TODAY()</calculatedColumnFormula>
    </tableColumn>
    <tableColumn id="14" xr3:uid="{23AEF4D3-817F-4A15-AFBA-EC837E4BE1AE}" name="Indicador" dataDxfId="141">
      <calculatedColumnFormula>IF(N2&lt;0,"ATRASADO",IF(N2&lt;=15,"ATENÇÃO","NO PRAZO"))</calculatedColumnFormula>
    </tableColumn>
    <tableColumn id="16" xr3:uid="{78F55B7C-8E60-49C5-B1F7-B023E76BDA6E}" name="Condição" dataDxfId="140"/>
    <tableColumn id="20" xr3:uid="{A889C1FB-2FE0-407A-B849-FEB9F2CA4F96}" name="Desenho_x000a_Previsão" dataDxfId="139"/>
    <tableColumn id="19" xr3:uid="{FB1E21D0-A118-422F-AA5B-F56FFBA7B5E4}" name="Des." dataDxfId="138"/>
    <tableColumn id="17" xr3:uid="{C14325D6-C653-45B3-B85F-6AF107A71546}" name="Status" dataDxfId="137"/>
    <tableColumn id="18" xr3:uid="{C6F7CA6A-B8B3-4E22-B3E8-05FFB1A03AB6}" name="Observação" dataDxfId="136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56" dataDxfId="55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85"/>
    <tableColumn id="2" xr3:uid="{39E67E43-7C76-4E6C-9319-15A91DE1C08C}" name="Item" dataDxfId="84"/>
    <tableColumn id="4" xr3:uid="{5B6759FC-B832-438E-B60C-770FAF7723FA}" name="Cliente" dataDxfId="83"/>
    <tableColumn id="5" xr3:uid="{20CFBF4C-4BD9-4F05-86D4-8A4AFFC243B2}" name="_x000a_O.S./Peça" dataDxfId="82"/>
    <tableColumn id="6" xr3:uid="{3994BD48-BFFD-46D2-9740-EDD282F2590D}" name="Descrição" dataDxfId="81"/>
    <tableColumn id="7" xr3:uid="{261AA518-FC82-431F-8839-D26554B59355}" name="Qtde." dataDxfId="80"/>
    <tableColumn id="24" xr3:uid="{0C566A21-B9D9-4AD7-A8B3-328E480EA286}" name="Bit" dataDxfId="79"/>
    <tableColumn id="17" xr3:uid="{7631FA30-8167-4961-B0E8-981A96ADEF58}" name="Tipo" dataDxfId="78"/>
    <tableColumn id="3" xr3:uid="{4F794446-D6E6-4C06-B881-9408CC542675}" name="Pos." dataDxfId="77"/>
    <tableColumn id="26" xr3:uid="{C41F63A6-DC4C-42FE-A13B-3E56F237270D}" name="Terno" dataDxfId="76"/>
    <tableColumn id="16" xr3:uid="{FF0A908E-E8EE-4CA0-96FA-38C032BFEFDE}" name="Forma" dataDxfId="75"/>
    <tableColumn id="9" xr3:uid="{DE0283F8-D4F6-449C-A9CA-7DBCB898DFD9}" name="Prazo_x000a_Fund" dataDxfId="74"/>
    <tableColumn id="10" xr3:uid="{663D9716-4C25-4ACC-A105-E9E7A474BCE6}" name="Prazo_x000a_Fund Real" dataDxfId="73"/>
    <tableColumn id="11" xr3:uid="{6EF58C27-546C-4B57-B05D-BB07C2046388}" name="Prazo_x000a_Entrega_x000a_Camisa" dataDxfId="72"/>
    <tableColumn id="12" xr3:uid="{AC626966-9CA5-4150-82F1-50338494E847}" name="Pz Entrega_x000a_Real" dataDxfId="71"/>
    <tableColumn id="13" xr3:uid="{506EC589-7ED2-4A3B-BED8-6CA8F57277E1}" name="Desenho_x000a_Previsão" dataDxfId="70"/>
    <tableColumn id="14" xr3:uid="{A31AB572-7F13-4A5C-A42E-7E7A20433BDA}" name="Des." dataDxfId="69"/>
    <tableColumn id="33" xr3:uid="{9D21190D-5788-4F29-AED2-63644BCE6C32}" name="OP1" dataDxfId="68"/>
    <tableColumn id="30" xr3:uid="{6C8FD4D3-300E-4009-A264-D6FBC780DE60}" name="OP2" dataDxfId="67"/>
    <tableColumn id="28" xr3:uid="{533BCCB9-B72A-4E3A-BE20-626EE2E49D83}" name="OP3" dataDxfId="66"/>
    <tableColumn id="27" xr3:uid="{58435D6B-01D7-44DD-9B21-62EB23C9AA4F}" name="OP4" dataDxfId="65"/>
    <tableColumn id="25" xr3:uid="{B00B175A-D2BA-4783-8EBD-A000C46B6055}" name="OP5" dataDxfId="64"/>
    <tableColumn id="20" xr3:uid="{1C48207C-2D30-42CB-BD4E-0C9B569C9BCB}" name="OP6" dataDxfId="63"/>
    <tableColumn id="35" xr3:uid="{5857075F-D742-43D2-AD1F-F2BB8219D8E7}" name="OP7" dataDxfId="62"/>
    <tableColumn id="15" xr3:uid="{46F62312-EE93-4C00-9352-8A9BF48479C9}" name="OP8" dataDxfId="61"/>
    <tableColumn id="8" xr3:uid="{81AAED83-3114-4366-BECD-21F933A26FE9}" name="OP9" dataDxfId="60"/>
    <tableColumn id="18" xr3:uid="{F5387D14-C7D5-4022-901B-04E5D65304C7}" name="Status_x000a_Camisa" dataDxfId="59"/>
    <tableColumn id="32" xr3:uid="{BEC53105-CFFD-422E-9C30-4E4BC1816678}" name="Nº Eixo" dataDxfId="58"/>
    <tableColumn id="19" xr3:uid="{A08285BC-8B0E-4492-A6AF-090B851B036D}" name="Observação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135" dataDxfId="134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133"/>
    <tableColumn id="6" xr3:uid="{59911696-06D3-45A5-970B-2AD22F609E28}" name="Descrição" dataDxfId="132"/>
    <tableColumn id="7" xr3:uid="{8F359B2A-1452-4DD5-8078-A592FF1FAEDA}" name="Qtde." dataDxfId="131"/>
    <tableColumn id="24" xr3:uid="{6ACDF30B-4FA5-46F2-B973-769AFF1A7ED5}" name="Bit" dataDxfId="130"/>
    <tableColumn id="26" xr3:uid="{CA14875A-A13A-4CA2-81ED-1A988AD78208}" name="Terno" dataDxfId="129"/>
    <tableColumn id="16" xr3:uid="{D3038C5E-F555-4042-A706-904B091CB790}" name="Forma" dataDxfId="128"/>
    <tableColumn id="9" xr3:uid="{736BC299-01E4-44CB-8D56-905E55712437}" name="Prazo_x000a_Fund" dataDxfId="127"/>
    <tableColumn id="10" xr3:uid="{714F025C-A04A-41D1-BB99-C7973DD1D6C8}" name="Prazo_x000a_Fund Real" dataDxfId="126"/>
    <tableColumn id="11" xr3:uid="{2AE87132-0DBA-40D2-AB92-CEAC0877A62E}" name="Prazo_x000a_Entrega_x000a_Camisa" dataDxfId="125"/>
    <tableColumn id="12" xr3:uid="{CF3374FD-D85C-4F8B-BC4C-3092E3B5F31A}" name="Pz Entrega_x000a_Real" dataDxfId="124"/>
    <tableColumn id="13" xr3:uid="{75F62D18-9AFA-4320-9551-17D7D3F48733}" name="Desenho_x000a_Previsão" dataDxfId="123"/>
    <tableColumn id="14" xr3:uid="{0E91F17A-D1CD-4B1F-B5BA-F593FF862042}" name="Des." dataDxfId="122"/>
    <tableColumn id="33" xr3:uid="{49915B29-1E2A-403B-BB52-E050204325AB}" name="OP1" dataDxfId="121"/>
    <tableColumn id="30" xr3:uid="{918DBD98-C28A-4CAB-8273-DEB81CE88B05}" name="OP2" dataDxfId="120"/>
    <tableColumn id="28" xr3:uid="{F99FDFD5-3B70-48B1-93CD-89C55B3CE706}" name="OP3" dataDxfId="119"/>
    <tableColumn id="27" xr3:uid="{3B6FF2E7-14DF-4DBF-B5AB-5AC8D2BE1CDD}" name="OP4" dataDxfId="118"/>
    <tableColumn id="25" xr3:uid="{0837249B-09C0-43AA-A6F1-42C6831ED1C4}" name="OP5" dataDxfId="117"/>
    <tableColumn id="20" xr3:uid="{9AB76328-313A-4CD8-9CB1-5AB1453CAE9E}" name="OP6" dataDxfId="116"/>
    <tableColumn id="35" xr3:uid="{B32C0B30-5F3F-42B0-8DFF-98B0B8FB2893}" name="OP7" dataDxfId="115"/>
    <tableColumn id="15" xr3:uid="{AF3E8433-61CF-422E-9FA2-91C9BA8DC757}" name="OP8" dataDxfId="114"/>
    <tableColumn id="8" xr3:uid="{A6F4F508-1C53-4E9B-9746-79444D0123BB}" name="OP9" dataDxfId="113"/>
    <tableColumn id="18" xr3:uid="{AEDB6685-F605-437C-ABD4-65BAE59B7844}" name="Status_x000a_Camisa" dataDxfId="112"/>
    <tableColumn id="3" xr3:uid="{4D106AB2-FC5C-4F08-8B0A-A966B169502D}" name="PV eixo" dataDxfId="111"/>
    <tableColumn id="32" xr3:uid="{111EB1E4-5B59-4AC6-97B8-26DB9C34AFD4}" name="Nº Eixo2" dataDxfId="110"/>
    <tableColumn id="31" xr3:uid="{3327FDD5-D7D9-476C-B262-F5CEDAA2C9FA}" name="Rec_x000a_Eixo" dataDxfId="109"/>
    <tableColumn id="34" xr3:uid="{947A4EE5-7E50-4ED4-9CAE-160C8A4CBD34}" name="OP10" dataDxfId="108"/>
    <tableColumn id="17" xr3:uid="{76660409-FD24-4D8E-B5EF-275B92F001A9}" name="OP11" dataDxfId="107"/>
    <tableColumn id="29" xr3:uid="{2D48D210-14B2-4386-A519-42F0F2B7E9F5}" name="Prazo_x000a_Entrega_x000a_Eixo" dataDxfId="106"/>
    <tableColumn id="23" xr3:uid="{4DFCA09F-8E46-42D4-9163-40353BAA4ACE}" name="Status_x000a_Eixo" dataDxfId="105"/>
    <tableColumn id="19" xr3:uid="{E3D32BDE-09FA-4F17-8CE6-8B2139F9BB8A}" name="Observação" dataDxfId="10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A49" sqref="A49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10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260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17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17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17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17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17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10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85</v>
      </c>
      <c r="AC8" s="10" t="s">
        <v>260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10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85</v>
      </c>
      <c r="AC9" s="10" t="s">
        <v>260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10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260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10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85</v>
      </c>
      <c r="AC11" s="10" t="s">
        <v>260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17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17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85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17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85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17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10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260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10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260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10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260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10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260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24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17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24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24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7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7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7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7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7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7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24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10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260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24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24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24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85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24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24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24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31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31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31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31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31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31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31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31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31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31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38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38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38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38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38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38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38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38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38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38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45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45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31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31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31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31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31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31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31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45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45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52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52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52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52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52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52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56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56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56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32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92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32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63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63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92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107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107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107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107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107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107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78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78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78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78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78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153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153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153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153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153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153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153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153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153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153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153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153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153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153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153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153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153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153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153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153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43"/>
  <sheetViews>
    <sheetView topLeftCell="F1" workbookViewId="0">
      <selection activeCell="H25" sqref="H25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8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259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8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259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8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259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8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259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8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259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8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259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8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259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8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259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8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259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8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286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8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287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8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288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8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8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8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8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8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8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8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8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8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8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8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8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8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8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8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8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8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8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8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30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30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30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30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30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63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63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63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63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63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63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63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63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63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63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63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63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73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73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73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73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73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73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73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73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73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73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73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73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73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73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73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83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83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83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83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83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83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83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83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83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83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83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83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83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83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83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63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63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63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93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93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93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93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93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93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93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93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93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122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122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122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122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122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122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122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122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122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122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122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122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122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122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122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122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122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122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122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122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122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122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122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122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122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122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122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122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122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122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122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122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122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122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122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122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122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122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122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122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>
        <v>27619</v>
      </c>
      <c r="D132" s="10">
        <v>1</v>
      </c>
      <c r="E132" s="10" t="s">
        <v>103</v>
      </c>
      <c r="F132" s="10" t="s">
        <v>77</v>
      </c>
      <c r="G132" s="10" t="s">
        <v>77</v>
      </c>
      <c r="H132" s="10" t="s">
        <v>261</v>
      </c>
      <c r="I132" s="10">
        <v>1</v>
      </c>
      <c r="J132" s="11">
        <v>46219</v>
      </c>
      <c r="K132" s="10">
        <f>WEEKNUM(Tabela3[[#This Row],[Prazo
Fundido]])</f>
        <v>29</v>
      </c>
      <c r="L132" s="10"/>
      <c r="M132" s="11">
        <v>46233</v>
      </c>
      <c r="N132" s="18"/>
      <c r="O132" s="11">
        <v>46203</v>
      </c>
      <c r="P132" s="10" t="s">
        <v>72</v>
      </c>
      <c r="Q132" s="12">
        <f ca="1">Tabela3[[#This Row],[Prazo
Entrega]]-TODAY()</f>
        <v>30</v>
      </c>
      <c r="R132" s="10" t="str">
        <f ca="1">IF(Q132&lt;0,"ATRASADO",IF(Q132&lt;=15,"ATENÇÃO","NO PRAZO"))</f>
        <v>NO PRAZO</v>
      </c>
      <c r="S132" s="10">
        <f>WEEKNUM(Tabela3[[#This Row],[Prazo
Entrega]])</f>
        <v>31</v>
      </c>
      <c r="T132" s="10" t="s">
        <v>43</v>
      </c>
      <c r="U132" s="10" t="s">
        <v>61</v>
      </c>
      <c r="V132" s="10"/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 t="s">
        <v>77</v>
      </c>
      <c r="G133" s="10" t="s">
        <v>77</v>
      </c>
      <c r="H133" s="10" t="s">
        <v>261</v>
      </c>
      <c r="I133" s="10">
        <v>1</v>
      </c>
      <c r="J133" s="11">
        <v>46219</v>
      </c>
      <c r="K133" s="10">
        <f>WEEKNUM(Tabela3[[#This Row],[Prazo
Fundido]])</f>
        <v>29</v>
      </c>
      <c r="L133" s="10"/>
      <c r="M133" s="11">
        <v>46248</v>
      </c>
      <c r="N133" s="18"/>
      <c r="O133" s="11">
        <v>46203</v>
      </c>
      <c r="P133" s="10" t="s">
        <v>72</v>
      </c>
      <c r="Q133" s="12">
        <f ca="1">Tabela3[[#This Row],[Prazo
Entrega]]-TODAY()</f>
        <v>45</v>
      </c>
      <c r="R133" s="10" t="str">
        <f t="shared" ref="R133:R143" ca="1" si="4">IF(Q133&lt;0,"ATRASADO",IF(Q133&lt;=15,"ATENÇÃO","NO PRAZO"))</f>
        <v>NO PRAZO</v>
      </c>
      <c r="S133" s="10">
        <f>WEEKNUM(Tabela3[[#This Row],[Prazo
Entrega]])</f>
        <v>33</v>
      </c>
      <c r="T133" s="10" t="s">
        <v>43</v>
      </c>
      <c r="U133" s="10" t="s">
        <v>61</v>
      </c>
      <c r="V133" s="10"/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 t="s">
        <v>77</v>
      </c>
      <c r="G134" s="10" t="s">
        <v>77</v>
      </c>
      <c r="H134" s="10" t="s">
        <v>261</v>
      </c>
      <c r="I134" s="10">
        <v>1</v>
      </c>
      <c r="J134" s="11">
        <v>46219</v>
      </c>
      <c r="K134" s="10">
        <f>WEEKNUM(Tabela3[[#This Row],[Prazo
Fundido]])</f>
        <v>29</v>
      </c>
      <c r="L134" s="10"/>
      <c r="M134" s="11">
        <v>46248</v>
      </c>
      <c r="N134" s="18"/>
      <c r="O134" s="11">
        <v>46203</v>
      </c>
      <c r="P134" s="10" t="s">
        <v>72</v>
      </c>
      <c r="Q134" s="12">
        <f ca="1">Tabela3[[#This Row],[Prazo
Entrega]]-TODAY()</f>
        <v>45</v>
      </c>
      <c r="R134" s="10" t="str">
        <f t="shared" ca="1" si="4"/>
        <v>NO PRAZO</v>
      </c>
      <c r="S134" s="10">
        <f>WEEKNUM(Tabela3[[#This Row],[Prazo
Entrega]])</f>
        <v>33</v>
      </c>
      <c r="T134" s="10" t="s">
        <v>43</v>
      </c>
      <c r="U134" s="10" t="s">
        <v>61</v>
      </c>
      <c r="V134" s="10"/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 t="s">
        <v>77</v>
      </c>
      <c r="G135" s="10" t="s">
        <v>77</v>
      </c>
      <c r="H135" s="10" t="s">
        <v>263</v>
      </c>
      <c r="I135" s="10">
        <v>1</v>
      </c>
      <c r="J135" s="11">
        <v>46219</v>
      </c>
      <c r="K135" s="10">
        <f>WEEKNUM(Tabela3[[#This Row],[Prazo
Fundido]])</f>
        <v>29</v>
      </c>
      <c r="L135" s="10"/>
      <c r="M135" s="11">
        <v>46233</v>
      </c>
      <c r="N135" s="18"/>
      <c r="O135" s="11">
        <v>46203</v>
      </c>
      <c r="P135" s="10" t="s">
        <v>72</v>
      </c>
      <c r="Q135" s="12">
        <f ca="1">Tabela3[[#This Row],[Prazo
Entrega]]-TODAY()</f>
        <v>30</v>
      </c>
      <c r="R135" s="10" t="str">
        <f t="shared" ca="1" si="4"/>
        <v>NO PRAZO</v>
      </c>
      <c r="S135" s="10">
        <f>WEEKNUM(Tabela3[[#This Row],[Prazo
Entrega]])</f>
        <v>31</v>
      </c>
      <c r="T135" s="10" t="s">
        <v>43</v>
      </c>
      <c r="U135" s="10" t="s">
        <v>61</v>
      </c>
      <c r="V135" s="10"/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 t="s">
        <v>77</v>
      </c>
      <c r="G136" s="10" t="s">
        <v>77</v>
      </c>
      <c r="H136" s="10" t="s">
        <v>263</v>
      </c>
      <c r="I136" s="10">
        <v>1</v>
      </c>
      <c r="J136" s="11">
        <v>46219</v>
      </c>
      <c r="K136" s="10">
        <f>WEEKNUM(Tabela3[[#This Row],[Prazo
Fundido]])</f>
        <v>29</v>
      </c>
      <c r="L136" s="10"/>
      <c r="M136" s="11">
        <v>46233</v>
      </c>
      <c r="N136" s="18"/>
      <c r="O136" s="11">
        <v>46203</v>
      </c>
      <c r="P136" s="10" t="s">
        <v>72</v>
      </c>
      <c r="Q136" s="12">
        <f ca="1">Tabela3[[#This Row],[Prazo
Entrega]]-TODAY()</f>
        <v>30</v>
      </c>
      <c r="R136" s="10" t="str">
        <f t="shared" ca="1" si="4"/>
        <v>NO PRAZO</v>
      </c>
      <c r="S136" s="10">
        <f>WEEKNUM(Tabela3[[#This Row],[Prazo
Entrega]])</f>
        <v>31</v>
      </c>
      <c r="T136" s="10" t="s">
        <v>43</v>
      </c>
      <c r="U136" s="10" t="s">
        <v>61</v>
      </c>
      <c r="V136" s="10"/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 t="s">
        <v>77</v>
      </c>
      <c r="G137" s="10" t="s">
        <v>77</v>
      </c>
      <c r="H137" s="10" t="s">
        <v>263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46248</v>
      </c>
      <c r="N137" s="18"/>
      <c r="O137" s="11">
        <v>46203</v>
      </c>
      <c r="P137" s="10" t="s">
        <v>72</v>
      </c>
      <c r="Q137" s="12">
        <f ca="1">Tabela3[[#This Row],[Prazo
Entrega]]-TODAY()</f>
        <v>45</v>
      </c>
      <c r="R137" s="10" t="str">
        <f t="shared" ca="1" si="4"/>
        <v>NO PRAZO</v>
      </c>
      <c r="S137" s="10">
        <f>WEEKNUM(Tabela3[[#This Row],[Prazo
Entrega]])</f>
        <v>33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 t="s">
        <v>77</v>
      </c>
      <c r="G138" s="10" t="s">
        <v>77</v>
      </c>
      <c r="H138" s="10" t="s">
        <v>263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45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 t="s">
        <v>77</v>
      </c>
      <c r="G139" s="10" t="s">
        <v>77</v>
      </c>
      <c r="H139" s="10" t="s">
        <v>263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45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 t="s">
        <v>77</v>
      </c>
      <c r="G140" s="10" t="s">
        <v>77</v>
      </c>
      <c r="H140" s="10" t="s">
        <v>262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30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 t="s">
        <v>77</v>
      </c>
      <c r="G141" s="10" t="s">
        <v>77</v>
      </c>
      <c r="H141" s="10" t="s">
        <v>262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30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 t="s">
        <v>77</v>
      </c>
      <c r="G142" s="10" t="s">
        <v>77</v>
      </c>
      <c r="H142" s="10" t="s">
        <v>262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45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 t="s">
        <v>77</v>
      </c>
      <c r="G143" s="10" t="s">
        <v>77</v>
      </c>
      <c r="H143" s="10" t="s">
        <v>262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45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66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66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36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36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36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92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36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63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63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63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63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63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92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92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92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77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77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77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77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77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77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77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77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77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171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171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171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83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83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83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171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171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171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171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264</v>
      </c>
      <c r="F36" s="14" t="s">
        <v>77</v>
      </c>
      <c r="G36" s="14" t="s">
        <v>77</v>
      </c>
      <c r="H36" s="6" t="s">
        <v>265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92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264</v>
      </c>
      <c r="F37" s="14" t="s">
        <v>77</v>
      </c>
      <c r="G37" s="14" t="s">
        <v>77</v>
      </c>
      <c r="H37" s="6" t="s">
        <v>266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92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264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92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264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92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51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51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51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51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51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51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51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51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-25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173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173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173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173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173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173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78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78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173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173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173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173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173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173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173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173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173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173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173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173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173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173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173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173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173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173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173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173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173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173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173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173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173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173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173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173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173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173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173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173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173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173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0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153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153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153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153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153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153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153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153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153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153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153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153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153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153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153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153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153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153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153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153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153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153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153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153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153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153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153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153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153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153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153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153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153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153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153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0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abSelected="1"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69"/>
    <col min="3" max="3" width="16" style="69" customWidth="1"/>
    <col min="4" max="4" width="9.140625" style="69"/>
    <col min="5" max="5" width="21.85546875" style="69" bestFit="1" customWidth="1"/>
    <col min="6" max="6" width="10.5703125" style="69" bestFit="1" customWidth="1"/>
    <col min="7" max="7" width="8.42578125" style="69" bestFit="1" customWidth="1"/>
    <col min="8" max="9" width="8.42578125" style="69" customWidth="1"/>
    <col min="10" max="10" width="7.42578125" style="69" customWidth="1"/>
    <col min="11" max="11" width="9.140625" style="69"/>
    <col min="12" max="12" width="10.140625" style="69" bestFit="1" customWidth="1"/>
    <col min="13" max="13" width="10.28515625" style="69" customWidth="1"/>
    <col min="14" max="15" width="10.140625" style="69" bestFit="1" customWidth="1"/>
    <col min="16" max="26" width="9.140625" style="69"/>
    <col min="27" max="27" width="18.5703125" style="69" customWidth="1"/>
    <col min="28" max="28" width="12.140625" style="69" bestFit="1" customWidth="1"/>
    <col min="29" max="29" width="25.42578125" style="69" customWidth="1"/>
    <col min="30" max="16384" width="9.140625" style="69"/>
  </cols>
  <sheetData>
    <row r="1" spans="1:29" ht="40.5" x14ac:dyDescent="0.25">
      <c r="A1" s="67" t="s">
        <v>7</v>
      </c>
      <c r="B1" s="67" t="s">
        <v>1</v>
      </c>
      <c r="C1" s="67" t="s">
        <v>3</v>
      </c>
      <c r="D1" s="68" t="s">
        <v>257</v>
      </c>
      <c r="E1" s="67" t="s">
        <v>6</v>
      </c>
      <c r="F1" s="67" t="s">
        <v>2</v>
      </c>
      <c r="G1" s="67" t="s">
        <v>258</v>
      </c>
      <c r="H1" s="67" t="s">
        <v>304</v>
      </c>
      <c r="I1" s="67" t="s">
        <v>303</v>
      </c>
      <c r="J1" s="67" t="s">
        <v>236</v>
      </c>
      <c r="K1" s="67" t="s">
        <v>225</v>
      </c>
      <c r="L1" s="68" t="s">
        <v>251</v>
      </c>
      <c r="M1" s="68" t="s">
        <v>252</v>
      </c>
      <c r="N1" s="68" t="s">
        <v>250</v>
      </c>
      <c r="O1" s="68" t="s">
        <v>21</v>
      </c>
      <c r="P1" s="68" t="s">
        <v>109</v>
      </c>
      <c r="Q1" s="68" t="s">
        <v>84</v>
      </c>
      <c r="R1" s="68" t="s">
        <v>277</v>
      </c>
      <c r="S1" s="68" t="s">
        <v>278</v>
      </c>
      <c r="T1" s="68" t="s">
        <v>279</v>
      </c>
      <c r="U1" s="68" t="s">
        <v>280</v>
      </c>
      <c r="V1" s="68" t="s">
        <v>281</v>
      </c>
      <c r="W1" s="68" t="s">
        <v>282</v>
      </c>
      <c r="X1" s="68" t="s">
        <v>283</v>
      </c>
      <c r="Y1" s="68" t="s">
        <v>284</v>
      </c>
      <c r="Z1" s="68" t="s">
        <v>285</v>
      </c>
      <c r="AA1" s="68" t="s">
        <v>227</v>
      </c>
      <c r="AB1" s="68" t="s">
        <v>301</v>
      </c>
      <c r="AC1" s="68" t="s">
        <v>73</v>
      </c>
    </row>
    <row r="2" spans="1:29" s="53" customFormat="1" hidden="1" x14ac:dyDescent="0.25">
      <c r="A2" s="54">
        <v>1015</v>
      </c>
      <c r="B2" s="54">
        <v>1</v>
      </c>
      <c r="C2" s="54" t="s">
        <v>229</v>
      </c>
      <c r="D2" s="54">
        <v>6635</v>
      </c>
      <c r="E2" s="54" t="s">
        <v>254</v>
      </c>
      <c r="F2" s="54">
        <v>1</v>
      </c>
      <c r="G2" s="54">
        <v>2300</v>
      </c>
      <c r="H2" s="54" t="s">
        <v>306</v>
      </c>
      <c r="I2" s="54" t="s">
        <v>77</v>
      </c>
      <c r="J2" s="54" t="s">
        <v>77</v>
      </c>
      <c r="K2" s="54" t="s">
        <v>226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267</v>
      </c>
      <c r="S2" s="56" t="s">
        <v>269</v>
      </c>
      <c r="T2" s="56" t="s">
        <v>270</v>
      </c>
      <c r="U2" s="56" t="s">
        <v>272</v>
      </c>
      <c r="V2" s="54" t="s">
        <v>273</v>
      </c>
      <c r="W2" s="54" t="s">
        <v>274</v>
      </c>
      <c r="X2" s="54" t="s">
        <v>271</v>
      </c>
      <c r="Y2" s="54" t="s">
        <v>275</v>
      </c>
      <c r="Z2" s="54" t="s">
        <v>276</v>
      </c>
      <c r="AA2" s="54" t="s">
        <v>233</v>
      </c>
      <c r="AB2" s="54">
        <v>2</v>
      </c>
      <c r="AC2" s="54" t="s">
        <v>302</v>
      </c>
    </row>
    <row r="3" spans="1:29" s="53" customFormat="1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255</v>
      </c>
      <c r="F3" s="54">
        <v>1</v>
      </c>
      <c r="G3" s="54" t="s">
        <v>232</v>
      </c>
      <c r="H3" s="54" t="s">
        <v>305</v>
      </c>
      <c r="I3" s="54" t="s">
        <v>307</v>
      </c>
      <c r="J3" s="54" t="s">
        <v>237</v>
      </c>
      <c r="K3" s="54" t="s">
        <v>242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268</v>
      </c>
      <c r="S3" s="54" t="s">
        <v>267</v>
      </c>
      <c r="T3" s="54" t="s">
        <v>271</v>
      </c>
      <c r="U3" s="54"/>
      <c r="V3" s="54"/>
      <c r="W3" s="54"/>
      <c r="X3" s="54"/>
      <c r="Y3" s="54"/>
      <c r="Z3" s="54"/>
      <c r="AA3" s="54" t="s">
        <v>230</v>
      </c>
      <c r="AB3" s="54" t="s">
        <v>244</v>
      </c>
      <c r="AC3" s="54"/>
    </row>
    <row r="4" spans="1:29" s="53" customFormat="1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255</v>
      </c>
      <c r="F4" s="54">
        <v>1</v>
      </c>
      <c r="G4" s="54" t="s">
        <v>232</v>
      </c>
      <c r="H4" s="54" t="s">
        <v>305</v>
      </c>
      <c r="I4" s="54" t="s">
        <v>308</v>
      </c>
      <c r="J4" s="54" t="s">
        <v>237</v>
      </c>
      <c r="K4" s="54" t="s">
        <v>242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268</v>
      </c>
      <c r="S4" s="54" t="s">
        <v>267</v>
      </c>
      <c r="T4" s="54" t="s">
        <v>271</v>
      </c>
      <c r="U4" s="54"/>
      <c r="V4" s="54"/>
      <c r="W4" s="54"/>
      <c r="X4" s="54"/>
      <c r="Y4" s="54"/>
      <c r="Z4" s="54"/>
      <c r="AA4" s="54" t="s">
        <v>230</v>
      </c>
      <c r="AB4" s="54" t="s">
        <v>245</v>
      </c>
      <c r="AC4" s="54"/>
    </row>
    <row r="5" spans="1:29" s="53" customFormat="1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255</v>
      </c>
      <c r="F5" s="54">
        <v>1</v>
      </c>
      <c r="G5" s="54" t="s">
        <v>232</v>
      </c>
      <c r="H5" s="54" t="s">
        <v>305</v>
      </c>
      <c r="I5" s="54" t="s">
        <v>307</v>
      </c>
      <c r="J5" s="54" t="s">
        <v>238</v>
      </c>
      <c r="K5" s="54" t="s">
        <v>242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268</v>
      </c>
      <c r="S5" s="54" t="s">
        <v>267</v>
      </c>
      <c r="T5" s="54" t="s">
        <v>271</v>
      </c>
      <c r="U5" s="54"/>
      <c r="V5" s="54"/>
      <c r="W5" s="54"/>
      <c r="X5" s="54"/>
      <c r="Y5" s="54"/>
      <c r="Z5" s="54"/>
      <c r="AA5" s="54" t="s">
        <v>230</v>
      </c>
      <c r="AB5" s="54">
        <v>9</v>
      </c>
      <c r="AC5" s="54"/>
    </row>
    <row r="6" spans="1:29" s="53" customFormat="1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255</v>
      </c>
      <c r="F6" s="54">
        <v>1</v>
      </c>
      <c r="G6" s="54">
        <v>1700</v>
      </c>
      <c r="H6" s="54" t="s">
        <v>305</v>
      </c>
      <c r="I6" s="54" t="s">
        <v>308</v>
      </c>
      <c r="J6" s="54" t="s">
        <v>238</v>
      </c>
      <c r="K6" s="54" t="s">
        <v>242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268</v>
      </c>
      <c r="S6" s="54" t="s">
        <v>267</v>
      </c>
      <c r="T6" s="54" t="s">
        <v>271</v>
      </c>
      <c r="U6" s="54"/>
      <c r="V6" s="54"/>
      <c r="W6" s="54"/>
      <c r="X6" s="54"/>
      <c r="Y6" s="54"/>
      <c r="Z6" s="54"/>
      <c r="AA6" s="54" t="s">
        <v>230</v>
      </c>
      <c r="AB6" s="54">
        <v>17</v>
      </c>
      <c r="AC6" s="54"/>
    </row>
    <row r="7" spans="1:29" s="53" customFormat="1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255</v>
      </c>
      <c r="F7" s="54">
        <v>1</v>
      </c>
      <c r="G7" s="54">
        <v>1700</v>
      </c>
      <c r="H7" s="54" t="s">
        <v>305</v>
      </c>
      <c r="I7" s="54" t="s">
        <v>307</v>
      </c>
      <c r="J7" s="54" t="s">
        <v>239</v>
      </c>
      <c r="K7" s="54" t="s">
        <v>242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268</v>
      </c>
      <c r="S7" s="54" t="s">
        <v>267</v>
      </c>
      <c r="T7" s="54" t="s">
        <v>271</v>
      </c>
      <c r="U7" s="54"/>
      <c r="V7" s="54"/>
      <c r="W7" s="54"/>
      <c r="X7" s="54"/>
      <c r="Y7" s="54"/>
      <c r="Z7" s="54"/>
      <c r="AA7" s="54" t="s">
        <v>230</v>
      </c>
      <c r="AB7" s="54">
        <v>7</v>
      </c>
      <c r="AC7" s="54"/>
    </row>
    <row r="8" spans="1:29" s="53" customFormat="1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255</v>
      </c>
      <c r="F8" s="54">
        <v>1</v>
      </c>
      <c r="G8" s="54">
        <v>1700</v>
      </c>
      <c r="H8" s="54" t="s">
        <v>305</v>
      </c>
      <c r="I8" s="54" t="s">
        <v>308</v>
      </c>
      <c r="J8" s="54" t="s">
        <v>239</v>
      </c>
      <c r="K8" s="54" t="s">
        <v>226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267</v>
      </c>
      <c r="S8" s="54" t="s">
        <v>270</v>
      </c>
      <c r="T8" s="54" t="s">
        <v>271</v>
      </c>
      <c r="U8" s="54" t="s">
        <v>275</v>
      </c>
      <c r="V8" s="54" t="s">
        <v>276</v>
      </c>
      <c r="W8" s="54"/>
      <c r="X8" s="54"/>
      <c r="Y8" s="54"/>
      <c r="Z8" s="54"/>
      <c r="AA8" s="54" t="s">
        <v>230</v>
      </c>
      <c r="AB8" s="54">
        <v>2</v>
      </c>
      <c r="AC8" s="54"/>
    </row>
    <row r="9" spans="1:29" s="53" customFormat="1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255</v>
      </c>
      <c r="F9" s="54">
        <v>1</v>
      </c>
      <c r="G9" s="54">
        <v>1700</v>
      </c>
      <c r="H9" s="54" t="s">
        <v>305</v>
      </c>
      <c r="I9" s="54" t="s">
        <v>307</v>
      </c>
      <c r="J9" s="54" t="s">
        <v>240</v>
      </c>
      <c r="K9" s="54" t="s">
        <v>242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268</v>
      </c>
      <c r="S9" s="54" t="s">
        <v>267</v>
      </c>
      <c r="T9" s="54" t="s">
        <v>271</v>
      </c>
      <c r="U9" s="54"/>
      <c r="V9" s="54"/>
      <c r="W9" s="54"/>
      <c r="X9" s="54"/>
      <c r="Y9" s="54"/>
      <c r="Z9" s="54"/>
      <c r="AA9" s="54" t="s">
        <v>230</v>
      </c>
      <c r="AB9" s="54">
        <v>3</v>
      </c>
      <c r="AC9" s="54"/>
    </row>
    <row r="10" spans="1:29" s="53" customFormat="1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255</v>
      </c>
      <c r="F10" s="54">
        <v>1</v>
      </c>
      <c r="G10" s="54">
        <v>1700</v>
      </c>
      <c r="H10" s="54" t="s">
        <v>305</v>
      </c>
      <c r="I10" s="54" t="s">
        <v>308</v>
      </c>
      <c r="J10" s="54" t="s">
        <v>240</v>
      </c>
      <c r="K10" s="54" t="s">
        <v>226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267</v>
      </c>
      <c r="S10" s="54" t="s">
        <v>270</v>
      </c>
      <c r="T10" s="54" t="s">
        <v>271</v>
      </c>
      <c r="U10" s="54" t="s">
        <v>275</v>
      </c>
      <c r="V10" s="54" t="s">
        <v>276</v>
      </c>
      <c r="W10" s="54"/>
      <c r="X10" s="54"/>
      <c r="Y10" s="54"/>
      <c r="Z10" s="54"/>
      <c r="AA10" s="54" t="s">
        <v>230</v>
      </c>
      <c r="AB10" s="54">
        <v>10</v>
      </c>
      <c r="AC10" s="54"/>
    </row>
    <row r="11" spans="1:29" s="53" customFormat="1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255</v>
      </c>
      <c r="F11" s="54">
        <v>1</v>
      </c>
      <c r="G11" s="54">
        <v>1700</v>
      </c>
      <c r="H11" s="54" t="s">
        <v>305</v>
      </c>
      <c r="I11" s="54" t="s">
        <v>307</v>
      </c>
      <c r="J11" s="54" t="s">
        <v>241</v>
      </c>
      <c r="K11" s="54" t="s">
        <v>242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268</v>
      </c>
      <c r="S11" s="54" t="s">
        <v>267</v>
      </c>
      <c r="T11" s="54" t="s">
        <v>271</v>
      </c>
      <c r="U11" s="54"/>
      <c r="V11" s="54"/>
      <c r="W11" s="54"/>
      <c r="X11" s="54"/>
      <c r="Y11" s="54"/>
      <c r="Z11" s="54"/>
      <c r="AA11" s="54" t="s">
        <v>230</v>
      </c>
      <c r="AB11" s="54">
        <v>20</v>
      </c>
      <c r="AC11" s="54"/>
    </row>
    <row r="12" spans="1:29" s="53" customFormat="1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235</v>
      </c>
      <c r="F12" s="54">
        <v>1</v>
      </c>
      <c r="G12" s="54">
        <v>1700</v>
      </c>
      <c r="H12" s="54" t="s">
        <v>306</v>
      </c>
      <c r="I12" s="54" t="s">
        <v>308</v>
      </c>
      <c r="J12" s="54" t="s">
        <v>241</v>
      </c>
      <c r="K12" s="54" t="s">
        <v>226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267</v>
      </c>
      <c r="S12" s="54" t="s">
        <v>269</v>
      </c>
      <c r="T12" s="54" t="s">
        <v>270</v>
      </c>
      <c r="U12" s="54" t="s">
        <v>272</v>
      </c>
      <c r="V12" s="54" t="s">
        <v>273</v>
      </c>
      <c r="W12" s="54" t="s">
        <v>274</v>
      </c>
      <c r="X12" s="54" t="s">
        <v>271</v>
      </c>
      <c r="Y12" s="54" t="s">
        <v>275</v>
      </c>
      <c r="Z12" s="54" t="s">
        <v>276</v>
      </c>
      <c r="AA12" s="54" t="s">
        <v>61</v>
      </c>
      <c r="AB12" s="54">
        <v>18</v>
      </c>
      <c r="AC12" s="54"/>
    </row>
    <row r="13" spans="1:29" s="53" customFormat="1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256</v>
      </c>
      <c r="F13" s="54">
        <v>1</v>
      </c>
      <c r="G13" s="54">
        <v>1700</v>
      </c>
      <c r="H13" s="54" t="s">
        <v>305</v>
      </c>
      <c r="I13" s="54" t="s">
        <v>309</v>
      </c>
      <c r="J13" s="54" t="s">
        <v>240</v>
      </c>
      <c r="K13" s="54" t="s">
        <v>246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268</v>
      </c>
      <c r="S13" s="54" t="s">
        <v>267</v>
      </c>
      <c r="T13" s="54" t="s">
        <v>271</v>
      </c>
      <c r="U13" s="54"/>
      <c r="V13" s="54"/>
      <c r="W13" s="54"/>
      <c r="X13" s="54"/>
      <c r="Y13" s="54"/>
      <c r="Z13" s="54"/>
      <c r="AA13" s="54" t="s">
        <v>230</v>
      </c>
      <c r="AB13" s="54" t="s">
        <v>247</v>
      </c>
      <c r="AC13" s="54"/>
    </row>
    <row r="14" spans="1:29" s="53" customFormat="1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254</v>
      </c>
      <c r="F14" s="54">
        <v>1</v>
      </c>
      <c r="G14" s="54" t="s">
        <v>232</v>
      </c>
      <c r="H14" s="54" t="s">
        <v>306</v>
      </c>
      <c r="I14" s="54" t="s">
        <v>182</v>
      </c>
      <c r="J14" s="54" t="s">
        <v>237</v>
      </c>
      <c r="K14" s="54" t="s">
        <v>226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267</v>
      </c>
      <c r="S14" s="54" t="s">
        <v>269</v>
      </c>
      <c r="T14" s="54" t="s">
        <v>270</v>
      </c>
      <c r="U14" s="54" t="s">
        <v>272</v>
      </c>
      <c r="V14" s="54" t="s">
        <v>273</v>
      </c>
      <c r="W14" s="54" t="s">
        <v>274</v>
      </c>
      <c r="X14" s="54" t="s">
        <v>271</v>
      </c>
      <c r="Y14" s="54" t="s">
        <v>275</v>
      </c>
      <c r="Z14" s="54" t="s">
        <v>276</v>
      </c>
      <c r="AA14" s="54" t="s">
        <v>151</v>
      </c>
      <c r="AB14" s="54" t="s">
        <v>234</v>
      </c>
      <c r="AC14" s="54"/>
    </row>
    <row r="15" spans="1:29" s="53" customFormat="1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254</v>
      </c>
      <c r="F15" s="54">
        <v>1</v>
      </c>
      <c r="G15" s="54">
        <v>1700</v>
      </c>
      <c r="H15" s="54" t="s">
        <v>306</v>
      </c>
      <c r="I15" s="54" t="s">
        <v>182</v>
      </c>
      <c r="J15" s="54" t="s">
        <v>238</v>
      </c>
      <c r="K15" s="54" t="s">
        <v>242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268</v>
      </c>
      <c r="S15" s="54" t="s">
        <v>267</v>
      </c>
      <c r="T15" s="54" t="s">
        <v>271</v>
      </c>
      <c r="U15" s="54"/>
      <c r="V15" s="54"/>
      <c r="W15" s="54"/>
      <c r="X15" s="54"/>
      <c r="Y15" s="54"/>
      <c r="Z15" s="54"/>
      <c r="AA15" s="54" t="s">
        <v>61</v>
      </c>
      <c r="AB15" s="54" t="s">
        <v>248</v>
      </c>
      <c r="AC15" s="54"/>
    </row>
    <row r="16" spans="1:29" s="53" customFormat="1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254</v>
      </c>
      <c r="F16" s="54">
        <v>1</v>
      </c>
      <c r="G16" s="54">
        <v>1700</v>
      </c>
      <c r="H16" s="54" t="s">
        <v>306</v>
      </c>
      <c r="I16" s="54" t="s">
        <v>182</v>
      </c>
      <c r="J16" s="54" t="s">
        <v>239</v>
      </c>
      <c r="K16" s="54" t="s">
        <v>226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267</v>
      </c>
      <c r="S16" s="54" t="s">
        <v>269</v>
      </c>
      <c r="T16" s="54" t="s">
        <v>270</v>
      </c>
      <c r="U16" s="54" t="s">
        <v>272</v>
      </c>
      <c r="V16" s="54" t="s">
        <v>273</v>
      </c>
      <c r="W16" s="54" t="s">
        <v>274</v>
      </c>
      <c r="X16" s="54" t="s">
        <v>271</v>
      </c>
      <c r="Y16" s="54" t="s">
        <v>275</v>
      </c>
      <c r="Z16" s="54" t="s">
        <v>276</v>
      </c>
      <c r="AA16" s="54" t="s">
        <v>61</v>
      </c>
      <c r="AB16" s="54">
        <v>14</v>
      </c>
      <c r="AC16" s="54"/>
    </row>
    <row r="17" spans="1:29" s="53" customFormat="1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254</v>
      </c>
      <c r="F17" s="54">
        <v>1</v>
      </c>
      <c r="G17" s="54">
        <v>1700</v>
      </c>
      <c r="H17" s="54" t="s">
        <v>306</v>
      </c>
      <c r="I17" s="54" t="s">
        <v>182</v>
      </c>
      <c r="J17" s="54" t="s">
        <v>240</v>
      </c>
      <c r="K17" s="54" t="s">
        <v>242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268</v>
      </c>
      <c r="S17" s="54" t="s">
        <v>267</v>
      </c>
      <c r="T17" s="54" t="s">
        <v>271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s="53" customFormat="1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254</v>
      </c>
      <c r="F18" s="54">
        <v>1</v>
      </c>
      <c r="G18" s="54">
        <v>1700</v>
      </c>
      <c r="H18" s="54" t="s">
        <v>306</v>
      </c>
      <c r="I18" s="54" t="s">
        <v>182</v>
      </c>
      <c r="J18" s="54" t="s">
        <v>241</v>
      </c>
      <c r="K18" s="54" t="s">
        <v>242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268</v>
      </c>
      <c r="S18" s="54" t="s">
        <v>267</v>
      </c>
      <c r="T18" s="54" t="s">
        <v>271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s="53" customFormat="1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297</v>
      </c>
      <c r="F19" s="54">
        <v>1</v>
      </c>
      <c r="G19" s="54" t="s">
        <v>296</v>
      </c>
      <c r="H19" s="54" t="s">
        <v>305</v>
      </c>
      <c r="I19" s="54" t="s">
        <v>182</v>
      </c>
      <c r="J19" s="54" t="s">
        <v>298</v>
      </c>
      <c r="K19" s="54" t="s">
        <v>242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268</v>
      </c>
      <c r="S19" s="56" t="s">
        <v>267</v>
      </c>
      <c r="T19" s="54" t="s">
        <v>271</v>
      </c>
      <c r="U19" s="54"/>
      <c r="V19" s="54"/>
      <c r="W19" s="54"/>
      <c r="X19" s="54"/>
      <c r="Y19" s="54"/>
      <c r="Z19" s="54"/>
      <c r="AA19" s="54" t="s">
        <v>233</v>
      </c>
      <c r="AB19" s="54">
        <v>30</v>
      </c>
      <c r="AC19" s="54"/>
    </row>
    <row r="20" spans="1:29" s="53" customFormat="1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299</v>
      </c>
      <c r="F20" s="54">
        <v>1</v>
      </c>
      <c r="G20" s="54" t="s">
        <v>296</v>
      </c>
      <c r="H20" s="54" t="s">
        <v>305</v>
      </c>
      <c r="I20" s="54" t="s">
        <v>308</v>
      </c>
      <c r="J20" s="54" t="s">
        <v>241</v>
      </c>
      <c r="K20" s="54" t="s">
        <v>242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268</v>
      </c>
      <c r="S20" s="56" t="s">
        <v>267</v>
      </c>
      <c r="T20" s="54" t="s">
        <v>271</v>
      </c>
      <c r="U20" s="54"/>
      <c r="V20" s="54"/>
      <c r="W20" s="54"/>
      <c r="X20" s="54"/>
      <c r="Y20" s="54"/>
      <c r="Z20" s="54"/>
      <c r="AA20" s="54" t="s">
        <v>233</v>
      </c>
      <c r="AB20" s="54">
        <v>23</v>
      </c>
      <c r="AC20" s="54"/>
    </row>
    <row r="21" spans="1:29" s="53" customFormat="1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299</v>
      </c>
      <c r="F21" s="54">
        <v>1</v>
      </c>
      <c r="G21" s="54" t="s">
        <v>296</v>
      </c>
      <c r="H21" s="54" t="s">
        <v>305</v>
      </c>
      <c r="I21" s="54" t="s">
        <v>307</v>
      </c>
      <c r="J21" s="54" t="s">
        <v>237</v>
      </c>
      <c r="K21" s="54" t="s">
        <v>242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268</v>
      </c>
      <c r="S21" s="56" t="s">
        <v>267</v>
      </c>
      <c r="T21" s="54" t="s">
        <v>271</v>
      </c>
      <c r="U21" s="54"/>
      <c r="V21" s="54"/>
      <c r="W21" s="54"/>
      <c r="X21" s="54"/>
      <c r="Y21" s="54"/>
      <c r="Z21" s="54"/>
      <c r="AA21" s="54" t="s">
        <v>233</v>
      </c>
      <c r="AB21" s="54">
        <v>31</v>
      </c>
      <c r="AC21" s="54"/>
    </row>
    <row r="22" spans="1:29" s="53" customFormat="1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297</v>
      </c>
      <c r="F22" s="54">
        <v>1</v>
      </c>
      <c r="G22" s="54" t="s">
        <v>296</v>
      </c>
      <c r="H22" s="54" t="s">
        <v>305</v>
      </c>
      <c r="I22" s="54" t="s">
        <v>182</v>
      </c>
      <c r="J22" s="54" t="s">
        <v>240</v>
      </c>
      <c r="K22" s="54" t="s">
        <v>242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268</v>
      </c>
      <c r="S22" s="56" t="s">
        <v>267</v>
      </c>
      <c r="T22" s="54" t="s">
        <v>271</v>
      </c>
      <c r="U22" s="54"/>
      <c r="V22" s="54"/>
      <c r="W22" s="54"/>
      <c r="X22" s="54"/>
      <c r="Y22" s="54"/>
      <c r="Z22" s="54"/>
      <c r="AA22" s="54" t="s">
        <v>233</v>
      </c>
      <c r="AB22" s="54">
        <v>33</v>
      </c>
      <c r="AC22" s="54"/>
    </row>
    <row r="23" spans="1:29" s="53" customFormat="1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297</v>
      </c>
      <c r="F23" s="54">
        <v>1</v>
      </c>
      <c r="G23" s="54" t="s">
        <v>296</v>
      </c>
      <c r="H23" s="54" t="s">
        <v>305</v>
      </c>
      <c r="I23" s="54" t="s">
        <v>182</v>
      </c>
      <c r="J23" s="54" t="s">
        <v>238</v>
      </c>
      <c r="K23" s="54" t="s">
        <v>242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268</v>
      </c>
      <c r="S23" s="56" t="s">
        <v>267</v>
      </c>
      <c r="T23" s="54" t="s">
        <v>271</v>
      </c>
      <c r="U23" s="54"/>
      <c r="V23" s="54"/>
      <c r="W23" s="54"/>
      <c r="X23" s="54"/>
      <c r="Y23" s="54"/>
      <c r="Z23" s="54"/>
      <c r="AA23" s="54" t="s">
        <v>233</v>
      </c>
      <c r="AB23" s="54">
        <v>17</v>
      </c>
      <c r="AC23" s="54"/>
    </row>
    <row r="24" spans="1:29" s="53" customFormat="1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299</v>
      </c>
      <c r="F24" s="54">
        <v>1</v>
      </c>
      <c r="G24" s="54" t="s">
        <v>296</v>
      </c>
      <c r="H24" s="54" t="s">
        <v>305</v>
      </c>
      <c r="I24" s="54" t="s">
        <v>308</v>
      </c>
      <c r="J24" s="54" t="s">
        <v>238</v>
      </c>
      <c r="K24" s="54" t="s">
        <v>242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268</v>
      </c>
      <c r="S24" s="56" t="s">
        <v>267</v>
      </c>
      <c r="T24" s="54" t="s">
        <v>271</v>
      </c>
      <c r="U24" s="54"/>
      <c r="V24" s="54"/>
      <c r="W24" s="54"/>
      <c r="X24" s="54"/>
      <c r="Y24" s="54"/>
      <c r="Z24" s="54"/>
      <c r="AA24" s="54" t="s">
        <v>233</v>
      </c>
      <c r="AB24" s="54">
        <v>7</v>
      </c>
      <c r="AC24" s="54"/>
    </row>
    <row r="25" spans="1:29" s="53" customFormat="1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299</v>
      </c>
      <c r="F25" s="54">
        <v>1</v>
      </c>
      <c r="G25" s="54" t="s">
        <v>296</v>
      </c>
      <c r="H25" s="54" t="s">
        <v>305</v>
      </c>
      <c r="I25" s="54" t="s">
        <v>307</v>
      </c>
      <c r="J25" s="54" t="s">
        <v>241</v>
      </c>
      <c r="K25" s="54" t="s">
        <v>242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268</v>
      </c>
      <c r="S25" s="56" t="s">
        <v>267</v>
      </c>
      <c r="T25" s="54" t="s">
        <v>271</v>
      </c>
      <c r="U25" s="54"/>
      <c r="V25" s="54"/>
      <c r="W25" s="54"/>
      <c r="X25" s="54"/>
      <c r="Y25" s="54"/>
      <c r="Z25" s="54"/>
      <c r="AA25" s="54" t="s">
        <v>233</v>
      </c>
      <c r="AB25" s="54">
        <v>13</v>
      </c>
      <c r="AC25" s="54"/>
    </row>
    <row r="26" spans="1:29" s="53" customFormat="1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299</v>
      </c>
      <c r="F26" s="54">
        <v>1</v>
      </c>
      <c r="G26" s="54" t="s">
        <v>296</v>
      </c>
      <c r="H26" s="54" t="s">
        <v>305</v>
      </c>
      <c r="I26" s="54" t="s">
        <v>307</v>
      </c>
      <c r="J26" s="54" t="s">
        <v>238</v>
      </c>
      <c r="K26" s="54" t="s">
        <v>242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268</v>
      </c>
      <c r="S26" s="56" t="s">
        <v>267</v>
      </c>
      <c r="T26" s="54" t="s">
        <v>271</v>
      </c>
      <c r="U26" s="54"/>
      <c r="V26" s="54"/>
      <c r="W26" s="54"/>
      <c r="X26" s="54"/>
      <c r="Y26" s="54"/>
      <c r="Z26" s="54"/>
      <c r="AA26" s="54" t="s">
        <v>233</v>
      </c>
      <c r="AB26" s="54">
        <v>32</v>
      </c>
      <c r="AC26" s="54"/>
    </row>
    <row r="27" spans="1:29" s="53" customFormat="1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299</v>
      </c>
      <c r="F27" s="54">
        <v>1</v>
      </c>
      <c r="G27" s="54" t="s">
        <v>296</v>
      </c>
      <c r="H27" s="54" t="s">
        <v>305</v>
      </c>
      <c r="I27" s="54" t="s">
        <v>308</v>
      </c>
      <c r="J27" s="54" t="s">
        <v>239</v>
      </c>
      <c r="K27" s="54" t="s">
        <v>242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268</v>
      </c>
      <c r="S27" s="56" t="s">
        <v>267</v>
      </c>
      <c r="T27" s="54" t="s">
        <v>271</v>
      </c>
      <c r="U27" s="54"/>
      <c r="V27" s="54"/>
      <c r="W27" s="54"/>
      <c r="X27" s="54"/>
      <c r="Y27" s="54"/>
      <c r="Z27" s="54"/>
      <c r="AA27" s="54" t="s">
        <v>233</v>
      </c>
      <c r="AB27" s="54">
        <v>4</v>
      </c>
      <c r="AC27" s="54"/>
    </row>
    <row r="28" spans="1:29" s="53" customFormat="1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299</v>
      </c>
      <c r="F28" s="54">
        <v>1</v>
      </c>
      <c r="G28" s="54" t="s">
        <v>296</v>
      </c>
      <c r="H28" s="54" t="s">
        <v>305</v>
      </c>
      <c r="I28" s="54" t="s">
        <v>307</v>
      </c>
      <c r="J28" s="54" t="s">
        <v>240</v>
      </c>
      <c r="K28" s="54" t="s">
        <v>242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268</v>
      </c>
      <c r="S28" s="56" t="s">
        <v>267</v>
      </c>
      <c r="T28" s="54" t="s">
        <v>271</v>
      </c>
      <c r="U28" s="54"/>
      <c r="V28" s="54"/>
      <c r="W28" s="54"/>
      <c r="X28" s="54"/>
      <c r="Y28" s="54"/>
      <c r="Z28" s="54"/>
      <c r="AA28" s="54" t="s">
        <v>233</v>
      </c>
      <c r="AB28" s="54">
        <v>5</v>
      </c>
      <c r="AC28" s="54"/>
    </row>
    <row r="29" spans="1:29" s="53" customFormat="1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299</v>
      </c>
      <c r="F29" s="54">
        <v>1</v>
      </c>
      <c r="G29" s="54" t="s">
        <v>296</v>
      </c>
      <c r="H29" s="54" t="s">
        <v>305</v>
      </c>
      <c r="I29" s="54" t="s">
        <v>307</v>
      </c>
      <c r="J29" s="54" t="s">
        <v>239</v>
      </c>
      <c r="K29" s="54" t="s">
        <v>242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268</v>
      </c>
      <c r="S29" s="56" t="s">
        <v>267</v>
      </c>
      <c r="T29" s="54" t="s">
        <v>271</v>
      </c>
      <c r="U29" s="54"/>
      <c r="V29" s="54"/>
      <c r="W29" s="54"/>
      <c r="X29" s="54"/>
      <c r="Y29" s="54"/>
      <c r="Z29" s="54"/>
      <c r="AA29" s="54" t="s">
        <v>233</v>
      </c>
      <c r="AB29" s="54">
        <v>21</v>
      </c>
      <c r="AC29" s="54"/>
    </row>
    <row r="30" spans="1:29" ht="15" customHeight="1" x14ac:dyDescent="0.25">
      <c r="A30" s="63">
        <v>2077</v>
      </c>
      <c r="B30" s="58">
        <v>1</v>
      </c>
      <c r="C30" s="58" t="s">
        <v>310</v>
      </c>
      <c r="D30" s="63">
        <v>6728</v>
      </c>
      <c r="E30" s="58" t="s">
        <v>314</v>
      </c>
      <c r="F30" s="58">
        <v>1</v>
      </c>
      <c r="G30" s="58" t="s">
        <v>232</v>
      </c>
      <c r="H30" s="58" t="s">
        <v>305</v>
      </c>
      <c r="I30" s="58" t="s">
        <v>77</v>
      </c>
      <c r="J30" s="58" t="s">
        <v>77</v>
      </c>
      <c r="K30" s="58" t="s">
        <v>226</v>
      </c>
      <c r="L30" s="65"/>
      <c r="M30" s="65"/>
      <c r="N30" s="59">
        <v>46090</v>
      </c>
      <c r="O30" s="59">
        <v>46090</v>
      </c>
      <c r="P30" s="58" t="s">
        <v>69</v>
      </c>
      <c r="Q30" s="58" t="s">
        <v>69</v>
      </c>
      <c r="R30" s="61" t="s">
        <v>267</v>
      </c>
      <c r="S30" s="61" t="s">
        <v>270</v>
      </c>
      <c r="T30" s="61" t="s">
        <v>275</v>
      </c>
      <c r="U30" s="61" t="s">
        <v>276</v>
      </c>
      <c r="V30" s="58"/>
      <c r="W30" s="58"/>
      <c r="X30" s="58"/>
      <c r="Y30" s="58"/>
      <c r="Z30" s="58"/>
      <c r="AA30" s="58" t="s">
        <v>311</v>
      </c>
      <c r="AB30" s="63">
        <v>6032</v>
      </c>
      <c r="AC30" s="58" t="s">
        <v>101</v>
      </c>
    </row>
    <row r="31" spans="1:29" ht="15" customHeight="1" x14ac:dyDescent="0.25">
      <c r="A31" s="63">
        <v>2077</v>
      </c>
      <c r="B31" s="58">
        <v>2</v>
      </c>
      <c r="C31" s="58" t="s">
        <v>310</v>
      </c>
      <c r="D31" s="63">
        <v>6727</v>
      </c>
      <c r="E31" s="58" t="s">
        <v>314</v>
      </c>
      <c r="F31" s="58">
        <v>1</v>
      </c>
      <c r="G31" s="58" t="s">
        <v>232</v>
      </c>
      <c r="H31" s="58" t="s">
        <v>306</v>
      </c>
      <c r="I31" s="58" t="s">
        <v>77</v>
      </c>
      <c r="J31" s="58" t="s">
        <v>77</v>
      </c>
      <c r="K31" s="58" t="s">
        <v>226</v>
      </c>
      <c r="L31" s="65"/>
      <c r="M31" s="65"/>
      <c r="N31" s="59">
        <v>46192</v>
      </c>
      <c r="O31" s="59">
        <v>46192</v>
      </c>
      <c r="P31" s="58" t="s">
        <v>69</v>
      </c>
      <c r="Q31" s="58" t="s">
        <v>69</v>
      </c>
      <c r="R31" s="61" t="s">
        <v>267</v>
      </c>
      <c r="S31" s="61" t="s">
        <v>269</v>
      </c>
      <c r="T31" s="61" t="s">
        <v>270</v>
      </c>
      <c r="U31" s="61" t="s">
        <v>272</v>
      </c>
      <c r="V31" s="61" t="s">
        <v>273</v>
      </c>
      <c r="W31" s="61" t="s">
        <v>274</v>
      </c>
      <c r="X31" s="61" t="s">
        <v>275</v>
      </c>
      <c r="Y31" s="61" t="s">
        <v>276</v>
      </c>
      <c r="Z31" s="58"/>
      <c r="AA31" s="58" t="s">
        <v>311</v>
      </c>
      <c r="AB31" s="63">
        <v>6040</v>
      </c>
      <c r="AC31" s="58" t="s">
        <v>101</v>
      </c>
    </row>
    <row r="32" spans="1:29" ht="15" customHeight="1" x14ac:dyDescent="0.25">
      <c r="A32" s="63">
        <v>1386</v>
      </c>
      <c r="B32" s="58">
        <v>5</v>
      </c>
      <c r="C32" s="58" t="s">
        <v>310</v>
      </c>
      <c r="D32" s="63">
        <v>6169</v>
      </c>
      <c r="E32" s="58" t="s">
        <v>314</v>
      </c>
      <c r="F32" s="58">
        <v>1</v>
      </c>
      <c r="G32" s="58" t="s">
        <v>232</v>
      </c>
      <c r="H32" s="58" t="s">
        <v>305</v>
      </c>
      <c r="I32" s="58" t="s">
        <v>77</v>
      </c>
      <c r="J32" s="58" t="s">
        <v>77</v>
      </c>
      <c r="K32" s="58" t="s">
        <v>226</v>
      </c>
      <c r="L32" s="65"/>
      <c r="M32" s="65"/>
      <c r="N32" s="58"/>
      <c r="O32" s="58"/>
      <c r="P32" s="58" t="s">
        <v>69</v>
      </c>
      <c r="Q32" s="58" t="s">
        <v>69</v>
      </c>
      <c r="R32" s="61" t="s">
        <v>267</v>
      </c>
      <c r="S32" s="61" t="s">
        <v>270</v>
      </c>
      <c r="T32" s="61" t="s">
        <v>275</v>
      </c>
      <c r="U32" s="61" t="s">
        <v>276</v>
      </c>
      <c r="V32" s="58"/>
      <c r="W32" s="58"/>
      <c r="X32" s="58"/>
      <c r="Y32" s="58"/>
      <c r="Z32" s="58"/>
      <c r="AA32" s="58" t="s">
        <v>312</v>
      </c>
      <c r="AB32" s="63">
        <v>6075</v>
      </c>
      <c r="AC32" s="58"/>
    </row>
    <row r="33" spans="1:29" ht="15" customHeight="1" x14ac:dyDescent="0.25">
      <c r="A33" s="63">
        <v>2078</v>
      </c>
      <c r="B33" s="60">
        <v>8</v>
      </c>
      <c r="C33" s="60" t="s">
        <v>313</v>
      </c>
      <c r="D33" s="63">
        <v>6741</v>
      </c>
      <c r="E33" s="58" t="s">
        <v>314</v>
      </c>
      <c r="F33" s="58">
        <v>1</v>
      </c>
      <c r="G33" s="65" t="s">
        <v>315</v>
      </c>
      <c r="H33" s="65" t="s">
        <v>305</v>
      </c>
      <c r="I33" s="58" t="s">
        <v>77</v>
      </c>
      <c r="J33" s="58" t="s">
        <v>77</v>
      </c>
      <c r="K33" s="58" t="s">
        <v>226</v>
      </c>
      <c r="L33" s="60"/>
      <c r="M33" s="60"/>
      <c r="N33" s="64">
        <v>46090</v>
      </c>
      <c r="O33" s="64">
        <v>46090</v>
      </c>
      <c r="P33" s="58" t="s">
        <v>69</v>
      </c>
      <c r="Q33" s="58" t="s">
        <v>69</v>
      </c>
      <c r="R33" s="61" t="s">
        <v>267</v>
      </c>
      <c r="S33" s="61" t="s">
        <v>270</v>
      </c>
      <c r="T33" s="61" t="s">
        <v>275</v>
      </c>
      <c r="U33" s="61" t="s">
        <v>276</v>
      </c>
      <c r="V33" s="65"/>
      <c r="W33" s="65"/>
      <c r="X33" s="65"/>
      <c r="Y33" s="65"/>
      <c r="Z33" s="65"/>
      <c r="AA33" s="60" t="s">
        <v>311</v>
      </c>
      <c r="AB33" s="63">
        <v>123</v>
      </c>
      <c r="AC33" s="58" t="s">
        <v>101</v>
      </c>
    </row>
    <row r="34" spans="1:29" ht="15" customHeight="1" x14ac:dyDescent="0.25">
      <c r="A34" s="63">
        <v>2078</v>
      </c>
      <c r="B34" s="60">
        <v>1</v>
      </c>
      <c r="C34" s="60" t="s">
        <v>313</v>
      </c>
      <c r="D34" s="63">
        <v>6734</v>
      </c>
      <c r="E34" s="58" t="s">
        <v>314</v>
      </c>
      <c r="F34" s="58">
        <v>1</v>
      </c>
      <c r="G34" s="65" t="s">
        <v>315</v>
      </c>
      <c r="H34" s="65" t="s">
        <v>305</v>
      </c>
      <c r="I34" s="58" t="s">
        <v>77</v>
      </c>
      <c r="J34" s="58" t="s">
        <v>77</v>
      </c>
      <c r="K34" s="58" t="s">
        <v>226</v>
      </c>
      <c r="L34" s="60"/>
      <c r="M34" s="60"/>
      <c r="N34" s="64">
        <v>46090</v>
      </c>
      <c r="O34" s="64">
        <v>46090</v>
      </c>
      <c r="P34" s="58" t="s">
        <v>69</v>
      </c>
      <c r="Q34" s="58" t="s">
        <v>69</v>
      </c>
      <c r="R34" s="61" t="s">
        <v>267</v>
      </c>
      <c r="S34" s="61" t="s">
        <v>270</v>
      </c>
      <c r="T34" s="61" t="s">
        <v>275</v>
      </c>
      <c r="U34" s="61" t="s">
        <v>276</v>
      </c>
      <c r="V34" s="65"/>
      <c r="W34" s="65"/>
      <c r="X34" s="65"/>
      <c r="Y34" s="65"/>
      <c r="Z34" s="65"/>
      <c r="AA34" s="60" t="s">
        <v>311</v>
      </c>
      <c r="AB34" s="63">
        <v>134</v>
      </c>
      <c r="AC34" s="58" t="s">
        <v>101</v>
      </c>
    </row>
    <row r="35" spans="1:29" ht="15" customHeight="1" x14ac:dyDescent="0.25">
      <c r="A35" s="63">
        <v>2078</v>
      </c>
      <c r="B35" s="60">
        <v>4</v>
      </c>
      <c r="C35" s="60" t="s">
        <v>313</v>
      </c>
      <c r="D35" s="63">
        <v>6737</v>
      </c>
      <c r="E35" s="58" t="s">
        <v>314</v>
      </c>
      <c r="F35" s="58">
        <v>1</v>
      </c>
      <c r="G35" s="65" t="s">
        <v>315</v>
      </c>
      <c r="H35" s="65" t="s">
        <v>305</v>
      </c>
      <c r="I35" s="58" t="s">
        <v>77</v>
      </c>
      <c r="J35" s="58" t="s">
        <v>77</v>
      </c>
      <c r="K35" s="58" t="s">
        <v>226</v>
      </c>
      <c r="L35" s="60"/>
      <c r="M35" s="60"/>
      <c r="N35" s="64">
        <v>46090</v>
      </c>
      <c r="O35" s="64">
        <v>46090</v>
      </c>
      <c r="P35" s="58" t="s">
        <v>69</v>
      </c>
      <c r="Q35" s="58" t="s">
        <v>69</v>
      </c>
      <c r="R35" s="61" t="s">
        <v>267</v>
      </c>
      <c r="S35" s="61" t="s">
        <v>270</v>
      </c>
      <c r="T35" s="61" t="s">
        <v>275</v>
      </c>
      <c r="U35" s="61" t="s">
        <v>276</v>
      </c>
      <c r="V35" s="65"/>
      <c r="W35" s="65"/>
      <c r="X35" s="65"/>
      <c r="Y35" s="65"/>
      <c r="Z35" s="65"/>
      <c r="AA35" s="60" t="s">
        <v>311</v>
      </c>
      <c r="AB35" s="63">
        <v>173</v>
      </c>
      <c r="AC35" s="58" t="s">
        <v>101</v>
      </c>
    </row>
    <row r="36" spans="1:29" ht="15" customHeight="1" x14ac:dyDescent="0.25">
      <c r="A36" s="63">
        <v>2078</v>
      </c>
      <c r="B36" s="60">
        <v>9</v>
      </c>
      <c r="C36" s="60" t="s">
        <v>313</v>
      </c>
      <c r="D36" s="63">
        <v>6742</v>
      </c>
      <c r="E36" s="58" t="s">
        <v>314</v>
      </c>
      <c r="F36" s="58">
        <v>1</v>
      </c>
      <c r="G36" s="65" t="s">
        <v>315</v>
      </c>
      <c r="H36" s="65" t="s">
        <v>306</v>
      </c>
      <c r="I36" s="58" t="s">
        <v>77</v>
      </c>
      <c r="J36" s="58" t="s">
        <v>77</v>
      </c>
      <c r="K36" s="58" t="s">
        <v>226</v>
      </c>
      <c r="L36" s="60"/>
      <c r="M36" s="60"/>
      <c r="N36" s="64">
        <v>46127</v>
      </c>
      <c r="O36" s="60"/>
      <c r="P36" s="58" t="s">
        <v>69</v>
      </c>
      <c r="Q36" s="58" t="s">
        <v>69</v>
      </c>
      <c r="R36" s="61" t="s">
        <v>267</v>
      </c>
      <c r="S36" s="61" t="s">
        <v>269</v>
      </c>
      <c r="T36" s="61" t="s">
        <v>270</v>
      </c>
      <c r="U36" s="61" t="s">
        <v>272</v>
      </c>
      <c r="V36" s="61" t="s">
        <v>273</v>
      </c>
      <c r="W36" s="61" t="s">
        <v>274</v>
      </c>
      <c r="X36" s="62" t="s">
        <v>275</v>
      </c>
      <c r="Y36" s="62" t="s">
        <v>276</v>
      </c>
      <c r="Z36" s="65"/>
      <c r="AA36" s="60" t="s">
        <v>312</v>
      </c>
      <c r="AB36" s="63">
        <v>181</v>
      </c>
      <c r="AC36" s="60"/>
    </row>
    <row r="37" spans="1:29" ht="15" customHeight="1" x14ac:dyDescent="0.25">
      <c r="A37" s="63">
        <v>2078</v>
      </c>
      <c r="B37" s="60">
        <v>10</v>
      </c>
      <c r="C37" s="60" t="s">
        <v>313</v>
      </c>
      <c r="D37" s="63">
        <v>6743</v>
      </c>
      <c r="E37" s="58" t="s">
        <v>314</v>
      </c>
      <c r="F37" s="58">
        <v>1</v>
      </c>
      <c r="G37" s="65" t="s">
        <v>315</v>
      </c>
      <c r="H37" s="65" t="s">
        <v>306</v>
      </c>
      <c r="I37" s="58" t="s">
        <v>77</v>
      </c>
      <c r="J37" s="58" t="s">
        <v>77</v>
      </c>
      <c r="K37" s="58" t="s">
        <v>226</v>
      </c>
      <c r="L37" s="60"/>
      <c r="M37" s="60"/>
      <c r="N37" s="64">
        <v>46185</v>
      </c>
      <c r="O37" s="64">
        <v>46090</v>
      </c>
      <c r="P37" s="58" t="s">
        <v>69</v>
      </c>
      <c r="Q37" s="58" t="s">
        <v>69</v>
      </c>
      <c r="R37" s="61" t="s">
        <v>267</v>
      </c>
      <c r="S37" s="61" t="s">
        <v>269</v>
      </c>
      <c r="T37" s="61" t="s">
        <v>270</v>
      </c>
      <c r="U37" s="61" t="s">
        <v>272</v>
      </c>
      <c r="V37" s="61" t="s">
        <v>273</v>
      </c>
      <c r="W37" s="61" t="s">
        <v>274</v>
      </c>
      <c r="X37" s="61" t="s">
        <v>275</v>
      </c>
      <c r="Y37" s="61" t="s">
        <v>276</v>
      </c>
      <c r="Z37" s="65"/>
      <c r="AA37" s="60" t="s">
        <v>311</v>
      </c>
      <c r="AB37" s="63">
        <v>187</v>
      </c>
      <c r="AC37" s="58" t="s">
        <v>101</v>
      </c>
    </row>
    <row r="38" spans="1:29" ht="15" customHeight="1" x14ac:dyDescent="0.25">
      <c r="A38" s="63">
        <v>2078</v>
      </c>
      <c r="B38" s="60">
        <v>3</v>
      </c>
      <c r="C38" s="60" t="s">
        <v>313</v>
      </c>
      <c r="D38" s="63">
        <v>6736</v>
      </c>
      <c r="E38" s="58" t="s">
        <v>314</v>
      </c>
      <c r="F38" s="58">
        <v>1</v>
      </c>
      <c r="G38" s="65" t="s">
        <v>315</v>
      </c>
      <c r="H38" s="65" t="s">
        <v>305</v>
      </c>
      <c r="I38" s="58" t="s">
        <v>77</v>
      </c>
      <c r="J38" s="58" t="s">
        <v>77</v>
      </c>
      <c r="K38" s="58" t="s">
        <v>226</v>
      </c>
      <c r="L38" s="60"/>
      <c r="M38" s="60"/>
      <c r="N38" s="64">
        <v>46090</v>
      </c>
      <c r="O38" s="64">
        <v>46090</v>
      </c>
      <c r="P38" s="58" t="s">
        <v>69</v>
      </c>
      <c r="Q38" s="58" t="s">
        <v>69</v>
      </c>
      <c r="R38" s="61" t="s">
        <v>267</v>
      </c>
      <c r="S38" s="61" t="s">
        <v>270</v>
      </c>
      <c r="T38" s="61" t="s">
        <v>275</v>
      </c>
      <c r="U38" s="61" t="s">
        <v>276</v>
      </c>
      <c r="V38" s="65"/>
      <c r="W38" s="65"/>
      <c r="X38" s="65"/>
      <c r="Y38" s="65"/>
      <c r="Z38" s="65"/>
      <c r="AA38" s="60" t="s">
        <v>311</v>
      </c>
      <c r="AB38" s="63">
        <v>199</v>
      </c>
      <c r="AC38" s="58" t="s">
        <v>101</v>
      </c>
    </row>
    <row r="39" spans="1:29" ht="15" customHeight="1" x14ac:dyDescent="0.25">
      <c r="A39" s="63">
        <v>2078</v>
      </c>
      <c r="B39" s="60">
        <v>2</v>
      </c>
      <c r="C39" s="60" t="s">
        <v>313</v>
      </c>
      <c r="D39" s="63">
        <v>6735</v>
      </c>
      <c r="E39" s="58" t="s">
        <v>314</v>
      </c>
      <c r="F39" s="58">
        <v>1</v>
      </c>
      <c r="G39" s="65" t="s">
        <v>315</v>
      </c>
      <c r="H39" s="65" t="s">
        <v>305</v>
      </c>
      <c r="I39" s="58" t="s">
        <v>77</v>
      </c>
      <c r="J39" s="58" t="s">
        <v>77</v>
      </c>
      <c r="K39" s="58" t="s">
        <v>226</v>
      </c>
      <c r="L39" s="60"/>
      <c r="M39" s="60"/>
      <c r="N39" s="64">
        <v>46090</v>
      </c>
      <c r="O39" s="64">
        <v>46090</v>
      </c>
      <c r="P39" s="58" t="s">
        <v>69</v>
      </c>
      <c r="Q39" s="58" t="s">
        <v>69</v>
      </c>
      <c r="R39" s="61" t="s">
        <v>267</v>
      </c>
      <c r="S39" s="61" t="s">
        <v>270</v>
      </c>
      <c r="T39" s="61" t="s">
        <v>275</v>
      </c>
      <c r="U39" s="61" t="s">
        <v>276</v>
      </c>
      <c r="V39" s="65"/>
      <c r="W39" s="65"/>
      <c r="X39" s="65"/>
      <c r="Y39" s="65"/>
      <c r="Z39" s="65"/>
      <c r="AA39" s="60" t="s">
        <v>311</v>
      </c>
      <c r="AB39" s="63">
        <v>200</v>
      </c>
      <c r="AC39" s="58" t="s">
        <v>101</v>
      </c>
    </row>
    <row r="40" spans="1:29" ht="15" customHeight="1" x14ac:dyDescent="0.25">
      <c r="A40" s="63">
        <v>2078</v>
      </c>
      <c r="B40" s="60">
        <v>7</v>
      </c>
      <c r="C40" s="60" t="s">
        <v>313</v>
      </c>
      <c r="D40" s="63">
        <v>6740</v>
      </c>
      <c r="E40" s="58" t="s">
        <v>314</v>
      </c>
      <c r="F40" s="58">
        <v>1</v>
      </c>
      <c r="G40" s="65" t="s">
        <v>315</v>
      </c>
      <c r="H40" s="65" t="s">
        <v>305</v>
      </c>
      <c r="I40" s="58" t="s">
        <v>77</v>
      </c>
      <c r="J40" s="58" t="s">
        <v>77</v>
      </c>
      <c r="K40" s="58" t="s">
        <v>226</v>
      </c>
      <c r="L40" s="60"/>
      <c r="M40" s="60"/>
      <c r="N40" s="64">
        <v>46090</v>
      </c>
      <c r="O40" s="64">
        <v>46090</v>
      </c>
      <c r="P40" s="58" t="s">
        <v>69</v>
      </c>
      <c r="Q40" s="58" t="s">
        <v>69</v>
      </c>
      <c r="R40" s="61" t="s">
        <v>267</v>
      </c>
      <c r="S40" s="61" t="s">
        <v>270</v>
      </c>
      <c r="T40" s="61" t="s">
        <v>275</v>
      </c>
      <c r="U40" s="61" t="s">
        <v>276</v>
      </c>
      <c r="V40" s="65"/>
      <c r="W40" s="65"/>
      <c r="X40" s="65"/>
      <c r="Y40" s="65"/>
      <c r="Z40" s="65"/>
      <c r="AA40" s="60" t="s">
        <v>311</v>
      </c>
      <c r="AB40" s="63">
        <v>201</v>
      </c>
      <c r="AC40" s="58" t="s">
        <v>101</v>
      </c>
    </row>
    <row r="41" spans="1:29" ht="15" customHeight="1" x14ac:dyDescent="0.25">
      <c r="A41" s="63">
        <v>2078</v>
      </c>
      <c r="B41" s="60">
        <v>5</v>
      </c>
      <c r="C41" s="60" t="s">
        <v>313</v>
      </c>
      <c r="D41" s="63">
        <v>6738</v>
      </c>
      <c r="E41" s="58" t="s">
        <v>314</v>
      </c>
      <c r="F41" s="58">
        <v>1</v>
      </c>
      <c r="G41" s="65" t="s">
        <v>315</v>
      </c>
      <c r="H41" s="65" t="s">
        <v>305</v>
      </c>
      <c r="I41" s="58" t="s">
        <v>77</v>
      </c>
      <c r="J41" s="58" t="s">
        <v>77</v>
      </c>
      <c r="K41" s="58" t="s">
        <v>226</v>
      </c>
      <c r="L41" s="60"/>
      <c r="M41" s="60"/>
      <c r="N41" s="64">
        <v>46090</v>
      </c>
      <c r="O41" s="64">
        <v>46090</v>
      </c>
      <c r="P41" s="58" t="s">
        <v>69</v>
      </c>
      <c r="Q41" s="58" t="s">
        <v>69</v>
      </c>
      <c r="R41" s="61" t="s">
        <v>267</v>
      </c>
      <c r="S41" s="61" t="s">
        <v>270</v>
      </c>
      <c r="T41" s="61" t="s">
        <v>275</v>
      </c>
      <c r="U41" s="61" t="s">
        <v>276</v>
      </c>
      <c r="V41" s="65"/>
      <c r="W41" s="65"/>
      <c r="X41" s="65"/>
      <c r="Y41" s="65"/>
      <c r="Z41" s="65"/>
      <c r="AA41" s="60" t="s">
        <v>311</v>
      </c>
      <c r="AB41" s="63" t="s">
        <v>316</v>
      </c>
      <c r="AC41" s="58" t="s">
        <v>101</v>
      </c>
    </row>
    <row r="42" spans="1:29" ht="15" customHeight="1" x14ac:dyDescent="0.25">
      <c r="A42" s="63">
        <v>2078</v>
      </c>
      <c r="B42" s="60">
        <v>11</v>
      </c>
      <c r="C42" s="60" t="s">
        <v>313</v>
      </c>
      <c r="D42" s="63">
        <v>6744</v>
      </c>
      <c r="E42" s="58" t="s">
        <v>314</v>
      </c>
      <c r="F42" s="58">
        <v>1</v>
      </c>
      <c r="G42" s="65" t="s">
        <v>315</v>
      </c>
      <c r="H42" s="65" t="s">
        <v>306</v>
      </c>
      <c r="I42" s="58" t="s">
        <v>77</v>
      </c>
      <c r="J42" s="58" t="s">
        <v>77</v>
      </c>
      <c r="K42" s="58" t="s">
        <v>226</v>
      </c>
      <c r="L42" s="60"/>
      <c r="M42" s="60"/>
      <c r="N42" s="64">
        <v>46127</v>
      </c>
      <c r="O42" s="64">
        <v>46090</v>
      </c>
      <c r="P42" s="58" t="s">
        <v>69</v>
      </c>
      <c r="Q42" s="58" t="s">
        <v>69</v>
      </c>
      <c r="R42" s="61" t="s">
        <v>267</v>
      </c>
      <c r="S42" s="61" t="s">
        <v>269</v>
      </c>
      <c r="T42" s="61" t="s">
        <v>270</v>
      </c>
      <c r="U42" s="61" t="s">
        <v>272</v>
      </c>
      <c r="V42" s="61" t="s">
        <v>273</v>
      </c>
      <c r="W42" s="61" t="s">
        <v>274</v>
      </c>
      <c r="X42" s="61" t="s">
        <v>275</v>
      </c>
      <c r="Y42" s="61" t="s">
        <v>276</v>
      </c>
      <c r="Z42" s="65"/>
      <c r="AA42" s="60" t="s">
        <v>311</v>
      </c>
      <c r="AB42" s="63" t="s">
        <v>317</v>
      </c>
      <c r="AC42" s="58" t="s">
        <v>101</v>
      </c>
    </row>
    <row r="43" spans="1:29" ht="15" customHeight="1" x14ac:dyDescent="0.25">
      <c r="A43" s="63">
        <v>2078</v>
      </c>
      <c r="B43" s="60">
        <v>6</v>
      </c>
      <c r="C43" s="60" t="s">
        <v>313</v>
      </c>
      <c r="D43" s="63">
        <v>6739</v>
      </c>
      <c r="E43" s="58" t="s">
        <v>314</v>
      </c>
      <c r="F43" s="58">
        <v>1</v>
      </c>
      <c r="G43" s="65" t="s">
        <v>315</v>
      </c>
      <c r="H43" s="65" t="s">
        <v>305</v>
      </c>
      <c r="I43" s="58" t="s">
        <v>77</v>
      </c>
      <c r="J43" s="58" t="s">
        <v>77</v>
      </c>
      <c r="K43" s="58" t="s">
        <v>226</v>
      </c>
      <c r="L43" s="60"/>
      <c r="M43" s="60"/>
      <c r="N43" s="64">
        <v>46090</v>
      </c>
      <c r="O43" s="64">
        <v>46090</v>
      </c>
      <c r="P43" s="58" t="s">
        <v>69</v>
      </c>
      <c r="Q43" s="58" t="s">
        <v>69</v>
      </c>
      <c r="R43" s="61" t="s">
        <v>267</v>
      </c>
      <c r="S43" s="61" t="s">
        <v>270</v>
      </c>
      <c r="T43" s="61" t="s">
        <v>275</v>
      </c>
      <c r="U43" s="61" t="s">
        <v>276</v>
      </c>
      <c r="V43" s="65"/>
      <c r="W43" s="65"/>
      <c r="X43" s="65"/>
      <c r="Y43" s="65"/>
      <c r="Z43" s="65"/>
      <c r="AA43" s="60" t="s">
        <v>311</v>
      </c>
      <c r="AB43" s="63" t="s">
        <v>318</v>
      </c>
      <c r="AC43" s="58" t="s">
        <v>101</v>
      </c>
    </row>
    <row r="44" spans="1:29" ht="15" customHeight="1" x14ac:dyDescent="0.25">
      <c r="A44" s="60">
        <v>2099</v>
      </c>
      <c r="B44" s="60">
        <v>1</v>
      </c>
      <c r="C44" s="60" t="s">
        <v>319</v>
      </c>
      <c r="D44" s="60">
        <v>6745</v>
      </c>
      <c r="E44" s="58" t="s">
        <v>314</v>
      </c>
      <c r="F44" s="60">
        <v>1</v>
      </c>
      <c r="G44" s="65" t="s">
        <v>315</v>
      </c>
      <c r="H44" s="65" t="s">
        <v>306</v>
      </c>
      <c r="I44" s="58" t="s">
        <v>77</v>
      </c>
      <c r="J44" s="58" t="s">
        <v>77</v>
      </c>
      <c r="K44" s="58" t="s">
        <v>226</v>
      </c>
      <c r="L44" s="60"/>
      <c r="M44" s="60"/>
      <c r="N44" s="64">
        <v>46127</v>
      </c>
      <c r="O44" s="60"/>
      <c r="P44" s="58" t="s">
        <v>69</v>
      </c>
      <c r="Q44" s="58" t="s">
        <v>69</v>
      </c>
      <c r="R44" s="61" t="s">
        <v>267</v>
      </c>
      <c r="S44" s="61" t="s">
        <v>269</v>
      </c>
      <c r="T44" s="61" t="s">
        <v>270</v>
      </c>
      <c r="U44" s="61" t="s">
        <v>272</v>
      </c>
      <c r="V44" s="61" t="s">
        <v>273</v>
      </c>
      <c r="W44" s="61" t="s">
        <v>274</v>
      </c>
      <c r="X44" s="62" t="s">
        <v>275</v>
      </c>
      <c r="Y44" s="62" t="s">
        <v>276</v>
      </c>
      <c r="Z44" s="65"/>
      <c r="AA44" s="60" t="s">
        <v>312</v>
      </c>
      <c r="AB44" s="60">
        <v>44</v>
      </c>
      <c r="AC44" s="60"/>
    </row>
    <row r="45" spans="1:29" ht="15" customHeight="1" x14ac:dyDescent="0.25">
      <c r="A45" s="60">
        <v>2097</v>
      </c>
      <c r="B45" s="60">
        <v>1</v>
      </c>
      <c r="C45" s="60" t="s">
        <v>320</v>
      </c>
      <c r="D45" s="60">
        <v>6788</v>
      </c>
      <c r="E45" s="58" t="s">
        <v>314</v>
      </c>
      <c r="F45" s="60">
        <v>1</v>
      </c>
      <c r="G45" s="65" t="s">
        <v>321</v>
      </c>
      <c r="H45" s="65" t="s">
        <v>306</v>
      </c>
      <c r="I45" s="58" t="s">
        <v>77</v>
      </c>
      <c r="J45" s="58" t="s">
        <v>77</v>
      </c>
      <c r="K45" s="58" t="s">
        <v>226</v>
      </c>
      <c r="L45" s="60"/>
      <c r="M45" s="60"/>
      <c r="N45" s="64">
        <v>46127</v>
      </c>
      <c r="O45" s="60"/>
      <c r="P45" s="60" t="s">
        <v>69</v>
      </c>
      <c r="Q45" s="65" t="s">
        <v>69</v>
      </c>
      <c r="R45" s="61" t="s">
        <v>267</v>
      </c>
      <c r="S45" s="61" t="s">
        <v>269</v>
      </c>
      <c r="T45" s="61" t="s">
        <v>270</v>
      </c>
      <c r="U45" s="61" t="s">
        <v>272</v>
      </c>
      <c r="V45" s="61" t="s">
        <v>273</v>
      </c>
      <c r="W45" s="61" t="s">
        <v>274</v>
      </c>
      <c r="X45" s="62" t="s">
        <v>275</v>
      </c>
      <c r="Y45" s="62" t="s">
        <v>276</v>
      </c>
      <c r="Z45" s="65"/>
      <c r="AA45" s="60" t="s">
        <v>312</v>
      </c>
      <c r="AB45" s="60" t="s">
        <v>322</v>
      </c>
      <c r="AC45" s="60"/>
    </row>
    <row r="46" spans="1:29" ht="15" customHeight="1" x14ac:dyDescent="0.25">
      <c r="A46" s="60">
        <v>2088</v>
      </c>
      <c r="B46" s="60">
        <v>3</v>
      </c>
      <c r="C46" s="60" t="s">
        <v>323</v>
      </c>
      <c r="D46" s="60">
        <v>6774</v>
      </c>
      <c r="E46" s="58" t="s">
        <v>314</v>
      </c>
      <c r="F46" s="60">
        <v>1</v>
      </c>
      <c r="G46" s="65" t="s">
        <v>232</v>
      </c>
      <c r="H46" s="65" t="s">
        <v>305</v>
      </c>
      <c r="I46" s="58" t="s">
        <v>77</v>
      </c>
      <c r="J46" s="58" t="s">
        <v>77</v>
      </c>
      <c r="K46" s="60" t="s">
        <v>226</v>
      </c>
      <c r="L46" s="60"/>
      <c r="M46" s="60"/>
      <c r="N46" s="66">
        <v>46132</v>
      </c>
      <c r="O46" s="60"/>
      <c r="P46" s="60" t="s">
        <v>69</v>
      </c>
      <c r="Q46" s="65" t="s">
        <v>69</v>
      </c>
      <c r="R46" s="61" t="s">
        <v>267</v>
      </c>
      <c r="S46" s="61" t="s">
        <v>269</v>
      </c>
      <c r="T46" s="61" t="s">
        <v>270</v>
      </c>
      <c r="U46" s="61" t="s">
        <v>272</v>
      </c>
      <c r="V46" s="61" t="s">
        <v>273</v>
      </c>
      <c r="W46" s="61" t="s">
        <v>274</v>
      </c>
      <c r="X46" s="62" t="s">
        <v>275</v>
      </c>
      <c r="Y46" s="62" t="s">
        <v>276</v>
      </c>
      <c r="Z46" s="65"/>
      <c r="AA46" s="60" t="s">
        <v>312</v>
      </c>
      <c r="AB46" s="60">
        <v>62</v>
      </c>
      <c r="AC46" s="60"/>
    </row>
    <row r="47" spans="1:29" ht="15" customHeight="1" x14ac:dyDescent="0.25">
      <c r="A47" s="60">
        <v>2088</v>
      </c>
      <c r="B47" s="60">
        <v>1</v>
      </c>
      <c r="C47" s="60" t="s">
        <v>323</v>
      </c>
      <c r="D47" s="60">
        <v>6772</v>
      </c>
      <c r="E47" s="58" t="s">
        <v>314</v>
      </c>
      <c r="F47" s="60">
        <v>1</v>
      </c>
      <c r="G47" s="65" t="s">
        <v>232</v>
      </c>
      <c r="H47" s="65" t="s">
        <v>305</v>
      </c>
      <c r="I47" s="58" t="s">
        <v>77</v>
      </c>
      <c r="J47" s="58" t="s">
        <v>77</v>
      </c>
      <c r="K47" s="60" t="s">
        <v>226</v>
      </c>
      <c r="L47" s="60"/>
      <c r="M47" s="60"/>
      <c r="N47" s="66">
        <v>46132</v>
      </c>
      <c r="O47" s="60"/>
      <c r="P47" s="60" t="s">
        <v>69</v>
      </c>
      <c r="Q47" s="65" t="s">
        <v>69</v>
      </c>
      <c r="R47" s="61" t="s">
        <v>267</v>
      </c>
      <c r="S47" s="61" t="s">
        <v>269</v>
      </c>
      <c r="T47" s="61" t="s">
        <v>270</v>
      </c>
      <c r="U47" s="61" t="s">
        <v>272</v>
      </c>
      <c r="V47" s="61" t="s">
        <v>273</v>
      </c>
      <c r="W47" s="61" t="s">
        <v>274</v>
      </c>
      <c r="X47" s="62" t="s">
        <v>275</v>
      </c>
      <c r="Y47" s="62" t="s">
        <v>276</v>
      </c>
      <c r="Z47" s="65"/>
      <c r="AA47" s="60" t="s">
        <v>312</v>
      </c>
      <c r="AB47" s="60" t="s">
        <v>324</v>
      </c>
      <c r="AC47" s="60"/>
    </row>
    <row r="48" spans="1:29" ht="15" customHeight="1" x14ac:dyDescent="0.25">
      <c r="A48" s="60">
        <v>2088</v>
      </c>
      <c r="B48" s="60">
        <v>2</v>
      </c>
      <c r="C48" s="60" t="s">
        <v>323</v>
      </c>
      <c r="D48" s="60">
        <v>6778</v>
      </c>
      <c r="E48" s="58" t="s">
        <v>314</v>
      </c>
      <c r="F48" s="60">
        <v>1</v>
      </c>
      <c r="G48" s="65">
        <v>2200</v>
      </c>
      <c r="H48" s="65" t="s">
        <v>305</v>
      </c>
      <c r="I48" s="58" t="s">
        <v>77</v>
      </c>
      <c r="J48" s="58" t="s">
        <v>77</v>
      </c>
      <c r="K48" s="60" t="s">
        <v>226</v>
      </c>
      <c r="L48" s="60"/>
      <c r="M48" s="60"/>
      <c r="N48" s="66">
        <v>46132</v>
      </c>
      <c r="O48" s="60"/>
      <c r="P48" s="60" t="s">
        <v>69</v>
      </c>
      <c r="Q48" s="65" t="s">
        <v>69</v>
      </c>
      <c r="R48" s="61" t="s">
        <v>267</v>
      </c>
      <c r="S48" s="61" t="s">
        <v>269</v>
      </c>
      <c r="T48" s="61" t="s">
        <v>270</v>
      </c>
      <c r="U48" s="61" t="s">
        <v>272</v>
      </c>
      <c r="V48" s="61" t="s">
        <v>273</v>
      </c>
      <c r="W48" s="61" t="s">
        <v>274</v>
      </c>
      <c r="X48" s="62" t="s">
        <v>275</v>
      </c>
      <c r="Y48" s="62" t="s">
        <v>276</v>
      </c>
      <c r="Z48" s="65"/>
      <c r="AA48" s="60" t="s">
        <v>312</v>
      </c>
      <c r="AB48" s="60" t="s">
        <v>325</v>
      </c>
      <c r="AC48" s="60"/>
    </row>
    <row r="49" spans="1:29" ht="15" customHeight="1" x14ac:dyDescent="0.25">
      <c r="A49" s="60">
        <v>974</v>
      </c>
      <c r="B49" s="60">
        <v>4</v>
      </c>
      <c r="C49" s="60" t="s">
        <v>323</v>
      </c>
      <c r="D49" s="60" t="s">
        <v>77</v>
      </c>
      <c r="E49" s="58" t="s">
        <v>314</v>
      </c>
      <c r="F49" s="60">
        <v>1</v>
      </c>
      <c r="G49" s="65" t="s">
        <v>232</v>
      </c>
      <c r="H49" s="65" t="s">
        <v>305</v>
      </c>
      <c r="I49" s="58" t="s">
        <v>77</v>
      </c>
      <c r="J49" s="58" t="s">
        <v>77</v>
      </c>
      <c r="K49" s="60" t="s">
        <v>242</v>
      </c>
      <c r="L49" s="60"/>
      <c r="M49" s="60"/>
      <c r="N49" s="66">
        <v>46063</v>
      </c>
      <c r="O49" s="60"/>
      <c r="P49" s="60" t="s">
        <v>69</v>
      </c>
      <c r="Q49" s="65" t="s">
        <v>69</v>
      </c>
      <c r="R49" s="65" t="s">
        <v>268</v>
      </c>
      <c r="S49" s="65" t="s">
        <v>267</v>
      </c>
      <c r="T49" s="65"/>
      <c r="U49" s="65"/>
      <c r="V49" s="65"/>
      <c r="W49" s="65"/>
      <c r="X49" s="65"/>
      <c r="Y49" s="65"/>
      <c r="Z49" s="65"/>
      <c r="AA49" s="60" t="s">
        <v>327</v>
      </c>
      <c r="AB49" s="60">
        <v>81</v>
      </c>
      <c r="AC49" s="60" t="s">
        <v>326</v>
      </c>
    </row>
    <row r="50" spans="1:29" ht="15" customHeight="1" x14ac:dyDescent="0.25">
      <c r="A50" s="60">
        <v>1006</v>
      </c>
      <c r="B50" s="60">
        <v>3</v>
      </c>
      <c r="C50" s="60" t="s">
        <v>328</v>
      </c>
      <c r="D50" s="60" t="s">
        <v>77</v>
      </c>
      <c r="E50" s="58" t="s">
        <v>314</v>
      </c>
      <c r="F50" s="60">
        <v>1</v>
      </c>
      <c r="G50" s="65" t="s">
        <v>329</v>
      </c>
      <c r="H50" s="65" t="s">
        <v>305</v>
      </c>
      <c r="I50" s="58" t="s">
        <v>77</v>
      </c>
      <c r="J50" s="58" t="s">
        <v>77</v>
      </c>
      <c r="K50" s="60" t="s">
        <v>242</v>
      </c>
      <c r="L50" s="60" t="s">
        <v>77</v>
      </c>
      <c r="M50" s="60" t="s">
        <v>77</v>
      </c>
      <c r="N50" s="66">
        <v>46191</v>
      </c>
      <c r="O50" s="60"/>
      <c r="P50" s="60" t="s">
        <v>69</v>
      </c>
      <c r="Q50" s="65" t="s">
        <v>69</v>
      </c>
      <c r="R50" s="70" t="s">
        <v>268</v>
      </c>
      <c r="S50" s="70" t="s">
        <v>267</v>
      </c>
      <c r="T50" s="65"/>
      <c r="U50" s="65"/>
      <c r="V50" s="65"/>
      <c r="W50" s="65"/>
      <c r="X50" s="65"/>
      <c r="Y50" s="65"/>
      <c r="Z50" s="65"/>
      <c r="AA50" s="60" t="s">
        <v>311</v>
      </c>
      <c r="AB50" s="60">
        <v>18</v>
      </c>
      <c r="AC50" s="60" t="s">
        <v>101</v>
      </c>
    </row>
    <row r="51" spans="1:29" ht="15" customHeight="1" x14ac:dyDescent="0.25">
      <c r="A51" s="60">
        <v>1006</v>
      </c>
      <c r="B51" s="60">
        <v>4</v>
      </c>
      <c r="C51" s="60" t="s">
        <v>328</v>
      </c>
      <c r="D51" s="60" t="s">
        <v>77</v>
      </c>
      <c r="E51" s="58" t="s">
        <v>314</v>
      </c>
      <c r="F51" s="60">
        <v>1</v>
      </c>
      <c r="G51" s="65" t="s">
        <v>330</v>
      </c>
      <c r="H51" s="65" t="s">
        <v>305</v>
      </c>
      <c r="I51" s="58" t="s">
        <v>77</v>
      </c>
      <c r="J51" s="58" t="s">
        <v>77</v>
      </c>
      <c r="K51" s="60" t="s">
        <v>242</v>
      </c>
      <c r="L51" s="60" t="s">
        <v>77</v>
      </c>
      <c r="M51" s="60" t="s">
        <v>77</v>
      </c>
      <c r="N51" s="66">
        <v>46191</v>
      </c>
      <c r="O51" s="60"/>
      <c r="P51" s="60" t="s">
        <v>69</v>
      </c>
      <c r="Q51" s="65" t="s">
        <v>69</v>
      </c>
      <c r="R51" s="70" t="s">
        <v>268</v>
      </c>
      <c r="S51" s="70" t="s">
        <v>267</v>
      </c>
      <c r="T51" s="65"/>
      <c r="U51" s="65"/>
      <c r="V51" s="65"/>
      <c r="W51" s="65"/>
      <c r="X51" s="65"/>
      <c r="Y51" s="65"/>
      <c r="Z51" s="65"/>
      <c r="AA51" s="60" t="s">
        <v>311</v>
      </c>
      <c r="AB51" s="60" t="s">
        <v>331</v>
      </c>
      <c r="AC51" s="60" t="s">
        <v>101</v>
      </c>
    </row>
    <row r="52" spans="1:29" ht="15" customHeight="1" x14ac:dyDescent="0.25">
      <c r="A52" s="60">
        <v>2098</v>
      </c>
      <c r="B52" s="60">
        <v>1</v>
      </c>
      <c r="C52" s="60" t="s">
        <v>332</v>
      </c>
      <c r="D52" s="60">
        <v>6746</v>
      </c>
      <c r="E52" s="58" t="s">
        <v>314</v>
      </c>
      <c r="F52" s="60">
        <v>1</v>
      </c>
      <c r="G52" s="65" t="s">
        <v>330</v>
      </c>
      <c r="H52" s="65" t="s">
        <v>306</v>
      </c>
      <c r="I52" s="58" t="s">
        <v>77</v>
      </c>
      <c r="J52" s="58" t="s">
        <v>77</v>
      </c>
      <c r="K52" s="60" t="s">
        <v>226</v>
      </c>
      <c r="L52" s="60"/>
      <c r="M52" s="60"/>
      <c r="N52" s="66">
        <v>46127</v>
      </c>
      <c r="O52" s="60"/>
      <c r="P52" s="60" t="s">
        <v>69</v>
      </c>
      <c r="Q52" s="65" t="s">
        <v>69</v>
      </c>
      <c r="R52" s="61" t="s">
        <v>267</v>
      </c>
      <c r="S52" s="61" t="s">
        <v>269</v>
      </c>
      <c r="T52" s="61" t="s">
        <v>270</v>
      </c>
      <c r="U52" s="61" t="s">
        <v>272</v>
      </c>
      <c r="V52" s="61" t="s">
        <v>273</v>
      </c>
      <c r="W52" s="61" t="s">
        <v>274</v>
      </c>
      <c r="X52" s="62" t="s">
        <v>275</v>
      </c>
      <c r="Y52" s="62" t="s">
        <v>276</v>
      </c>
      <c r="Z52" s="65"/>
      <c r="AA52" s="60" t="s">
        <v>312</v>
      </c>
      <c r="AB52" s="60">
        <v>22</v>
      </c>
      <c r="AC52" s="60"/>
    </row>
    <row r="53" spans="1:29" ht="15" customHeight="1" x14ac:dyDescent="0.25">
      <c r="A53" s="60">
        <v>2080</v>
      </c>
      <c r="B53" s="60">
        <v>2</v>
      </c>
      <c r="C53" s="60" t="s">
        <v>333</v>
      </c>
      <c r="D53" s="60">
        <v>6726</v>
      </c>
      <c r="E53" s="58" t="s">
        <v>314</v>
      </c>
      <c r="F53" s="60">
        <v>1</v>
      </c>
      <c r="G53" s="65" t="s">
        <v>330</v>
      </c>
      <c r="H53" s="65" t="s">
        <v>306</v>
      </c>
      <c r="I53" s="58" t="s">
        <v>77</v>
      </c>
      <c r="J53" s="58" t="s">
        <v>77</v>
      </c>
      <c r="K53" s="60" t="s">
        <v>226</v>
      </c>
      <c r="L53" s="60"/>
      <c r="M53" s="60"/>
      <c r="N53" s="66">
        <v>46195</v>
      </c>
      <c r="O53" s="60"/>
      <c r="P53" s="60" t="s">
        <v>69</v>
      </c>
      <c r="Q53" s="65" t="s">
        <v>69</v>
      </c>
      <c r="R53" s="61" t="s">
        <v>267</v>
      </c>
      <c r="S53" s="61" t="s">
        <v>269</v>
      </c>
      <c r="T53" s="61" t="s">
        <v>270</v>
      </c>
      <c r="U53" s="61" t="s">
        <v>272</v>
      </c>
      <c r="V53" s="61" t="s">
        <v>273</v>
      </c>
      <c r="W53" s="61" t="s">
        <v>274</v>
      </c>
      <c r="X53" s="61" t="s">
        <v>275</v>
      </c>
      <c r="Y53" s="61" t="s">
        <v>276</v>
      </c>
      <c r="Z53" s="65"/>
      <c r="AA53" s="60" t="s">
        <v>311</v>
      </c>
      <c r="AB53" s="60">
        <v>33</v>
      </c>
      <c r="AC53" s="60" t="s">
        <v>101</v>
      </c>
    </row>
    <row r="54" spans="1:29" ht="15" customHeight="1" x14ac:dyDescent="0.25">
      <c r="A54" s="60">
        <v>2080</v>
      </c>
      <c r="B54" s="60">
        <v>1</v>
      </c>
      <c r="C54" s="60" t="s">
        <v>333</v>
      </c>
      <c r="D54" s="60">
        <v>6725</v>
      </c>
      <c r="E54" s="58" t="s">
        <v>314</v>
      </c>
      <c r="F54" s="60">
        <v>1</v>
      </c>
      <c r="G54" s="65" t="s">
        <v>330</v>
      </c>
      <c r="H54" s="65" t="s">
        <v>306</v>
      </c>
      <c r="I54" s="58" t="s">
        <v>77</v>
      </c>
      <c r="J54" s="58" t="s">
        <v>77</v>
      </c>
      <c r="K54" s="60" t="s">
        <v>226</v>
      </c>
      <c r="L54" s="60"/>
      <c r="M54" s="60"/>
      <c r="N54" s="66">
        <v>46101</v>
      </c>
      <c r="O54" s="60"/>
      <c r="P54" s="60" t="s">
        <v>69</v>
      </c>
      <c r="Q54" s="65" t="s">
        <v>69</v>
      </c>
      <c r="R54" s="61" t="s">
        <v>267</v>
      </c>
      <c r="S54" s="61" t="s">
        <v>269</v>
      </c>
      <c r="T54" s="61" t="s">
        <v>270</v>
      </c>
      <c r="U54" s="61" t="s">
        <v>272</v>
      </c>
      <c r="V54" s="61" t="s">
        <v>273</v>
      </c>
      <c r="W54" s="61" t="s">
        <v>274</v>
      </c>
      <c r="X54" s="61" t="s">
        <v>275</v>
      </c>
      <c r="Y54" s="61" t="s">
        <v>276</v>
      </c>
      <c r="Z54" s="65"/>
      <c r="AA54" s="60" t="s">
        <v>311</v>
      </c>
      <c r="AB54" s="60">
        <v>44</v>
      </c>
      <c r="AC54" s="60" t="s">
        <v>101</v>
      </c>
    </row>
    <row r="55" spans="1:29" ht="15" customHeight="1" x14ac:dyDescent="0.25">
      <c r="A55" s="63" t="s">
        <v>340</v>
      </c>
      <c r="B55" s="58">
        <v>3</v>
      </c>
      <c r="C55" s="58" t="s">
        <v>334</v>
      </c>
      <c r="D55" s="63">
        <v>6751</v>
      </c>
      <c r="E55" s="58" t="s">
        <v>314</v>
      </c>
      <c r="F55" s="58">
        <v>1</v>
      </c>
      <c r="G55" s="65" t="s">
        <v>330</v>
      </c>
      <c r="H55" s="65" t="s">
        <v>306</v>
      </c>
      <c r="I55" s="58" t="s">
        <v>77</v>
      </c>
      <c r="J55" s="58" t="s">
        <v>77</v>
      </c>
      <c r="K55" s="60" t="s">
        <v>226</v>
      </c>
      <c r="L55" s="60"/>
      <c r="M55" s="60"/>
      <c r="N55" s="64">
        <v>46127</v>
      </c>
      <c r="O55" s="60"/>
      <c r="P55" s="60" t="s">
        <v>69</v>
      </c>
      <c r="Q55" s="65" t="s">
        <v>69</v>
      </c>
      <c r="R55" s="58" t="s">
        <v>267</v>
      </c>
      <c r="S55" s="58" t="s">
        <v>269</v>
      </c>
      <c r="T55" s="58" t="s">
        <v>270</v>
      </c>
      <c r="U55" s="58" t="s">
        <v>272</v>
      </c>
      <c r="V55" s="58" t="s">
        <v>273</v>
      </c>
      <c r="W55" s="58" t="s">
        <v>274</v>
      </c>
      <c r="X55" s="58" t="s">
        <v>275</v>
      </c>
      <c r="Y55" s="58" t="s">
        <v>276</v>
      </c>
      <c r="Z55" s="60"/>
      <c r="AA55" s="60"/>
      <c r="AB55" s="57">
        <v>78</v>
      </c>
      <c r="AC55" s="60"/>
    </row>
    <row r="56" spans="1:29" ht="15" customHeight="1" x14ac:dyDescent="0.25">
      <c r="A56" s="63" t="s">
        <v>341</v>
      </c>
      <c r="B56" s="58">
        <v>1</v>
      </c>
      <c r="C56" s="58" t="s">
        <v>334</v>
      </c>
      <c r="D56" s="63">
        <v>6749</v>
      </c>
      <c r="E56" s="58" t="s">
        <v>314</v>
      </c>
      <c r="F56" s="58">
        <v>1</v>
      </c>
      <c r="G56" s="65" t="s">
        <v>330</v>
      </c>
      <c r="H56" s="65" t="s">
        <v>306</v>
      </c>
      <c r="I56" s="58" t="s">
        <v>77</v>
      </c>
      <c r="J56" s="58" t="s">
        <v>77</v>
      </c>
      <c r="K56" s="60" t="s">
        <v>226</v>
      </c>
      <c r="L56" s="60"/>
      <c r="M56" s="60"/>
      <c r="N56" s="64">
        <v>46127</v>
      </c>
      <c r="O56" s="60"/>
      <c r="P56" s="60" t="s">
        <v>69</v>
      </c>
      <c r="Q56" s="65" t="s">
        <v>69</v>
      </c>
      <c r="R56" s="58" t="s">
        <v>267</v>
      </c>
      <c r="S56" s="58" t="s">
        <v>269</v>
      </c>
      <c r="T56" s="58" t="s">
        <v>270</v>
      </c>
      <c r="U56" s="58" t="s">
        <v>272</v>
      </c>
      <c r="V56" s="58" t="s">
        <v>273</v>
      </c>
      <c r="W56" s="58" t="s">
        <v>274</v>
      </c>
      <c r="X56" s="58" t="s">
        <v>275</v>
      </c>
      <c r="Y56" s="58" t="s">
        <v>276</v>
      </c>
      <c r="Z56" s="60"/>
      <c r="AA56" s="60"/>
      <c r="AB56" s="57">
        <v>82</v>
      </c>
      <c r="AC56" s="60"/>
    </row>
    <row r="57" spans="1:29" ht="15" customHeight="1" x14ac:dyDescent="0.25">
      <c r="A57" s="63" t="s">
        <v>342</v>
      </c>
      <c r="B57" s="58">
        <v>2</v>
      </c>
      <c r="C57" s="58" t="s">
        <v>334</v>
      </c>
      <c r="D57" s="63">
        <v>6750</v>
      </c>
      <c r="E57" s="58" t="s">
        <v>314</v>
      </c>
      <c r="F57" s="58">
        <v>1</v>
      </c>
      <c r="G57" s="72" t="s">
        <v>330</v>
      </c>
      <c r="H57" s="58" t="s">
        <v>306</v>
      </c>
      <c r="I57" s="58" t="s">
        <v>77</v>
      </c>
      <c r="J57" s="58" t="s">
        <v>77</v>
      </c>
      <c r="K57" s="60" t="s">
        <v>226</v>
      </c>
      <c r="L57" s="60"/>
      <c r="M57" s="60"/>
      <c r="N57" s="64">
        <v>46127</v>
      </c>
      <c r="O57" s="60"/>
      <c r="P57" s="60" t="s">
        <v>69</v>
      </c>
      <c r="Q57" s="65" t="s">
        <v>69</v>
      </c>
      <c r="R57" s="58" t="s">
        <v>267</v>
      </c>
      <c r="S57" s="58" t="s">
        <v>269</v>
      </c>
      <c r="T57" s="58" t="s">
        <v>270</v>
      </c>
      <c r="U57" s="58" t="s">
        <v>272</v>
      </c>
      <c r="V57" s="58" t="s">
        <v>273</v>
      </c>
      <c r="W57" s="58" t="s">
        <v>274</v>
      </c>
      <c r="X57" s="58" t="s">
        <v>275</v>
      </c>
      <c r="Y57" s="58" t="s">
        <v>276</v>
      </c>
      <c r="Z57" s="60"/>
      <c r="AA57" s="60"/>
      <c r="AB57" s="57">
        <v>85</v>
      </c>
      <c r="AC57" s="60"/>
    </row>
    <row r="58" spans="1:29" ht="15" customHeight="1" x14ac:dyDescent="0.25">
      <c r="A58" s="63" t="s">
        <v>343</v>
      </c>
      <c r="B58" s="58">
        <v>31</v>
      </c>
      <c r="C58" s="58" t="s">
        <v>334</v>
      </c>
      <c r="D58" s="63" t="s">
        <v>77</v>
      </c>
      <c r="E58" s="58" t="s">
        <v>314</v>
      </c>
      <c r="F58" s="58">
        <v>1</v>
      </c>
      <c r="G58" s="72" t="s">
        <v>330</v>
      </c>
      <c r="H58" s="63" t="s">
        <v>305</v>
      </c>
      <c r="I58" s="58" t="s">
        <v>77</v>
      </c>
      <c r="J58" s="58" t="s">
        <v>77</v>
      </c>
      <c r="K58" s="60" t="s">
        <v>242</v>
      </c>
      <c r="L58" s="60"/>
      <c r="M58" s="60"/>
      <c r="N58" s="64">
        <v>46101</v>
      </c>
      <c r="O58" s="60"/>
      <c r="P58" s="60" t="s">
        <v>69</v>
      </c>
      <c r="Q58" s="65" t="s">
        <v>69</v>
      </c>
      <c r="R58" s="60" t="s">
        <v>267</v>
      </c>
      <c r="S58" s="60" t="s">
        <v>270</v>
      </c>
      <c r="T58" s="60" t="s">
        <v>275</v>
      </c>
      <c r="U58" s="60" t="s">
        <v>276</v>
      </c>
      <c r="V58" s="60"/>
      <c r="W58" s="60"/>
      <c r="X58" s="60"/>
      <c r="Y58" s="60"/>
      <c r="Z58" s="60"/>
      <c r="AA58" s="60"/>
      <c r="AB58" s="57">
        <v>86</v>
      </c>
      <c r="AC58" s="60"/>
    </row>
    <row r="59" spans="1:29" ht="15" customHeight="1" x14ac:dyDescent="0.25">
      <c r="A59" s="63" t="s">
        <v>344</v>
      </c>
      <c r="B59" s="58">
        <v>2</v>
      </c>
      <c r="C59" s="58" t="s">
        <v>335</v>
      </c>
      <c r="D59" s="63">
        <v>6731</v>
      </c>
      <c r="E59" s="58" t="s">
        <v>314</v>
      </c>
      <c r="F59" s="58">
        <v>1</v>
      </c>
      <c r="G59" s="71">
        <v>2000</v>
      </c>
      <c r="H59" s="58" t="s">
        <v>306</v>
      </c>
      <c r="I59" s="58" t="s">
        <v>77</v>
      </c>
      <c r="J59" s="58" t="s">
        <v>77</v>
      </c>
      <c r="K59" s="60" t="s">
        <v>226</v>
      </c>
      <c r="L59" s="60"/>
      <c r="M59" s="60"/>
      <c r="N59" s="64">
        <v>46101</v>
      </c>
      <c r="O59" s="60"/>
      <c r="P59" s="60" t="s">
        <v>69</v>
      </c>
      <c r="Q59" s="65" t="s">
        <v>69</v>
      </c>
      <c r="R59" s="58" t="s">
        <v>267</v>
      </c>
      <c r="S59" s="58" t="s">
        <v>269</v>
      </c>
      <c r="T59" s="58" t="s">
        <v>270</v>
      </c>
      <c r="U59" s="58" t="s">
        <v>272</v>
      </c>
      <c r="V59" s="58" t="s">
        <v>273</v>
      </c>
      <c r="W59" s="58" t="s">
        <v>274</v>
      </c>
      <c r="X59" s="58" t="s">
        <v>275</v>
      </c>
      <c r="Y59" s="58" t="s">
        <v>276</v>
      </c>
      <c r="Z59" s="60"/>
      <c r="AA59" s="60"/>
      <c r="AB59" s="57">
        <v>38</v>
      </c>
      <c r="AC59" s="60"/>
    </row>
    <row r="60" spans="1:29" ht="15" customHeight="1" x14ac:dyDescent="0.25">
      <c r="A60" s="63" t="s">
        <v>345</v>
      </c>
      <c r="B60" s="58">
        <v>1</v>
      </c>
      <c r="C60" s="58" t="s">
        <v>335</v>
      </c>
      <c r="D60" s="63">
        <v>6732</v>
      </c>
      <c r="E60" s="58" t="s">
        <v>314</v>
      </c>
      <c r="F60" s="58">
        <v>1</v>
      </c>
      <c r="G60" s="71">
        <v>2000</v>
      </c>
      <c r="H60" s="63" t="s">
        <v>305</v>
      </c>
      <c r="I60" s="58" t="s">
        <v>77</v>
      </c>
      <c r="J60" s="58" t="s">
        <v>77</v>
      </c>
      <c r="K60" s="60" t="s">
        <v>226</v>
      </c>
      <c r="L60" s="60"/>
      <c r="M60" s="60"/>
      <c r="N60" s="64">
        <v>46101</v>
      </c>
      <c r="O60" s="60"/>
      <c r="P60" s="60" t="s">
        <v>69</v>
      </c>
      <c r="Q60" s="65" t="s">
        <v>69</v>
      </c>
      <c r="R60" s="60" t="s">
        <v>267</v>
      </c>
      <c r="S60" s="60" t="s">
        <v>270</v>
      </c>
      <c r="T60" s="60" t="s">
        <v>275</v>
      </c>
      <c r="U60" s="60" t="s">
        <v>276</v>
      </c>
      <c r="V60" s="60"/>
      <c r="W60" s="60"/>
      <c r="X60" s="60"/>
      <c r="Y60" s="60"/>
      <c r="Z60" s="60"/>
      <c r="AA60" s="60"/>
      <c r="AB60" s="57">
        <v>62</v>
      </c>
      <c r="AC60" s="60"/>
    </row>
    <row r="61" spans="1:29" ht="15" customHeight="1" x14ac:dyDescent="0.25">
      <c r="A61" s="63" t="s">
        <v>346</v>
      </c>
      <c r="B61" s="58">
        <v>3</v>
      </c>
      <c r="C61" s="58" t="s">
        <v>336</v>
      </c>
      <c r="D61" s="63">
        <v>6775</v>
      </c>
      <c r="E61" s="58" t="s">
        <v>314</v>
      </c>
      <c r="F61" s="58">
        <v>1</v>
      </c>
      <c r="G61" s="72" t="s">
        <v>315</v>
      </c>
      <c r="H61" s="58" t="s">
        <v>306</v>
      </c>
      <c r="I61" s="58" t="s">
        <v>77</v>
      </c>
      <c r="J61" s="58" t="s">
        <v>77</v>
      </c>
      <c r="K61" s="60" t="s">
        <v>226</v>
      </c>
      <c r="L61" s="60"/>
      <c r="M61" s="60"/>
      <c r="N61" s="64">
        <v>46101</v>
      </c>
      <c r="O61" s="60"/>
      <c r="P61" s="60" t="s">
        <v>69</v>
      </c>
      <c r="Q61" s="65" t="s">
        <v>69</v>
      </c>
      <c r="R61" s="58" t="s">
        <v>267</v>
      </c>
      <c r="S61" s="58" t="s">
        <v>269</v>
      </c>
      <c r="T61" s="58" t="s">
        <v>270</v>
      </c>
      <c r="U61" s="58" t="s">
        <v>272</v>
      </c>
      <c r="V61" s="58" t="s">
        <v>273</v>
      </c>
      <c r="W61" s="58" t="s">
        <v>274</v>
      </c>
      <c r="X61" s="58" t="s">
        <v>275</v>
      </c>
      <c r="Y61" s="58" t="s">
        <v>276</v>
      </c>
      <c r="Z61" s="60"/>
      <c r="AA61" s="60"/>
      <c r="AB61" s="57">
        <v>114</v>
      </c>
      <c r="AC61" s="60"/>
    </row>
    <row r="62" spans="1:29" ht="15" customHeight="1" x14ac:dyDescent="0.25">
      <c r="A62" s="63" t="s">
        <v>347</v>
      </c>
      <c r="B62" s="58">
        <v>1</v>
      </c>
      <c r="C62" s="58" t="s">
        <v>336</v>
      </c>
      <c r="D62" s="63">
        <v>6767</v>
      </c>
      <c r="E62" s="58" t="s">
        <v>314</v>
      </c>
      <c r="F62" s="58">
        <v>1</v>
      </c>
      <c r="G62" s="72" t="s">
        <v>315</v>
      </c>
      <c r="H62" s="63" t="s">
        <v>309</v>
      </c>
      <c r="I62" s="58" t="s">
        <v>77</v>
      </c>
      <c r="J62" s="58" t="s">
        <v>77</v>
      </c>
      <c r="K62" s="60" t="s">
        <v>226</v>
      </c>
      <c r="L62" s="60"/>
      <c r="M62" s="60"/>
      <c r="N62" s="64">
        <v>46101</v>
      </c>
      <c r="O62" s="60"/>
      <c r="P62" s="60" t="s">
        <v>69</v>
      </c>
      <c r="Q62" s="65" t="s">
        <v>69</v>
      </c>
      <c r="R62" s="60" t="s">
        <v>267</v>
      </c>
      <c r="S62" s="60" t="s">
        <v>270</v>
      </c>
      <c r="T62" s="60" t="s">
        <v>275</v>
      </c>
      <c r="U62" s="60" t="s">
        <v>276</v>
      </c>
      <c r="V62" s="60"/>
      <c r="W62" s="60"/>
      <c r="X62" s="60"/>
      <c r="Y62" s="60"/>
      <c r="Z62" s="60"/>
      <c r="AA62" s="60"/>
      <c r="AB62" s="57" t="s">
        <v>366</v>
      </c>
      <c r="AC62" s="60"/>
    </row>
    <row r="63" spans="1:29" ht="15" customHeight="1" x14ac:dyDescent="0.25">
      <c r="A63" s="63" t="s">
        <v>348</v>
      </c>
      <c r="B63" s="58">
        <v>2</v>
      </c>
      <c r="C63" s="58" t="s">
        <v>336</v>
      </c>
      <c r="D63" s="63">
        <v>6768</v>
      </c>
      <c r="E63" s="58" t="s">
        <v>314</v>
      </c>
      <c r="F63" s="58">
        <v>1</v>
      </c>
      <c r="G63" s="72" t="s">
        <v>315</v>
      </c>
      <c r="H63" s="58" t="s">
        <v>306</v>
      </c>
      <c r="I63" s="58" t="s">
        <v>77</v>
      </c>
      <c r="J63" s="58" t="s">
        <v>77</v>
      </c>
      <c r="K63" s="60" t="s">
        <v>226</v>
      </c>
      <c r="L63" s="60"/>
      <c r="M63" s="60"/>
      <c r="N63" s="64">
        <v>46101</v>
      </c>
      <c r="O63" s="60"/>
      <c r="P63" s="60" t="s">
        <v>69</v>
      </c>
      <c r="Q63" s="65" t="s">
        <v>69</v>
      </c>
      <c r="R63" s="58" t="s">
        <v>267</v>
      </c>
      <c r="S63" s="58" t="s">
        <v>269</v>
      </c>
      <c r="T63" s="58" t="s">
        <v>270</v>
      </c>
      <c r="U63" s="58" t="s">
        <v>272</v>
      </c>
      <c r="V63" s="58" t="s">
        <v>273</v>
      </c>
      <c r="W63" s="58" t="s">
        <v>274</v>
      </c>
      <c r="X63" s="58" t="s">
        <v>275</v>
      </c>
      <c r="Y63" s="58" t="s">
        <v>276</v>
      </c>
      <c r="Z63" s="60"/>
      <c r="AA63" s="60"/>
      <c r="AB63" s="57" t="s">
        <v>367</v>
      </c>
      <c r="AC63" s="60"/>
    </row>
    <row r="64" spans="1:29" ht="15" customHeight="1" x14ac:dyDescent="0.25">
      <c r="A64" s="63" t="s">
        <v>349</v>
      </c>
      <c r="B64" s="58">
        <v>2</v>
      </c>
      <c r="C64" s="58" t="s">
        <v>337</v>
      </c>
      <c r="D64" s="63">
        <v>6763</v>
      </c>
      <c r="E64" s="58" t="s">
        <v>314</v>
      </c>
      <c r="F64" s="58">
        <v>1</v>
      </c>
      <c r="G64" s="72" t="s">
        <v>330</v>
      </c>
      <c r="H64" s="58" t="s">
        <v>306</v>
      </c>
      <c r="I64" s="58" t="s">
        <v>77</v>
      </c>
      <c r="J64" s="58" t="s">
        <v>77</v>
      </c>
      <c r="K64" s="60" t="s">
        <v>226</v>
      </c>
      <c r="L64" s="60"/>
      <c r="M64" s="60"/>
      <c r="N64" s="64">
        <v>46101</v>
      </c>
      <c r="O64" s="60"/>
      <c r="P64" s="60" t="s">
        <v>69</v>
      </c>
      <c r="Q64" s="65" t="s">
        <v>69</v>
      </c>
      <c r="R64" s="58" t="s">
        <v>267</v>
      </c>
      <c r="S64" s="58" t="s">
        <v>269</v>
      </c>
      <c r="T64" s="58" t="s">
        <v>270</v>
      </c>
      <c r="U64" s="58" t="s">
        <v>272</v>
      </c>
      <c r="V64" s="58" t="s">
        <v>273</v>
      </c>
      <c r="W64" s="58" t="s">
        <v>274</v>
      </c>
      <c r="X64" s="58" t="s">
        <v>275</v>
      </c>
      <c r="Y64" s="58" t="s">
        <v>276</v>
      </c>
      <c r="Z64" s="60"/>
      <c r="AA64" s="60"/>
      <c r="AB64" s="57" t="s">
        <v>368</v>
      </c>
      <c r="AC64" s="60"/>
    </row>
    <row r="65" spans="1:29" ht="15" customHeight="1" x14ac:dyDescent="0.25">
      <c r="A65" s="63" t="s">
        <v>350</v>
      </c>
      <c r="B65" s="58">
        <v>1</v>
      </c>
      <c r="C65" s="58" t="s">
        <v>337</v>
      </c>
      <c r="D65" s="63">
        <v>6729</v>
      </c>
      <c r="E65" s="58" t="s">
        <v>314</v>
      </c>
      <c r="F65" s="58">
        <v>1</v>
      </c>
      <c r="G65" s="72" t="s">
        <v>364</v>
      </c>
      <c r="H65" s="63" t="s">
        <v>309</v>
      </c>
      <c r="I65" s="58" t="s">
        <v>77</v>
      </c>
      <c r="J65" s="58" t="s">
        <v>77</v>
      </c>
      <c r="K65" s="60" t="s">
        <v>226</v>
      </c>
      <c r="L65" s="60"/>
      <c r="M65" s="60"/>
      <c r="N65" s="64">
        <v>46101</v>
      </c>
      <c r="O65" s="60"/>
      <c r="P65" s="60" t="s">
        <v>69</v>
      </c>
      <c r="Q65" s="65" t="s">
        <v>69</v>
      </c>
      <c r="R65" s="60" t="s">
        <v>267</v>
      </c>
      <c r="S65" s="60" t="s">
        <v>270</v>
      </c>
      <c r="T65" s="60" t="s">
        <v>275</v>
      </c>
      <c r="U65" s="60" t="s">
        <v>276</v>
      </c>
      <c r="V65" s="60"/>
      <c r="W65" s="60"/>
      <c r="X65" s="60"/>
      <c r="Y65" s="60"/>
      <c r="Z65" s="60"/>
      <c r="AA65" s="60"/>
      <c r="AB65" s="57" t="s">
        <v>369</v>
      </c>
      <c r="AC65" s="60"/>
    </row>
    <row r="66" spans="1:29" ht="15" customHeight="1" x14ac:dyDescent="0.25">
      <c r="A66" s="63" t="s">
        <v>351</v>
      </c>
      <c r="B66" s="58">
        <v>1</v>
      </c>
      <c r="C66" s="58" t="s">
        <v>338</v>
      </c>
      <c r="D66" s="63">
        <v>6733</v>
      </c>
      <c r="E66" s="58" t="s">
        <v>314</v>
      </c>
      <c r="F66" s="58">
        <v>1</v>
      </c>
      <c r="G66" s="72" t="s">
        <v>365</v>
      </c>
      <c r="H66" s="63" t="s">
        <v>309</v>
      </c>
      <c r="I66" s="58" t="s">
        <v>77</v>
      </c>
      <c r="J66" s="58" t="s">
        <v>77</v>
      </c>
      <c r="K66" s="60" t="s">
        <v>226</v>
      </c>
      <c r="L66" s="60"/>
      <c r="M66" s="60"/>
      <c r="N66" s="64">
        <v>46090</v>
      </c>
      <c r="O66" s="60"/>
      <c r="P66" s="60" t="s">
        <v>69</v>
      </c>
      <c r="Q66" s="65" t="s">
        <v>69</v>
      </c>
      <c r="R66" s="60" t="s">
        <v>267</v>
      </c>
      <c r="S66" s="60" t="s">
        <v>270</v>
      </c>
      <c r="T66" s="60" t="s">
        <v>275</v>
      </c>
      <c r="U66" s="60" t="s">
        <v>276</v>
      </c>
      <c r="V66" s="60"/>
      <c r="W66" s="60"/>
      <c r="X66" s="60"/>
      <c r="Y66" s="60"/>
      <c r="Z66" s="60"/>
      <c r="AA66" s="60"/>
      <c r="AB66" s="57" t="s">
        <v>370</v>
      </c>
      <c r="AC66" s="60"/>
    </row>
    <row r="67" spans="1:29" ht="15" customHeight="1" x14ac:dyDescent="0.25">
      <c r="A67" s="63" t="s">
        <v>352</v>
      </c>
      <c r="B67" s="58">
        <v>2</v>
      </c>
      <c r="C67" s="58" t="s">
        <v>338</v>
      </c>
      <c r="D67" s="63">
        <v>6779</v>
      </c>
      <c r="E67" s="58" t="s">
        <v>314</v>
      </c>
      <c r="F67" s="58">
        <v>1</v>
      </c>
      <c r="G67" s="71">
        <v>2100</v>
      </c>
      <c r="H67" s="58" t="s">
        <v>306</v>
      </c>
      <c r="I67" s="58" t="s">
        <v>77</v>
      </c>
      <c r="J67" s="58" t="s">
        <v>77</v>
      </c>
      <c r="K67" s="60" t="s">
        <v>226</v>
      </c>
      <c r="L67" s="60"/>
      <c r="M67" s="60"/>
      <c r="N67" s="64">
        <v>46090</v>
      </c>
      <c r="O67" s="60"/>
      <c r="P67" s="60" t="s">
        <v>69</v>
      </c>
      <c r="Q67" s="65" t="s">
        <v>69</v>
      </c>
      <c r="R67" s="58" t="s">
        <v>267</v>
      </c>
      <c r="S67" s="58" t="s">
        <v>269</v>
      </c>
      <c r="T67" s="58" t="s">
        <v>270</v>
      </c>
      <c r="U67" s="58" t="s">
        <v>272</v>
      </c>
      <c r="V67" s="58" t="s">
        <v>273</v>
      </c>
      <c r="W67" s="58" t="s">
        <v>274</v>
      </c>
      <c r="X67" s="58" t="s">
        <v>275</v>
      </c>
      <c r="Y67" s="58" t="s">
        <v>276</v>
      </c>
      <c r="Z67" s="60"/>
      <c r="AA67" s="60"/>
      <c r="AB67" s="57" t="s">
        <v>371</v>
      </c>
      <c r="AC67" s="60"/>
    </row>
    <row r="68" spans="1:29" ht="15" customHeight="1" x14ac:dyDescent="0.25">
      <c r="A68" s="63" t="s">
        <v>353</v>
      </c>
      <c r="B68" s="58">
        <v>8</v>
      </c>
      <c r="C68" s="58" t="s">
        <v>339</v>
      </c>
      <c r="D68" s="63">
        <v>6759</v>
      </c>
      <c r="E68" s="58" t="s">
        <v>314</v>
      </c>
      <c r="F68" s="58">
        <v>1</v>
      </c>
      <c r="G68" s="72" t="s">
        <v>330</v>
      </c>
      <c r="H68" s="58" t="s">
        <v>306</v>
      </c>
      <c r="I68" s="58" t="s">
        <v>77</v>
      </c>
      <c r="J68" s="58" t="s">
        <v>77</v>
      </c>
      <c r="K68" s="60" t="s">
        <v>226</v>
      </c>
      <c r="L68" s="60"/>
      <c r="M68" s="60"/>
      <c r="N68" s="64">
        <v>46101</v>
      </c>
      <c r="O68" s="60"/>
      <c r="P68" s="60" t="s">
        <v>69</v>
      </c>
      <c r="Q68" s="65" t="s">
        <v>69</v>
      </c>
      <c r="R68" s="58" t="s">
        <v>267</v>
      </c>
      <c r="S68" s="58" t="s">
        <v>269</v>
      </c>
      <c r="T68" s="58" t="s">
        <v>270</v>
      </c>
      <c r="U68" s="58" t="s">
        <v>272</v>
      </c>
      <c r="V68" s="58" t="s">
        <v>273</v>
      </c>
      <c r="W68" s="58" t="s">
        <v>274</v>
      </c>
      <c r="X68" s="58" t="s">
        <v>275</v>
      </c>
      <c r="Y68" s="58" t="s">
        <v>276</v>
      </c>
      <c r="Z68" s="60"/>
      <c r="AA68" s="60"/>
      <c r="AB68" s="57">
        <v>22</v>
      </c>
      <c r="AC68" s="60"/>
    </row>
    <row r="69" spans="1:29" ht="15" customHeight="1" x14ac:dyDescent="0.25">
      <c r="A69" s="63" t="s">
        <v>354</v>
      </c>
      <c r="B69" s="58">
        <v>3</v>
      </c>
      <c r="C69" s="58" t="s">
        <v>339</v>
      </c>
      <c r="D69" s="63">
        <v>6754</v>
      </c>
      <c r="E69" s="58" t="s">
        <v>314</v>
      </c>
      <c r="F69" s="58">
        <v>1</v>
      </c>
      <c r="G69" s="72" t="s">
        <v>330</v>
      </c>
      <c r="H69" s="58" t="s">
        <v>306</v>
      </c>
      <c r="I69" s="58" t="s">
        <v>77</v>
      </c>
      <c r="J69" s="58" t="s">
        <v>77</v>
      </c>
      <c r="K69" s="60" t="s">
        <v>226</v>
      </c>
      <c r="L69" s="60"/>
      <c r="M69" s="60"/>
      <c r="N69" s="64">
        <v>46101</v>
      </c>
      <c r="O69" s="60"/>
      <c r="P69" s="60" t="s">
        <v>69</v>
      </c>
      <c r="Q69" s="65" t="s">
        <v>69</v>
      </c>
      <c r="R69" s="58" t="s">
        <v>267</v>
      </c>
      <c r="S69" s="58" t="s">
        <v>269</v>
      </c>
      <c r="T69" s="58" t="s">
        <v>270</v>
      </c>
      <c r="U69" s="58" t="s">
        <v>272</v>
      </c>
      <c r="V69" s="58" t="s">
        <v>273</v>
      </c>
      <c r="W69" s="58" t="s">
        <v>274</v>
      </c>
      <c r="X69" s="58" t="s">
        <v>275</v>
      </c>
      <c r="Y69" s="58" t="s">
        <v>276</v>
      </c>
      <c r="Z69" s="60"/>
      <c r="AA69" s="60"/>
      <c r="AB69" s="57">
        <v>24</v>
      </c>
      <c r="AC69" s="60"/>
    </row>
    <row r="70" spans="1:29" ht="15" customHeight="1" x14ac:dyDescent="0.25">
      <c r="A70" s="63" t="s">
        <v>355</v>
      </c>
      <c r="B70" s="58">
        <v>9</v>
      </c>
      <c r="C70" s="58" t="s">
        <v>339</v>
      </c>
      <c r="D70" s="63">
        <v>6760</v>
      </c>
      <c r="E70" s="58" t="s">
        <v>314</v>
      </c>
      <c r="F70" s="58">
        <v>1</v>
      </c>
      <c r="G70" s="72" t="s">
        <v>330</v>
      </c>
      <c r="H70" s="58" t="s">
        <v>306</v>
      </c>
      <c r="I70" s="58" t="s">
        <v>77</v>
      </c>
      <c r="J70" s="58" t="s">
        <v>77</v>
      </c>
      <c r="K70" s="60" t="s">
        <v>226</v>
      </c>
      <c r="L70" s="60"/>
      <c r="M70" s="60"/>
      <c r="N70" s="64">
        <v>46101</v>
      </c>
      <c r="O70" s="60"/>
      <c r="P70" s="60" t="s">
        <v>69</v>
      </c>
      <c r="Q70" s="65" t="s">
        <v>69</v>
      </c>
      <c r="R70" s="58" t="s">
        <v>267</v>
      </c>
      <c r="S70" s="58" t="s">
        <v>269</v>
      </c>
      <c r="T70" s="58" t="s">
        <v>270</v>
      </c>
      <c r="U70" s="58" t="s">
        <v>272</v>
      </c>
      <c r="V70" s="58" t="s">
        <v>273</v>
      </c>
      <c r="W70" s="58" t="s">
        <v>274</v>
      </c>
      <c r="X70" s="58" t="s">
        <v>275</v>
      </c>
      <c r="Y70" s="58" t="s">
        <v>276</v>
      </c>
      <c r="Z70" s="60"/>
      <c r="AA70" s="60"/>
      <c r="AB70" s="57">
        <v>25</v>
      </c>
      <c r="AC70" s="60"/>
    </row>
    <row r="71" spans="1:29" ht="15" customHeight="1" x14ac:dyDescent="0.25">
      <c r="A71" s="63" t="s">
        <v>356</v>
      </c>
      <c r="B71" s="58">
        <v>4</v>
      </c>
      <c r="C71" s="58" t="s">
        <v>339</v>
      </c>
      <c r="D71" s="63">
        <v>6755</v>
      </c>
      <c r="E71" s="58" t="s">
        <v>314</v>
      </c>
      <c r="F71" s="58">
        <v>1</v>
      </c>
      <c r="G71" s="72" t="s">
        <v>330</v>
      </c>
      <c r="H71" s="58" t="s">
        <v>306</v>
      </c>
      <c r="I71" s="58" t="s">
        <v>77</v>
      </c>
      <c r="J71" s="58" t="s">
        <v>77</v>
      </c>
      <c r="K71" s="60" t="s">
        <v>226</v>
      </c>
      <c r="L71" s="60"/>
      <c r="M71" s="60"/>
      <c r="N71" s="64">
        <v>46101</v>
      </c>
      <c r="O71" s="60"/>
      <c r="P71" s="60" t="s">
        <v>69</v>
      </c>
      <c r="Q71" s="65" t="s">
        <v>69</v>
      </c>
      <c r="R71" s="58" t="s">
        <v>267</v>
      </c>
      <c r="S71" s="58" t="s">
        <v>269</v>
      </c>
      <c r="T71" s="58" t="s">
        <v>270</v>
      </c>
      <c r="U71" s="58" t="s">
        <v>272</v>
      </c>
      <c r="V71" s="58" t="s">
        <v>273</v>
      </c>
      <c r="W71" s="58" t="s">
        <v>274</v>
      </c>
      <c r="X71" s="58" t="s">
        <v>275</v>
      </c>
      <c r="Y71" s="58" t="s">
        <v>276</v>
      </c>
      <c r="Z71" s="60"/>
      <c r="AA71" s="60"/>
      <c r="AB71" s="57">
        <v>30</v>
      </c>
      <c r="AC71" s="60"/>
    </row>
    <row r="72" spans="1:29" ht="15" customHeight="1" x14ac:dyDescent="0.25">
      <c r="A72" s="63" t="s">
        <v>357</v>
      </c>
      <c r="B72" s="58">
        <v>7</v>
      </c>
      <c r="C72" s="58" t="s">
        <v>339</v>
      </c>
      <c r="D72" s="63">
        <v>6758</v>
      </c>
      <c r="E72" s="58" t="s">
        <v>314</v>
      </c>
      <c r="F72" s="58">
        <v>1</v>
      </c>
      <c r="G72" s="72" t="s">
        <v>330</v>
      </c>
      <c r="H72" s="58" t="s">
        <v>306</v>
      </c>
      <c r="I72" s="58" t="s">
        <v>77</v>
      </c>
      <c r="J72" s="58" t="s">
        <v>77</v>
      </c>
      <c r="K72" s="60" t="s">
        <v>226</v>
      </c>
      <c r="L72" s="60"/>
      <c r="M72" s="60"/>
      <c r="N72" s="64">
        <v>46101</v>
      </c>
      <c r="O72" s="60"/>
      <c r="P72" s="60" t="s">
        <v>69</v>
      </c>
      <c r="Q72" s="65" t="s">
        <v>69</v>
      </c>
      <c r="R72" s="58" t="s">
        <v>267</v>
      </c>
      <c r="S72" s="58" t="s">
        <v>269</v>
      </c>
      <c r="T72" s="58" t="s">
        <v>270</v>
      </c>
      <c r="U72" s="58" t="s">
        <v>272</v>
      </c>
      <c r="V72" s="58" t="s">
        <v>273</v>
      </c>
      <c r="W72" s="58" t="s">
        <v>274</v>
      </c>
      <c r="X72" s="58" t="s">
        <v>275</v>
      </c>
      <c r="Y72" s="58" t="s">
        <v>276</v>
      </c>
      <c r="Z72" s="60"/>
      <c r="AA72" s="60"/>
      <c r="AB72" s="57">
        <v>32</v>
      </c>
      <c r="AC72" s="60"/>
    </row>
    <row r="73" spans="1:29" ht="15" customHeight="1" x14ac:dyDescent="0.25">
      <c r="A73" s="63" t="s">
        <v>358</v>
      </c>
      <c r="B73" s="58">
        <v>6</v>
      </c>
      <c r="C73" s="58" t="s">
        <v>339</v>
      </c>
      <c r="D73" s="63">
        <v>6757</v>
      </c>
      <c r="E73" s="58" t="s">
        <v>314</v>
      </c>
      <c r="F73" s="58">
        <v>1</v>
      </c>
      <c r="G73" s="72" t="s">
        <v>330</v>
      </c>
      <c r="H73" s="58" t="s">
        <v>306</v>
      </c>
      <c r="I73" s="58" t="s">
        <v>77</v>
      </c>
      <c r="J73" s="58" t="s">
        <v>77</v>
      </c>
      <c r="K73" s="60" t="s">
        <v>226</v>
      </c>
      <c r="L73" s="60"/>
      <c r="M73" s="60"/>
      <c r="N73" s="64">
        <v>46101</v>
      </c>
      <c r="O73" s="60"/>
      <c r="P73" s="60" t="s">
        <v>69</v>
      </c>
      <c r="Q73" s="65" t="s">
        <v>69</v>
      </c>
      <c r="R73" s="58" t="s">
        <v>267</v>
      </c>
      <c r="S73" s="58" t="s">
        <v>269</v>
      </c>
      <c r="T73" s="58" t="s">
        <v>270</v>
      </c>
      <c r="U73" s="58" t="s">
        <v>272</v>
      </c>
      <c r="V73" s="58" t="s">
        <v>273</v>
      </c>
      <c r="W73" s="58" t="s">
        <v>274</v>
      </c>
      <c r="X73" s="58" t="s">
        <v>275</v>
      </c>
      <c r="Y73" s="58" t="s">
        <v>276</v>
      </c>
      <c r="Z73" s="60"/>
      <c r="AA73" s="60"/>
      <c r="AB73" s="57">
        <v>46</v>
      </c>
      <c r="AC73" s="60"/>
    </row>
    <row r="74" spans="1:29" ht="15" customHeight="1" x14ac:dyDescent="0.25">
      <c r="A74" s="63" t="s">
        <v>359</v>
      </c>
      <c r="B74" s="58">
        <v>2</v>
      </c>
      <c r="C74" s="58" t="s">
        <v>339</v>
      </c>
      <c r="D74" s="63">
        <v>6753</v>
      </c>
      <c r="E74" s="58" t="s">
        <v>314</v>
      </c>
      <c r="F74" s="58">
        <v>1</v>
      </c>
      <c r="G74" s="72" t="s">
        <v>315</v>
      </c>
      <c r="H74" s="58" t="s">
        <v>306</v>
      </c>
      <c r="I74" s="58" t="s">
        <v>77</v>
      </c>
      <c r="J74" s="58" t="s">
        <v>77</v>
      </c>
      <c r="K74" s="60" t="s">
        <v>226</v>
      </c>
      <c r="L74" s="60"/>
      <c r="M74" s="60"/>
      <c r="N74" s="64">
        <v>46101</v>
      </c>
      <c r="O74" s="60"/>
      <c r="P74" s="60" t="s">
        <v>69</v>
      </c>
      <c r="Q74" s="65" t="s">
        <v>69</v>
      </c>
      <c r="R74" s="58" t="s">
        <v>267</v>
      </c>
      <c r="S74" s="58" t="s">
        <v>269</v>
      </c>
      <c r="T74" s="58" t="s">
        <v>270</v>
      </c>
      <c r="U74" s="58" t="s">
        <v>272</v>
      </c>
      <c r="V74" s="58" t="s">
        <v>273</v>
      </c>
      <c r="W74" s="58" t="s">
        <v>274</v>
      </c>
      <c r="X74" s="58" t="s">
        <v>275</v>
      </c>
      <c r="Y74" s="58" t="s">
        <v>276</v>
      </c>
      <c r="Z74" s="60"/>
      <c r="AA74" s="60"/>
      <c r="AB74" s="57" t="s">
        <v>372</v>
      </c>
      <c r="AC74" s="60"/>
    </row>
    <row r="75" spans="1:29" ht="15" customHeight="1" x14ac:dyDescent="0.25">
      <c r="A75" s="63" t="s">
        <v>360</v>
      </c>
      <c r="B75" s="58">
        <v>5</v>
      </c>
      <c r="C75" s="58" t="s">
        <v>339</v>
      </c>
      <c r="D75" s="63">
        <v>6756</v>
      </c>
      <c r="E75" s="58" t="s">
        <v>314</v>
      </c>
      <c r="F75" s="58">
        <v>1</v>
      </c>
      <c r="G75" s="72" t="s">
        <v>315</v>
      </c>
      <c r="H75" s="58" t="s">
        <v>306</v>
      </c>
      <c r="I75" s="58" t="s">
        <v>77</v>
      </c>
      <c r="J75" s="58" t="s">
        <v>77</v>
      </c>
      <c r="K75" s="60" t="s">
        <v>226</v>
      </c>
      <c r="L75" s="60"/>
      <c r="M75" s="60"/>
      <c r="N75" s="64">
        <v>46101</v>
      </c>
      <c r="O75" s="60"/>
      <c r="P75" s="60" t="s">
        <v>69</v>
      </c>
      <c r="Q75" s="65" t="s">
        <v>69</v>
      </c>
      <c r="R75" s="58" t="s">
        <v>267</v>
      </c>
      <c r="S75" s="58" t="s">
        <v>269</v>
      </c>
      <c r="T75" s="58" t="s">
        <v>270</v>
      </c>
      <c r="U75" s="58" t="s">
        <v>272</v>
      </c>
      <c r="V75" s="58" t="s">
        <v>273</v>
      </c>
      <c r="W75" s="58" t="s">
        <v>274</v>
      </c>
      <c r="X75" s="58" t="s">
        <v>275</v>
      </c>
      <c r="Y75" s="58" t="s">
        <v>276</v>
      </c>
      <c r="Z75" s="60"/>
      <c r="AA75" s="60"/>
      <c r="AB75" s="57" t="s">
        <v>373</v>
      </c>
      <c r="AC75" s="60"/>
    </row>
    <row r="76" spans="1:29" ht="15" customHeight="1" x14ac:dyDescent="0.25">
      <c r="A76" s="63" t="s">
        <v>361</v>
      </c>
      <c r="B76" s="58">
        <v>2</v>
      </c>
      <c r="C76" s="58" t="s">
        <v>339</v>
      </c>
      <c r="D76" s="63"/>
      <c r="E76" s="58" t="s">
        <v>363</v>
      </c>
      <c r="F76" s="58">
        <v>1</v>
      </c>
      <c r="G76" s="72" t="s">
        <v>315</v>
      </c>
      <c r="H76" s="63" t="s">
        <v>309</v>
      </c>
      <c r="I76" s="58" t="s">
        <v>77</v>
      </c>
      <c r="J76" s="58" t="s">
        <v>77</v>
      </c>
      <c r="K76" s="60" t="s">
        <v>242</v>
      </c>
      <c r="L76" s="60"/>
      <c r="M76" s="60"/>
      <c r="N76" s="64">
        <v>46101</v>
      </c>
      <c r="O76" s="60"/>
      <c r="P76" s="60" t="s">
        <v>69</v>
      </c>
      <c r="Q76" s="65" t="s">
        <v>69</v>
      </c>
      <c r="R76" s="60" t="s">
        <v>267</v>
      </c>
      <c r="S76" s="60" t="s">
        <v>270</v>
      </c>
      <c r="T76" s="60" t="s">
        <v>275</v>
      </c>
      <c r="U76" s="60" t="s">
        <v>276</v>
      </c>
      <c r="V76" s="60"/>
      <c r="W76" s="60"/>
      <c r="X76" s="60"/>
      <c r="Y76" s="60"/>
      <c r="Z76" s="60"/>
      <c r="AA76" s="60"/>
      <c r="AB76" s="57" t="s">
        <v>374</v>
      </c>
      <c r="AC76" s="60"/>
    </row>
    <row r="77" spans="1:29" ht="15" customHeight="1" x14ac:dyDescent="0.25">
      <c r="A77" s="63" t="s">
        <v>362</v>
      </c>
      <c r="B77" s="58">
        <v>1</v>
      </c>
      <c r="C77" s="58" t="s">
        <v>339</v>
      </c>
      <c r="D77" s="63">
        <v>6730</v>
      </c>
      <c r="E77" s="58" t="s">
        <v>314</v>
      </c>
      <c r="F77" s="58">
        <v>1</v>
      </c>
      <c r="G77" s="72" t="s">
        <v>330</v>
      </c>
      <c r="H77" s="58" t="s">
        <v>306</v>
      </c>
      <c r="I77" s="58" t="s">
        <v>77</v>
      </c>
      <c r="J77" s="58" t="s">
        <v>77</v>
      </c>
      <c r="K77" s="60" t="s">
        <v>226</v>
      </c>
      <c r="L77" s="60"/>
      <c r="M77" s="60"/>
      <c r="N77" s="64">
        <v>46101</v>
      </c>
      <c r="O77" s="60"/>
      <c r="P77" s="60" t="s">
        <v>69</v>
      </c>
      <c r="Q77" s="65" t="s">
        <v>69</v>
      </c>
      <c r="R77" s="58" t="s">
        <v>267</v>
      </c>
      <c r="S77" s="58" t="s">
        <v>269</v>
      </c>
      <c r="T77" s="58" t="s">
        <v>270</v>
      </c>
      <c r="U77" s="58" t="s">
        <v>272</v>
      </c>
      <c r="V77" s="58" t="s">
        <v>273</v>
      </c>
      <c r="W77" s="58" t="s">
        <v>274</v>
      </c>
      <c r="X77" s="58" t="s">
        <v>275</v>
      </c>
      <c r="Y77" s="58" t="s">
        <v>276</v>
      </c>
      <c r="Z77" s="60"/>
      <c r="AA77" s="60"/>
      <c r="AB77" s="57" t="s">
        <v>375</v>
      </c>
      <c r="AC77" s="60"/>
    </row>
    <row r="78" spans="1:29" ht="15" customHeight="1" x14ac:dyDescent="0.25">
      <c r="H78" s="73"/>
    </row>
    <row r="79" spans="1:29" ht="15" customHeight="1" x14ac:dyDescent="0.25"/>
    <row r="80" spans="1:29" ht="15" customHeight="1" x14ac:dyDescent="0.25"/>
    <row r="81" s="69" customFormat="1" ht="15" customHeight="1" x14ac:dyDescent="0.25"/>
    <row r="82" s="69" customFormat="1" ht="15" customHeight="1" x14ac:dyDescent="0.25"/>
    <row r="83" s="69" customFormat="1" ht="15" customHeight="1" x14ac:dyDescent="0.25"/>
    <row r="84" s="69" customFormat="1" ht="15" customHeight="1" x14ac:dyDescent="0.25"/>
    <row r="85" s="69" customFormat="1" ht="15" customHeight="1" x14ac:dyDescent="0.25"/>
    <row r="86" s="69" customFormat="1" ht="15" customHeight="1" x14ac:dyDescent="0.25"/>
    <row r="87" s="69" customFormat="1" ht="15" customHeight="1" x14ac:dyDescent="0.25"/>
    <row r="88" s="69" customFormat="1" ht="15" customHeight="1" x14ac:dyDescent="0.25"/>
    <row r="89" s="69" customFormat="1" ht="15" customHeight="1" x14ac:dyDescent="0.25"/>
    <row r="90" s="69" customFormat="1" ht="15" customHeight="1" x14ac:dyDescent="0.25"/>
    <row r="91" s="69" customFormat="1" ht="15" customHeight="1" x14ac:dyDescent="0.25"/>
    <row r="92" s="69" customFormat="1" ht="15" customHeight="1" x14ac:dyDescent="0.25"/>
    <row r="93" s="69" customFormat="1" ht="15" customHeight="1" x14ac:dyDescent="0.25"/>
    <row r="94" s="69" customFormat="1" ht="15" customHeight="1" x14ac:dyDescent="0.25"/>
    <row r="95" s="69" customFormat="1" ht="15" customHeight="1" x14ac:dyDescent="0.25"/>
    <row r="96" s="69" customFormat="1" ht="15" customHeight="1" x14ac:dyDescent="0.25"/>
    <row r="97" s="69" customFormat="1" ht="15" customHeight="1" x14ac:dyDescent="0.25"/>
    <row r="98" s="69" customFormat="1" ht="15" customHeight="1" x14ac:dyDescent="0.25"/>
    <row r="99" s="69" customFormat="1" ht="15" customHeight="1" x14ac:dyDescent="0.25"/>
    <row r="100" s="69" customFormat="1" ht="15" customHeight="1" x14ac:dyDescent="0.25"/>
    <row r="101" s="69" customFormat="1" ht="15" customHeight="1" x14ac:dyDescent="0.25"/>
    <row r="102" s="69" customFormat="1" ht="15" customHeight="1" x14ac:dyDescent="0.25"/>
    <row r="103" s="69" customFormat="1" ht="15" customHeight="1" x14ac:dyDescent="0.25"/>
    <row r="104" s="69" customFormat="1" ht="15" customHeight="1" x14ac:dyDescent="0.25"/>
    <row r="105" s="69" customFormat="1" ht="15" customHeight="1" x14ac:dyDescent="0.25"/>
    <row r="106" s="69" customFormat="1" ht="15" customHeight="1" x14ac:dyDescent="0.25"/>
    <row r="107" s="69" customFormat="1" ht="15" customHeight="1" x14ac:dyDescent="0.25"/>
    <row r="108" s="69" customFormat="1" ht="15" customHeight="1" x14ac:dyDescent="0.25"/>
    <row r="109" s="69" customFormat="1" ht="15" customHeight="1" x14ac:dyDescent="0.25"/>
    <row r="110" s="69" customFormat="1" ht="15" customHeight="1" x14ac:dyDescent="0.25"/>
    <row r="111" s="69" customFormat="1" ht="15" customHeight="1" x14ac:dyDescent="0.25"/>
    <row r="112" s="69" customFormat="1" ht="15" customHeight="1" x14ac:dyDescent="0.25"/>
    <row r="113" s="69" customFormat="1" ht="15" customHeight="1" x14ac:dyDescent="0.25"/>
    <row r="114" s="69" customFormat="1" ht="15" customHeight="1" x14ac:dyDescent="0.25"/>
    <row r="115" s="69" customFormat="1" ht="15" customHeight="1" x14ac:dyDescent="0.25"/>
    <row r="116" s="69" customFormat="1" ht="15" customHeight="1" x14ac:dyDescent="0.25"/>
    <row r="117" s="69" customFormat="1" ht="15" customHeight="1" x14ac:dyDescent="0.25"/>
    <row r="118" s="69" customFormat="1" ht="15" customHeight="1" x14ac:dyDescent="0.25"/>
    <row r="119" s="69" customFormat="1" ht="15" customHeight="1" x14ac:dyDescent="0.25"/>
    <row r="120" s="69" customFormat="1" ht="15" customHeight="1" x14ac:dyDescent="0.25"/>
    <row r="121" s="69" customFormat="1" ht="15" customHeight="1" x14ac:dyDescent="0.25"/>
    <row r="122" s="69" customFormat="1" ht="15" customHeight="1" x14ac:dyDescent="0.25"/>
    <row r="123" s="69" customFormat="1" ht="15" customHeight="1" x14ac:dyDescent="0.25"/>
    <row r="124" s="69" customFormat="1" ht="15" customHeight="1" x14ac:dyDescent="0.25"/>
    <row r="125" s="69" customFormat="1" ht="15" customHeight="1" x14ac:dyDescent="0.25"/>
    <row r="126" s="69" customFormat="1" ht="15" customHeight="1" x14ac:dyDescent="0.25"/>
    <row r="127" s="69" customFormat="1" ht="15" customHeight="1" x14ac:dyDescent="0.25"/>
    <row r="128" s="69" customFormat="1" ht="15" customHeight="1" x14ac:dyDescent="0.25"/>
    <row r="129" s="69" customFormat="1" ht="15" customHeight="1" x14ac:dyDescent="0.25"/>
    <row r="130" s="69" customFormat="1" ht="15" customHeight="1" x14ac:dyDescent="0.25"/>
    <row r="131" s="69" customFormat="1" ht="15" customHeight="1" x14ac:dyDescent="0.25"/>
    <row r="132" s="69" customFormat="1" ht="15" customHeight="1" x14ac:dyDescent="0.25"/>
    <row r="133" s="69" customFormat="1" ht="15" customHeight="1" x14ac:dyDescent="0.25"/>
    <row r="134" s="69" customFormat="1" ht="15" customHeight="1" x14ac:dyDescent="0.25"/>
    <row r="135" s="69" customFormat="1" ht="15" customHeight="1" x14ac:dyDescent="0.25"/>
    <row r="136" s="69" customFormat="1" ht="15" customHeight="1" x14ac:dyDescent="0.25"/>
    <row r="137" s="69" customFormat="1" ht="15" customHeight="1" x14ac:dyDescent="0.25"/>
    <row r="138" s="69" customFormat="1" ht="15" customHeight="1" x14ac:dyDescent="0.25"/>
    <row r="139" s="69" customFormat="1" ht="15" customHeight="1" x14ac:dyDescent="0.25"/>
    <row r="140" s="69" customFormat="1" ht="15" customHeight="1" x14ac:dyDescent="0.25"/>
    <row r="141" s="69" customFormat="1" ht="15" customHeight="1" x14ac:dyDescent="0.25"/>
    <row r="142" s="69" customFormat="1" ht="15" customHeight="1" x14ac:dyDescent="0.25"/>
    <row r="143" s="69" customFormat="1" ht="15" customHeight="1" x14ac:dyDescent="0.25"/>
    <row r="144" s="69" customFormat="1" ht="15" customHeight="1" x14ac:dyDescent="0.25"/>
    <row r="145" s="69" customFormat="1" ht="15" customHeight="1" x14ac:dyDescent="0.25"/>
    <row r="146" s="69" customFormat="1" ht="15" customHeight="1" x14ac:dyDescent="0.25"/>
    <row r="147" s="69" customFormat="1" ht="15" customHeight="1" x14ac:dyDescent="0.25"/>
    <row r="148" s="69" customFormat="1" ht="15" customHeight="1" x14ac:dyDescent="0.25"/>
    <row r="149" s="69" customFormat="1" ht="15" customHeight="1" x14ac:dyDescent="0.25"/>
    <row r="150" s="69" customFormat="1" ht="15" customHeight="1" x14ac:dyDescent="0.25"/>
    <row r="151" s="69" customFormat="1" ht="15" customHeight="1" x14ac:dyDescent="0.25"/>
    <row r="152" s="69" customFormat="1" ht="15" customHeight="1" x14ac:dyDescent="0.25"/>
    <row r="153" s="69" customFormat="1" ht="15" customHeight="1" x14ac:dyDescent="0.25"/>
    <row r="154" s="69" customFormat="1" ht="15" customHeight="1" x14ac:dyDescent="0.25"/>
    <row r="155" s="69" customFormat="1" ht="15" customHeight="1" x14ac:dyDescent="0.25"/>
    <row r="156" s="69" customFormat="1" ht="15" customHeight="1" x14ac:dyDescent="0.25"/>
    <row r="157" s="69" customFormat="1" ht="15" customHeight="1" x14ac:dyDescent="0.25"/>
    <row r="158" s="69" customFormat="1" ht="15" customHeight="1" x14ac:dyDescent="0.25"/>
    <row r="159" s="69" customFormat="1" ht="15" customHeight="1" x14ac:dyDescent="0.25"/>
    <row r="160" s="69" customFormat="1" ht="15" customHeight="1" x14ac:dyDescent="0.25"/>
    <row r="161" s="69" customFormat="1" ht="15" customHeight="1" x14ac:dyDescent="0.25"/>
    <row r="162" s="69" customFormat="1" ht="15" customHeight="1" x14ac:dyDescent="0.25"/>
    <row r="163" s="69" customFormat="1" ht="15" customHeight="1" x14ac:dyDescent="0.25"/>
    <row r="164" s="69" customFormat="1" ht="15" customHeight="1" x14ac:dyDescent="0.25"/>
    <row r="165" s="69" customFormat="1" ht="15" customHeight="1" x14ac:dyDescent="0.25"/>
    <row r="166" s="69" customFormat="1" ht="15" customHeight="1" x14ac:dyDescent="0.25"/>
    <row r="167" s="69" customFormat="1" ht="15" customHeight="1" x14ac:dyDescent="0.25"/>
    <row r="168" s="69" customFormat="1" ht="15" customHeight="1" x14ac:dyDescent="0.25"/>
    <row r="169" s="69" customFormat="1" ht="15" customHeight="1" x14ac:dyDescent="0.25"/>
    <row r="170" s="69" customFormat="1" ht="15" customHeight="1" x14ac:dyDescent="0.25"/>
    <row r="171" s="69" customFormat="1" ht="15" customHeight="1" x14ac:dyDescent="0.25"/>
    <row r="172" s="69" customFormat="1" ht="15" customHeight="1" x14ac:dyDescent="0.25"/>
    <row r="173" s="69" customFormat="1" ht="15" customHeight="1" x14ac:dyDescent="0.25"/>
    <row r="174" s="69" customFormat="1" ht="15" customHeight="1" x14ac:dyDescent="0.25"/>
    <row r="175" s="69" customFormat="1" ht="15" customHeight="1" x14ac:dyDescent="0.25"/>
    <row r="176" s="69" customFormat="1" ht="15" customHeight="1" x14ac:dyDescent="0.25"/>
    <row r="177" s="69" customFormat="1" ht="15" customHeight="1" x14ac:dyDescent="0.25"/>
    <row r="178" s="69" customFormat="1" ht="15" customHeight="1" x14ac:dyDescent="0.25"/>
    <row r="179" s="69" customFormat="1" ht="15" customHeight="1" x14ac:dyDescent="0.25"/>
    <row r="180" s="69" customFormat="1" ht="15" customHeight="1" x14ac:dyDescent="0.25"/>
    <row r="181" s="69" customFormat="1" ht="15" customHeight="1" x14ac:dyDescent="0.25"/>
    <row r="182" s="69" customFormat="1" ht="15" customHeight="1" x14ac:dyDescent="0.25"/>
    <row r="183" s="69" customFormat="1" ht="15" customHeight="1" x14ac:dyDescent="0.25"/>
    <row r="184" s="69" customFormat="1" ht="15" customHeight="1" x14ac:dyDescent="0.25"/>
    <row r="185" s="69" customFormat="1" ht="15" customHeight="1" x14ac:dyDescent="0.25"/>
    <row r="186" s="69" customFormat="1" ht="15" customHeight="1" x14ac:dyDescent="0.25"/>
    <row r="187" s="69" customFormat="1" ht="15" customHeight="1" x14ac:dyDescent="0.25"/>
    <row r="188" s="69" customFormat="1" ht="15" customHeight="1" x14ac:dyDescent="0.25"/>
    <row r="189" s="69" customFormat="1" ht="15" customHeight="1" x14ac:dyDescent="0.25"/>
    <row r="190" s="69" customFormat="1" ht="15" customHeight="1" x14ac:dyDescent="0.25"/>
    <row r="191" s="69" customFormat="1" ht="15" customHeight="1" x14ac:dyDescent="0.25"/>
    <row r="192" s="69" customFormat="1" ht="15" customHeight="1" x14ac:dyDescent="0.25"/>
    <row r="193" s="69" customFormat="1" ht="15" customHeight="1" x14ac:dyDescent="0.25"/>
    <row r="194" s="69" customFormat="1" ht="15" customHeight="1" x14ac:dyDescent="0.25"/>
    <row r="195" s="69" customFormat="1" ht="15" customHeight="1" x14ac:dyDescent="0.25"/>
    <row r="196" s="69" customFormat="1" ht="15" customHeight="1" x14ac:dyDescent="0.25"/>
    <row r="197" s="69" customFormat="1" ht="15" customHeight="1" x14ac:dyDescent="0.25"/>
    <row r="198" s="69" customFormat="1" ht="15" customHeight="1" x14ac:dyDescent="0.25"/>
    <row r="199" s="69" customFormat="1" ht="15" customHeight="1" x14ac:dyDescent="0.25"/>
    <row r="200" s="69" customFormat="1" ht="15" customHeight="1" x14ac:dyDescent="0.25"/>
    <row r="201" s="69" customFormat="1" ht="15" customHeight="1" x14ac:dyDescent="0.25"/>
    <row r="202" s="69" customFormat="1" ht="15" customHeight="1" x14ac:dyDescent="0.25"/>
    <row r="203" s="69" customFormat="1" ht="15" customHeight="1" x14ac:dyDescent="0.25"/>
    <row r="204" s="69" customFormat="1" ht="15" customHeight="1" x14ac:dyDescent="0.25"/>
    <row r="205" s="69" customFormat="1" ht="15" customHeight="1" x14ac:dyDescent="0.25"/>
    <row r="206" s="69" customFormat="1" ht="15" customHeight="1" x14ac:dyDescent="0.25"/>
    <row r="207" s="69" customFormat="1" ht="15" customHeight="1" x14ac:dyDescent="0.25"/>
    <row r="208" s="69" customFormat="1" ht="15" customHeight="1" x14ac:dyDescent="0.25"/>
    <row r="209" s="69" customFormat="1" ht="15" customHeight="1" x14ac:dyDescent="0.25"/>
    <row r="210" s="69" customFormat="1" ht="15" customHeight="1" x14ac:dyDescent="0.25"/>
    <row r="211" s="69" customFormat="1" ht="15" customHeight="1" x14ac:dyDescent="0.25"/>
    <row r="212" s="69" customFormat="1" ht="15" customHeight="1" x14ac:dyDescent="0.25"/>
    <row r="213" s="69" customFormat="1" ht="15" customHeight="1" x14ac:dyDescent="0.25"/>
    <row r="214" s="69" customFormat="1" ht="15" customHeight="1" x14ac:dyDescent="0.25"/>
    <row r="215" s="69" customFormat="1" ht="15" customHeight="1" x14ac:dyDescent="0.25"/>
    <row r="216" s="69" customFormat="1" ht="15" customHeight="1" x14ac:dyDescent="0.25"/>
    <row r="217" s="69" customFormat="1" ht="15" customHeight="1" x14ac:dyDescent="0.25"/>
    <row r="218" s="69" customFormat="1" ht="15" customHeight="1" x14ac:dyDescent="0.25"/>
    <row r="219" s="69" customFormat="1" ht="15" customHeight="1" x14ac:dyDescent="0.25"/>
    <row r="220" s="69" customFormat="1" ht="15" customHeight="1" x14ac:dyDescent="0.25"/>
    <row r="221" s="69" customFormat="1" ht="15" customHeight="1" x14ac:dyDescent="0.25"/>
    <row r="222" s="69" customFormat="1" ht="15" customHeight="1" x14ac:dyDescent="0.25"/>
    <row r="223" s="69" customFormat="1" ht="15" customHeight="1" x14ac:dyDescent="0.25"/>
    <row r="224" s="69" customFormat="1" ht="15" customHeight="1" x14ac:dyDescent="0.25"/>
    <row r="225" s="69" customFormat="1" ht="15" customHeight="1" x14ac:dyDescent="0.25"/>
    <row r="226" s="69" customFormat="1" ht="15" customHeight="1" x14ac:dyDescent="0.25"/>
    <row r="227" s="69" customFormat="1" ht="15" customHeight="1" x14ac:dyDescent="0.25"/>
    <row r="228" s="69" customFormat="1" ht="15" customHeight="1" x14ac:dyDescent="0.25"/>
    <row r="229" s="69" customFormat="1" ht="15" customHeight="1" x14ac:dyDescent="0.25"/>
    <row r="230" s="69" customFormat="1" ht="15" customHeight="1" x14ac:dyDescent="0.25"/>
    <row r="231" s="69" customFormat="1" ht="15" customHeight="1" x14ac:dyDescent="0.25"/>
    <row r="232" s="69" customFormat="1" ht="15" customHeight="1" x14ac:dyDescent="0.25"/>
    <row r="233" s="69" customFormat="1" ht="15" customHeight="1" x14ac:dyDescent="0.25"/>
    <row r="234" s="69" customFormat="1" ht="15" customHeight="1" x14ac:dyDescent="0.25"/>
    <row r="235" s="69" customFormat="1" ht="15" customHeight="1" x14ac:dyDescent="0.25"/>
    <row r="236" s="69" customFormat="1" ht="15" customHeight="1" x14ac:dyDescent="0.25"/>
    <row r="237" s="69" customFormat="1" ht="15" customHeight="1" x14ac:dyDescent="0.25"/>
  </sheetData>
  <phoneticPr fontId="11" type="noConversion"/>
  <conditionalFormatting sqref="D30:D32">
    <cfRule type="expression" dxfId="103" priority="64">
      <formula>$P30="s"</formula>
    </cfRule>
  </conditionalFormatting>
  <conditionalFormatting sqref="D30:D32">
    <cfRule type="containsText" dxfId="102" priority="62" operator="containsText" text="encamisado">
      <formula>NOT(ISERROR(SEARCH("encamisado",D30)))</formula>
    </cfRule>
    <cfRule type="containsText" dxfId="101" priority="63" operator="containsText" text="pronto">
      <formula>NOT(ISERROR(SEARCH("pronto",D30)))</formula>
    </cfRule>
  </conditionalFormatting>
  <conditionalFormatting sqref="A30:A32">
    <cfRule type="expression" dxfId="100" priority="61">
      <formula>$P30="s"</formula>
    </cfRule>
  </conditionalFormatting>
  <conditionalFormatting sqref="A30:A32">
    <cfRule type="containsText" dxfId="99" priority="59" operator="containsText" text="encamisado">
      <formula>NOT(ISERROR(SEARCH("encamisado",A30)))</formula>
    </cfRule>
    <cfRule type="containsText" dxfId="98" priority="60" operator="containsText" text="pronto">
      <formula>NOT(ISERROR(SEARCH("pronto",A30)))</formula>
    </cfRule>
  </conditionalFormatting>
  <conditionalFormatting sqref="AB30:AB32">
    <cfRule type="expression" dxfId="94" priority="55">
      <formula>$P30="s"</formula>
    </cfRule>
  </conditionalFormatting>
  <conditionalFormatting sqref="AB30:AB32">
    <cfRule type="containsText" dxfId="93" priority="53" operator="containsText" text="encamisado">
      <formula>NOT(ISERROR(SEARCH("encamisado",AB30)))</formula>
    </cfRule>
    <cfRule type="containsText" dxfId="92" priority="54" operator="containsText" text="pronto">
      <formula>NOT(ISERROR(SEARCH("pronto",AB30)))</formula>
    </cfRule>
  </conditionalFormatting>
  <conditionalFormatting sqref="A33:A43">
    <cfRule type="expression" dxfId="88" priority="52">
      <formula>$P33="s"</formula>
    </cfRule>
  </conditionalFormatting>
  <conditionalFormatting sqref="A33:A43">
    <cfRule type="containsText" dxfId="87" priority="50" operator="containsText" text="encamisado">
      <formula>NOT(ISERROR(SEARCH("encamisado",A33)))</formula>
    </cfRule>
    <cfRule type="containsText" dxfId="86" priority="51" operator="containsText" text="pronto">
      <formula>NOT(ISERROR(SEARCH("pronto",A33)))</formula>
    </cfRule>
  </conditionalFormatting>
  <conditionalFormatting sqref="D33:D43">
    <cfRule type="expression" dxfId="54" priority="49">
      <formula>$P33="s"</formula>
    </cfRule>
  </conditionalFormatting>
  <conditionalFormatting sqref="D33:D43">
    <cfRule type="containsText" dxfId="53" priority="47" operator="containsText" text="encamisado">
      <formula>NOT(ISERROR(SEARCH("encamisado",D33)))</formula>
    </cfRule>
    <cfRule type="containsText" dxfId="52" priority="48" operator="containsText" text="pronto">
      <formula>NOT(ISERROR(SEARCH("pronto",D33)))</formula>
    </cfRule>
  </conditionalFormatting>
  <conditionalFormatting sqref="AB33:AB43">
    <cfRule type="expression" dxfId="51" priority="46">
      <formula>$P33="s"</formula>
    </cfRule>
  </conditionalFormatting>
  <conditionalFormatting sqref="AB33:AB43">
    <cfRule type="containsText" dxfId="50" priority="44" operator="containsText" text="encamisado">
      <formula>NOT(ISERROR(SEARCH("encamisado",AB33)))</formula>
    </cfRule>
    <cfRule type="containsText" dxfId="49" priority="45" operator="containsText" text="pronto">
      <formula>NOT(ISERROR(SEARCH("pronto",AB33)))</formula>
    </cfRule>
  </conditionalFormatting>
  <conditionalFormatting sqref="N33:N45">
    <cfRule type="expression" dxfId="45" priority="43">
      <formula>$P33="s"</formula>
    </cfRule>
  </conditionalFormatting>
  <conditionalFormatting sqref="N33:N45">
    <cfRule type="containsText" dxfId="44" priority="41" operator="containsText" text="encamisado">
      <formula>NOT(ISERROR(SEARCH("encamisado",N33)))</formula>
    </cfRule>
    <cfRule type="containsText" dxfId="43" priority="42" operator="containsText" text="pronto">
      <formula>NOT(ISERROR(SEARCH("pronto",N33)))</formula>
    </cfRule>
  </conditionalFormatting>
  <conditionalFormatting sqref="O33:O35">
    <cfRule type="expression" dxfId="42" priority="40">
      <formula>$P33="s"</formula>
    </cfRule>
  </conditionalFormatting>
  <conditionalFormatting sqref="O33:O35">
    <cfRule type="containsText" dxfId="41" priority="38" operator="containsText" text="encamisado">
      <formula>NOT(ISERROR(SEARCH("encamisado",O33)))</formula>
    </cfRule>
    <cfRule type="containsText" dxfId="40" priority="39" operator="containsText" text="pronto">
      <formula>NOT(ISERROR(SEARCH("pronto",O33)))</formula>
    </cfRule>
  </conditionalFormatting>
  <conditionalFormatting sqref="O37:O43">
    <cfRule type="expression" dxfId="36" priority="37">
      <formula>$P37="s"</formula>
    </cfRule>
  </conditionalFormatting>
  <conditionalFormatting sqref="O37:O43">
    <cfRule type="containsText" dxfId="35" priority="35" operator="containsText" text="encamisado">
      <formula>NOT(ISERROR(SEARCH("encamisado",O37)))</formula>
    </cfRule>
    <cfRule type="containsText" dxfId="34" priority="36" operator="containsText" text="pronto">
      <formula>NOT(ISERROR(SEARCH("pronto",O37)))</formula>
    </cfRule>
  </conditionalFormatting>
  <conditionalFormatting sqref="C45">
    <cfRule type="expression" dxfId="33" priority="34">
      <formula>$P45="s"</formula>
    </cfRule>
  </conditionalFormatting>
  <conditionalFormatting sqref="C45">
    <cfRule type="containsText" dxfId="32" priority="32" operator="containsText" text="encamisado">
      <formula>NOT(ISERROR(SEARCH("encamisado",C45)))</formula>
    </cfRule>
    <cfRule type="containsText" dxfId="31" priority="33" operator="containsText" text="pronto">
      <formula>NOT(ISERROR(SEARCH("pronto",C45)))</formula>
    </cfRule>
  </conditionalFormatting>
  <conditionalFormatting sqref="C46:C49">
    <cfRule type="expression" dxfId="30" priority="31">
      <formula>$P46="s"</formula>
    </cfRule>
  </conditionalFormatting>
  <conditionalFormatting sqref="C46:C49">
    <cfRule type="containsText" dxfId="29" priority="29" operator="containsText" text="encamisado">
      <formula>NOT(ISERROR(SEARCH("encamisado",C46)))</formula>
    </cfRule>
    <cfRule type="containsText" dxfId="28" priority="30" operator="containsText" text="pronto">
      <formula>NOT(ISERROR(SEARCH("pronto",C46)))</formula>
    </cfRule>
  </conditionalFormatting>
  <conditionalFormatting sqref="C55">
    <cfRule type="expression" dxfId="27" priority="27">
      <formula>$P55="s"</formula>
    </cfRule>
  </conditionalFormatting>
  <conditionalFormatting sqref="C56:C77">
    <cfRule type="expression" dxfId="26" priority="28">
      <formula>$P56="s"</formula>
    </cfRule>
  </conditionalFormatting>
  <conditionalFormatting sqref="C55:C77">
    <cfRule type="containsText" dxfId="25" priority="25" operator="containsText" text="encamisado">
      <formula>NOT(ISERROR(SEARCH("encamisado",C55)))</formula>
    </cfRule>
    <cfRule type="containsText" dxfId="24" priority="26" operator="containsText" text="pronto">
      <formula>NOT(ISERROR(SEARCH("pronto",C55)))</formula>
    </cfRule>
  </conditionalFormatting>
  <conditionalFormatting sqref="D55">
    <cfRule type="expression" dxfId="23" priority="23">
      <formula>$P55="s"</formula>
    </cfRule>
  </conditionalFormatting>
  <conditionalFormatting sqref="D56:D77">
    <cfRule type="expression" dxfId="22" priority="24">
      <formula>$P56="s"</formula>
    </cfRule>
  </conditionalFormatting>
  <conditionalFormatting sqref="D55:D77">
    <cfRule type="containsText" dxfId="21" priority="21" operator="containsText" text="encamisado">
      <formula>NOT(ISERROR(SEARCH("encamisado",D55)))</formula>
    </cfRule>
    <cfRule type="containsText" dxfId="20" priority="22" operator="containsText" text="pronto">
      <formula>NOT(ISERROR(SEARCH("pronto",D55)))</formula>
    </cfRule>
  </conditionalFormatting>
  <conditionalFormatting sqref="A55">
    <cfRule type="expression" dxfId="19" priority="19">
      <formula>$P55="s"</formula>
    </cfRule>
  </conditionalFormatting>
  <conditionalFormatting sqref="A56:A77">
    <cfRule type="expression" dxfId="18" priority="20">
      <formula>$P56="s"</formula>
    </cfRule>
  </conditionalFormatting>
  <conditionalFormatting sqref="A55:A77">
    <cfRule type="containsText" dxfId="17" priority="17" operator="containsText" text="encamisado">
      <formula>NOT(ISERROR(SEARCH("encamisado",A55)))</formula>
    </cfRule>
    <cfRule type="containsText" dxfId="16" priority="18" operator="containsText" text="pronto">
      <formula>NOT(ISERROR(SEARCH("pronto",A55)))</formula>
    </cfRule>
  </conditionalFormatting>
  <conditionalFormatting sqref="H58 H60 H62 H65:H66 H76">
    <cfRule type="expression" dxfId="14" priority="16">
      <formula>$P58="s"</formula>
    </cfRule>
  </conditionalFormatting>
  <conditionalFormatting sqref="H58 H60 H62 H65:H66 H76">
    <cfRule type="containsText" dxfId="13" priority="13" operator="containsText" text="encamisado">
      <formula>NOT(ISERROR(SEARCH("encamisado",H58)))</formula>
    </cfRule>
    <cfRule type="containsText" dxfId="12" priority="14" operator="containsText" text="pronto">
      <formula>NOT(ISERROR(SEARCH("pronto",H58)))</formula>
    </cfRule>
  </conditionalFormatting>
  <conditionalFormatting sqref="G59:G60 G67">
    <cfRule type="expression" dxfId="10" priority="12">
      <formula>$P59="s"</formula>
    </cfRule>
  </conditionalFormatting>
  <conditionalFormatting sqref="G59:G60 G67">
    <cfRule type="containsText" dxfId="9" priority="9" operator="containsText" text="encamisado">
      <formula>NOT(ISERROR(SEARCH("encamisado",G59)))</formula>
    </cfRule>
    <cfRule type="containsText" dxfId="8" priority="10" operator="containsText" text="pronto">
      <formula>NOT(ISERROR(SEARCH("pronto",G59)))</formula>
    </cfRule>
  </conditionalFormatting>
  <conditionalFormatting sqref="N55">
    <cfRule type="expression" dxfId="7" priority="7">
      <formula>$P55="s"</formula>
    </cfRule>
  </conditionalFormatting>
  <conditionalFormatting sqref="N56:N77">
    <cfRule type="expression" dxfId="6" priority="8">
      <formula>$P56="s"</formula>
    </cfRule>
  </conditionalFormatting>
  <conditionalFormatting sqref="N55:N77">
    <cfRule type="containsText" dxfId="5" priority="5" operator="containsText" text="encamisado">
      <formula>NOT(ISERROR(SEARCH("encamisado",N55)))</formula>
    </cfRule>
    <cfRule type="containsText" dxfId="4" priority="6" operator="containsText" text="pronto">
      <formula>NOT(ISERROR(SEARCH("pronto",N55)))</formula>
    </cfRule>
  </conditionalFormatting>
  <conditionalFormatting sqref="AB55">
    <cfRule type="expression" dxfId="3" priority="3">
      <formula>$P55="s"</formula>
    </cfRule>
  </conditionalFormatting>
  <conditionalFormatting sqref="AB56:AB77">
    <cfRule type="expression" dxfId="2" priority="4">
      <formula>$P56="s"</formula>
    </cfRule>
  </conditionalFormatting>
  <conditionalFormatting sqref="AB55:AB77">
    <cfRule type="containsText" dxfId="1" priority="1" operator="containsText" text="encamisado">
      <formula>NOT(ISERROR(SEARCH("encamisado",AB55)))</formula>
    </cfRule>
    <cfRule type="containsText" dxfId="0" priority="2" operator="containsText" text="pronto">
      <formula>NOT(ISERROR(SEARCH("pronto",AB55)))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258</v>
      </c>
      <c r="E1" s="51" t="s">
        <v>236</v>
      </c>
      <c r="F1" s="51" t="s">
        <v>225</v>
      </c>
      <c r="G1" s="52" t="s">
        <v>251</v>
      </c>
      <c r="H1" s="52" t="s">
        <v>252</v>
      </c>
      <c r="I1" s="52" t="s">
        <v>250</v>
      </c>
      <c r="J1" s="52" t="s">
        <v>21</v>
      </c>
      <c r="K1" s="52" t="s">
        <v>109</v>
      </c>
      <c r="L1" s="52" t="s">
        <v>84</v>
      </c>
      <c r="M1" s="52" t="s">
        <v>277</v>
      </c>
      <c r="N1" s="52" t="s">
        <v>278</v>
      </c>
      <c r="O1" s="52" t="s">
        <v>279</v>
      </c>
      <c r="P1" s="52" t="s">
        <v>280</v>
      </c>
      <c r="Q1" s="52" t="s">
        <v>281</v>
      </c>
      <c r="R1" s="52" t="s">
        <v>282</v>
      </c>
      <c r="S1" s="52" t="s">
        <v>283</v>
      </c>
      <c r="T1" s="52" t="s">
        <v>284</v>
      </c>
      <c r="U1" s="52" t="s">
        <v>285</v>
      </c>
      <c r="V1" s="52" t="s">
        <v>227</v>
      </c>
      <c r="W1" s="52" t="s">
        <v>289</v>
      </c>
      <c r="X1" s="52" t="s">
        <v>243</v>
      </c>
      <c r="Y1" s="52" t="s">
        <v>253</v>
      </c>
      <c r="Z1" s="52" t="s">
        <v>292</v>
      </c>
      <c r="AA1" s="52" t="s">
        <v>293</v>
      </c>
      <c r="AB1" s="52" t="s">
        <v>249</v>
      </c>
      <c r="AC1" s="52" t="s">
        <v>228</v>
      </c>
      <c r="AD1" s="52" t="s">
        <v>73</v>
      </c>
    </row>
    <row r="2" spans="1:30" hidden="1" x14ac:dyDescent="0.25">
      <c r="A2" s="54" t="s">
        <v>229</v>
      </c>
      <c r="B2" s="54" t="s">
        <v>254</v>
      </c>
      <c r="C2" s="54">
        <v>1</v>
      </c>
      <c r="D2" s="54">
        <v>2300</v>
      </c>
      <c r="E2" s="54" t="s">
        <v>77</v>
      </c>
      <c r="F2" s="54" t="s">
        <v>226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267</v>
      </c>
      <c r="N2" s="56" t="s">
        <v>269</v>
      </c>
      <c r="O2" s="56" t="s">
        <v>270</v>
      </c>
      <c r="P2" s="56" t="s">
        <v>272</v>
      </c>
      <c r="Q2" s="54" t="s">
        <v>273</v>
      </c>
      <c r="R2" s="54" t="s">
        <v>274</v>
      </c>
      <c r="S2" s="54" t="s">
        <v>271</v>
      </c>
      <c r="T2" s="54" t="s">
        <v>275</v>
      </c>
      <c r="U2" s="54" t="s">
        <v>276</v>
      </c>
      <c r="V2" s="54" t="s">
        <v>233</v>
      </c>
      <c r="W2" s="54">
        <v>1013</v>
      </c>
      <c r="X2" s="54">
        <v>2</v>
      </c>
      <c r="Y2" s="54" t="s">
        <v>69</v>
      </c>
      <c r="Z2" s="56" t="s">
        <v>290</v>
      </c>
      <c r="AA2" s="56" t="s">
        <v>291</v>
      </c>
      <c r="AB2" s="55">
        <v>46230</v>
      </c>
      <c r="AC2" s="54" t="s">
        <v>294</v>
      </c>
      <c r="AD2" s="54" t="s">
        <v>231</v>
      </c>
    </row>
    <row r="3" spans="1:30" hidden="1" x14ac:dyDescent="0.25">
      <c r="A3" s="54" t="s">
        <v>115</v>
      </c>
      <c r="B3" s="54" t="s">
        <v>255</v>
      </c>
      <c r="C3" s="54">
        <v>1</v>
      </c>
      <c r="D3" s="54" t="s">
        <v>232</v>
      </c>
      <c r="E3" s="54" t="s">
        <v>237</v>
      </c>
      <c r="F3" s="54" t="s">
        <v>242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268</v>
      </c>
      <c r="N3" s="54" t="s">
        <v>267</v>
      </c>
      <c r="O3" s="54" t="s">
        <v>271</v>
      </c>
      <c r="P3" s="54"/>
      <c r="Q3" s="54"/>
      <c r="R3" s="54"/>
      <c r="S3" s="54"/>
      <c r="T3" s="54"/>
      <c r="U3" s="54"/>
      <c r="V3" s="54" t="s">
        <v>230</v>
      </c>
      <c r="W3" s="54">
        <v>1027</v>
      </c>
      <c r="X3" s="54" t="s">
        <v>244</v>
      </c>
      <c r="Y3" s="54" t="s">
        <v>72</v>
      </c>
      <c r="Z3" s="54" t="s">
        <v>290</v>
      </c>
      <c r="AA3" s="54" t="s">
        <v>291</v>
      </c>
      <c r="AB3" s="55">
        <v>46410</v>
      </c>
      <c r="AC3" s="54" t="s">
        <v>230</v>
      </c>
      <c r="AD3" s="54"/>
    </row>
    <row r="4" spans="1:30" hidden="1" x14ac:dyDescent="0.25">
      <c r="A4" s="54" t="s">
        <v>115</v>
      </c>
      <c r="B4" s="54" t="s">
        <v>255</v>
      </c>
      <c r="C4" s="54">
        <v>1</v>
      </c>
      <c r="D4" s="54" t="s">
        <v>232</v>
      </c>
      <c r="E4" s="54" t="s">
        <v>237</v>
      </c>
      <c r="F4" s="54" t="s">
        <v>242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268</v>
      </c>
      <c r="N4" s="54" t="s">
        <v>267</v>
      </c>
      <c r="O4" s="54" t="s">
        <v>271</v>
      </c>
      <c r="P4" s="54"/>
      <c r="Q4" s="54"/>
      <c r="R4" s="54"/>
      <c r="S4" s="54"/>
      <c r="T4" s="54"/>
      <c r="U4" s="54"/>
      <c r="V4" s="54" t="s">
        <v>230</v>
      </c>
      <c r="W4" s="54">
        <v>1027</v>
      </c>
      <c r="X4" s="54" t="s">
        <v>245</v>
      </c>
      <c r="Y4" s="54" t="s">
        <v>72</v>
      </c>
      <c r="Z4" s="54" t="s">
        <v>290</v>
      </c>
      <c r="AA4" s="54" t="s">
        <v>291</v>
      </c>
      <c r="AB4" s="55">
        <v>46414</v>
      </c>
      <c r="AC4" s="54" t="s">
        <v>230</v>
      </c>
      <c r="AD4" s="54"/>
    </row>
    <row r="5" spans="1:30" hidden="1" x14ac:dyDescent="0.25">
      <c r="A5" s="54" t="s">
        <v>115</v>
      </c>
      <c r="B5" s="54" t="s">
        <v>255</v>
      </c>
      <c r="C5" s="54">
        <v>1</v>
      </c>
      <c r="D5" s="54" t="s">
        <v>232</v>
      </c>
      <c r="E5" s="54" t="s">
        <v>238</v>
      </c>
      <c r="F5" s="54" t="s">
        <v>242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268</v>
      </c>
      <c r="N5" s="54" t="s">
        <v>267</v>
      </c>
      <c r="O5" s="54" t="s">
        <v>271</v>
      </c>
      <c r="P5" s="54"/>
      <c r="Q5" s="54"/>
      <c r="R5" s="54"/>
      <c r="S5" s="54"/>
      <c r="T5" s="54"/>
      <c r="U5" s="54"/>
      <c r="V5" s="54" t="s">
        <v>230</v>
      </c>
      <c r="W5" s="54">
        <v>1027</v>
      </c>
      <c r="X5" s="54">
        <v>9</v>
      </c>
      <c r="Y5" s="54" t="s">
        <v>72</v>
      </c>
      <c r="Z5" s="54" t="s">
        <v>290</v>
      </c>
      <c r="AA5" s="54" t="s">
        <v>291</v>
      </c>
      <c r="AB5" s="55">
        <v>46416</v>
      </c>
      <c r="AC5" s="54" t="s">
        <v>230</v>
      </c>
      <c r="AD5" s="54"/>
    </row>
    <row r="6" spans="1:30" hidden="1" x14ac:dyDescent="0.25">
      <c r="A6" s="54" t="s">
        <v>115</v>
      </c>
      <c r="B6" s="54" t="s">
        <v>255</v>
      </c>
      <c r="C6" s="54">
        <v>1</v>
      </c>
      <c r="D6" s="54">
        <v>1700</v>
      </c>
      <c r="E6" s="54" t="s">
        <v>238</v>
      </c>
      <c r="F6" s="54" t="s">
        <v>242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268</v>
      </c>
      <c r="N6" s="54" t="s">
        <v>267</v>
      </c>
      <c r="O6" s="54" t="s">
        <v>271</v>
      </c>
      <c r="P6" s="54"/>
      <c r="Q6" s="54"/>
      <c r="R6" s="54"/>
      <c r="S6" s="54"/>
      <c r="T6" s="54"/>
      <c r="U6" s="54"/>
      <c r="V6" s="54" t="s">
        <v>230</v>
      </c>
      <c r="W6" s="54">
        <v>1027</v>
      </c>
      <c r="X6" s="54">
        <v>17</v>
      </c>
      <c r="Y6" s="54" t="s">
        <v>72</v>
      </c>
      <c r="Z6" s="54" t="s">
        <v>290</v>
      </c>
      <c r="AA6" s="54" t="s">
        <v>291</v>
      </c>
      <c r="AB6" s="55">
        <v>46417</v>
      </c>
      <c r="AC6" s="54" t="s">
        <v>230</v>
      </c>
      <c r="AD6" s="54"/>
    </row>
    <row r="7" spans="1:30" hidden="1" x14ac:dyDescent="0.25">
      <c r="A7" s="54" t="s">
        <v>115</v>
      </c>
      <c r="B7" s="54" t="s">
        <v>255</v>
      </c>
      <c r="C7" s="54">
        <v>1</v>
      </c>
      <c r="D7" s="54">
        <v>1700</v>
      </c>
      <c r="E7" s="54" t="s">
        <v>239</v>
      </c>
      <c r="F7" s="54" t="s">
        <v>242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268</v>
      </c>
      <c r="N7" s="54" t="s">
        <v>267</v>
      </c>
      <c r="O7" s="54" t="s">
        <v>271</v>
      </c>
      <c r="P7" s="54"/>
      <c r="Q7" s="54"/>
      <c r="R7" s="54"/>
      <c r="S7" s="54"/>
      <c r="T7" s="54"/>
      <c r="U7" s="54"/>
      <c r="V7" s="54" t="s">
        <v>230</v>
      </c>
      <c r="W7" s="54">
        <v>1027</v>
      </c>
      <c r="X7" s="54">
        <v>7</v>
      </c>
      <c r="Y7" s="54" t="s">
        <v>72</v>
      </c>
      <c r="Z7" s="54" t="s">
        <v>290</v>
      </c>
      <c r="AA7" s="54" t="s">
        <v>291</v>
      </c>
      <c r="AB7" s="55">
        <v>46420</v>
      </c>
      <c r="AC7" s="54" t="s">
        <v>230</v>
      </c>
      <c r="AD7" s="54"/>
    </row>
    <row r="8" spans="1:30" hidden="1" x14ac:dyDescent="0.25">
      <c r="A8" s="54" t="s">
        <v>115</v>
      </c>
      <c r="B8" s="54" t="s">
        <v>255</v>
      </c>
      <c r="C8" s="54">
        <v>1</v>
      </c>
      <c r="D8" s="54">
        <v>1700</v>
      </c>
      <c r="E8" s="54" t="s">
        <v>239</v>
      </c>
      <c r="F8" s="54" t="s">
        <v>226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267</v>
      </c>
      <c r="N8" s="54" t="s">
        <v>270</v>
      </c>
      <c r="O8" s="54" t="s">
        <v>271</v>
      </c>
      <c r="P8" s="54" t="s">
        <v>275</v>
      </c>
      <c r="Q8" s="54" t="s">
        <v>276</v>
      </c>
      <c r="R8" s="54"/>
      <c r="S8" s="54"/>
      <c r="T8" s="54"/>
      <c r="U8" s="54"/>
      <c r="V8" s="54" t="s">
        <v>230</v>
      </c>
      <c r="W8" s="54">
        <v>1027</v>
      </c>
      <c r="X8" s="54">
        <v>2</v>
      </c>
      <c r="Y8" s="54" t="s">
        <v>72</v>
      </c>
      <c r="Z8" s="54" t="s">
        <v>290</v>
      </c>
      <c r="AA8" s="54" t="s">
        <v>291</v>
      </c>
      <c r="AB8" s="55">
        <v>46408</v>
      </c>
      <c r="AC8" s="54" t="s">
        <v>230</v>
      </c>
      <c r="AD8" s="54"/>
    </row>
    <row r="9" spans="1:30" hidden="1" x14ac:dyDescent="0.25">
      <c r="A9" s="54" t="s">
        <v>115</v>
      </c>
      <c r="B9" s="54" t="s">
        <v>255</v>
      </c>
      <c r="C9" s="54">
        <v>1</v>
      </c>
      <c r="D9" s="54">
        <v>1700</v>
      </c>
      <c r="E9" s="54" t="s">
        <v>240</v>
      </c>
      <c r="F9" s="54" t="s">
        <v>242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268</v>
      </c>
      <c r="N9" s="54" t="s">
        <v>267</v>
      </c>
      <c r="O9" s="54" t="s">
        <v>271</v>
      </c>
      <c r="P9" s="54"/>
      <c r="Q9" s="54"/>
      <c r="R9" s="54"/>
      <c r="S9" s="54"/>
      <c r="T9" s="54"/>
      <c r="U9" s="54"/>
      <c r="V9" s="54" t="s">
        <v>230</v>
      </c>
      <c r="W9" s="54">
        <v>1027</v>
      </c>
      <c r="X9" s="54">
        <v>3</v>
      </c>
      <c r="Y9" s="54" t="s">
        <v>72</v>
      </c>
      <c r="Z9" s="54" t="s">
        <v>290</v>
      </c>
      <c r="AA9" s="54" t="s">
        <v>291</v>
      </c>
      <c r="AB9" s="55">
        <v>46421</v>
      </c>
      <c r="AC9" s="54" t="s">
        <v>230</v>
      </c>
      <c r="AD9" s="54"/>
    </row>
    <row r="10" spans="1:30" hidden="1" x14ac:dyDescent="0.25">
      <c r="A10" s="54" t="s">
        <v>115</v>
      </c>
      <c r="B10" s="54" t="s">
        <v>255</v>
      </c>
      <c r="C10" s="54">
        <v>1</v>
      </c>
      <c r="D10" s="54">
        <v>1700</v>
      </c>
      <c r="E10" s="54" t="s">
        <v>240</v>
      </c>
      <c r="F10" s="54" t="s">
        <v>226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267</v>
      </c>
      <c r="N10" s="54" t="s">
        <v>270</v>
      </c>
      <c r="O10" s="54" t="s">
        <v>271</v>
      </c>
      <c r="P10" s="54" t="s">
        <v>275</v>
      </c>
      <c r="Q10" s="54" t="s">
        <v>276</v>
      </c>
      <c r="R10" s="54"/>
      <c r="S10" s="54"/>
      <c r="T10" s="54"/>
      <c r="U10" s="54"/>
      <c r="V10" s="54" t="s">
        <v>230</v>
      </c>
      <c r="W10" s="54">
        <v>1027</v>
      </c>
      <c r="X10" s="54">
        <v>10</v>
      </c>
      <c r="Y10" s="54" t="s">
        <v>72</v>
      </c>
      <c r="Z10" s="54" t="s">
        <v>290</v>
      </c>
      <c r="AA10" s="54" t="s">
        <v>291</v>
      </c>
      <c r="AB10" s="55">
        <v>46403</v>
      </c>
      <c r="AC10" s="54" t="s">
        <v>230</v>
      </c>
      <c r="AD10" s="54"/>
    </row>
    <row r="11" spans="1:30" hidden="1" x14ac:dyDescent="0.25">
      <c r="A11" s="54" t="s">
        <v>115</v>
      </c>
      <c r="B11" s="54" t="s">
        <v>255</v>
      </c>
      <c r="C11" s="54">
        <v>1</v>
      </c>
      <c r="D11" s="54">
        <v>1700</v>
      </c>
      <c r="E11" s="54" t="s">
        <v>241</v>
      </c>
      <c r="F11" s="54" t="s">
        <v>242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268</v>
      </c>
      <c r="N11" s="54" t="s">
        <v>267</v>
      </c>
      <c r="O11" s="54" t="s">
        <v>271</v>
      </c>
      <c r="P11" s="54"/>
      <c r="Q11" s="54"/>
      <c r="R11" s="54"/>
      <c r="S11" s="54"/>
      <c r="T11" s="54"/>
      <c r="U11" s="54"/>
      <c r="V11" s="54" t="s">
        <v>230</v>
      </c>
      <c r="W11" s="54">
        <v>1027</v>
      </c>
      <c r="X11" s="54">
        <v>20</v>
      </c>
      <c r="Y11" s="54" t="s">
        <v>72</v>
      </c>
      <c r="Z11" s="54" t="s">
        <v>290</v>
      </c>
      <c r="AA11" s="54" t="s">
        <v>291</v>
      </c>
      <c r="AB11" s="55">
        <v>46423</v>
      </c>
      <c r="AC11" s="54" t="s">
        <v>230</v>
      </c>
      <c r="AD11" s="54"/>
    </row>
    <row r="12" spans="1:30" hidden="1" x14ac:dyDescent="0.25">
      <c r="A12" s="54" t="s">
        <v>115</v>
      </c>
      <c r="B12" s="54" t="s">
        <v>235</v>
      </c>
      <c r="C12" s="54">
        <v>1</v>
      </c>
      <c r="D12" s="54">
        <v>1700</v>
      </c>
      <c r="E12" s="54" t="s">
        <v>241</v>
      </c>
      <c r="F12" s="54" t="s">
        <v>226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267</v>
      </c>
      <c r="N12" s="54" t="s">
        <v>269</v>
      </c>
      <c r="O12" s="54" t="s">
        <v>270</v>
      </c>
      <c r="P12" s="54" t="s">
        <v>272</v>
      </c>
      <c r="Q12" s="54" t="s">
        <v>273</v>
      </c>
      <c r="R12" s="54" t="s">
        <v>274</v>
      </c>
      <c r="S12" s="54" t="s">
        <v>271</v>
      </c>
      <c r="T12" s="54" t="s">
        <v>275</v>
      </c>
      <c r="U12" s="54" t="s">
        <v>276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290</v>
      </c>
      <c r="AA12" s="54" t="s">
        <v>291</v>
      </c>
      <c r="AB12" s="55">
        <v>46406</v>
      </c>
      <c r="AC12" s="54" t="s">
        <v>230</v>
      </c>
      <c r="AD12" s="54"/>
    </row>
    <row r="13" spans="1:30" hidden="1" x14ac:dyDescent="0.25">
      <c r="A13" s="54" t="s">
        <v>115</v>
      </c>
      <c r="B13" s="54" t="s">
        <v>256</v>
      </c>
      <c r="C13" s="54">
        <v>1</v>
      </c>
      <c r="D13" s="54">
        <v>1700</v>
      </c>
      <c r="E13" s="54" t="s">
        <v>240</v>
      </c>
      <c r="F13" s="54" t="s">
        <v>246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268</v>
      </c>
      <c r="N13" s="54" t="s">
        <v>267</v>
      </c>
      <c r="O13" s="54" t="s">
        <v>271</v>
      </c>
      <c r="P13" s="54"/>
      <c r="Q13" s="54"/>
      <c r="R13" s="54"/>
      <c r="S13" s="54"/>
      <c r="T13" s="54"/>
      <c r="U13" s="54"/>
      <c r="V13" s="54" t="s">
        <v>230</v>
      </c>
      <c r="W13" s="54">
        <v>1027</v>
      </c>
      <c r="X13" s="54" t="s">
        <v>247</v>
      </c>
      <c r="Y13" s="54" t="s">
        <v>72</v>
      </c>
      <c r="Z13" s="54" t="s">
        <v>290</v>
      </c>
      <c r="AA13" s="54" t="s">
        <v>291</v>
      </c>
      <c r="AB13" s="55">
        <v>46424</v>
      </c>
      <c r="AC13" s="54" t="s">
        <v>230</v>
      </c>
      <c r="AD13" s="54"/>
    </row>
    <row r="14" spans="1:30" hidden="1" x14ac:dyDescent="0.25">
      <c r="A14" s="54" t="s">
        <v>115</v>
      </c>
      <c r="B14" s="54" t="s">
        <v>254</v>
      </c>
      <c r="C14" s="54">
        <v>1</v>
      </c>
      <c r="D14" s="54" t="s">
        <v>232</v>
      </c>
      <c r="E14" s="54" t="s">
        <v>237</v>
      </c>
      <c r="F14" s="54" t="s">
        <v>226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267</v>
      </c>
      <c r="N14" s="54" t="s">
        <v>269</v>
      </c>
      <c r="O14" s="54" t="s">
        <v>270</v>
      </c>
      <c r="P14" s="54" t="s">
        <v>272</v>
      </c>
      <c r="Q14" s="54" t="s">
        <v>273</v>
      </c>
      <c r="R14" s="54" t="s">
        <v>274</v>
      </c>
      <c r="S14" s="54" t="s">
        <v>271</v>
      </c>
      <c r="T14" s="54" t="s">
        <v>275</v>
      </c>
      <c r="U14" s="54" t="s">
        <v>276</v>
      </c>
      <c r="V14" s="54" t="s">
        <v>151</v>
      </c>
      <c r="W14" s="54">
        <v>1027</v>
      </c>
      <c r="X14" s="54" t="s">
        <v>234</v>
      </c>
      <c r="Y14" s="54" t="s">
        <v>72</v>
      </c>
      <c r="Z14" s="54" t="s">
        <v>290</v>
      </c>
      <c r="AA14" s="54" t="s">
        <v>291</v>
      </c>
      <c r="AB14" s="55">
        <v>46426</v>
      </c>
      <c r="AC14" s="54" t="s">
        <v>230</v>
      </c>
      <c r="AD14" s="54"/>
    </row>
    <row r="15" spans="1:30" hidden="1" x14ac:dyDescent="0.25">
      <c r="A15" s="54" t="s">
        <v>115</v>
      </c>
      <c r="B15" s="54" t="s">
        <v>254</v>
      </c>
      <c r="C15" s="54">
        <v>1</v>
      </c>
      <c r="D15" s="54">
        <v>1700</v>
      </c>
      <c r="E15" s="54" t="s">
        <v>238</v>
      </c>
      <c r="F15" s="54" t="s">
        <v>242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268</v>
      </c>
      <c r="N15" s="54" t="s">
        <v>267</v>
      </c>
      <c r="O15" s="54" t="s">
        <v>271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248</v>
      </c>
      <c r="Y15" s="54" t="s">
        <v>72</v>
      </c>
      <c r="Z15" s="54" t="s">
        <v>290</v>
      </c>
      <c r="AA15" s="54" t="s">
        <v>291</v>
      </c>
      <c r="AB15" s="55">
        <v>46427</v>
      </c>
      <c r="AC15" s="54" t="s">
        <v>230</v>
      </c>
      <c r="AD15" s="54"/>
    </row>
    <row r="16" spans="1:30" hidden="1" x14ac:dyDescent="0.25">
      <c r="A16" s="54" t="s">
        <v>115</v>
      </c>
      <c r="B16" s="54" t="s">
        <v>254</v>
      </c>
      <c r="C16" s="54">
        <v>1</v>
      </c>
      <c r="D16" s="54">
        <v>1700</v>
      </c>
      <c r="E16" s="54" t="s">
        <v>239</v>
      </c>
      <c r="F16" s="54" t="s">
        <v>226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267</v>
      </c>
      <c r="N16" s="54" t="s">
        <v>269</v>
      </c>
      <c r="O16" s="54" t="s">
        <v>270</v>
      </c>
      <c r="P16" s="54" t="s">
        <v>272</v>
      </c>
      <c r="Q16" s="54" t="s">
        <v>273</v>
      </c>
      <c r="R16" s="54" t="s">
        <v>274</v>
      </c>
      <c r="S16" s="54" t="s">
        <v>271</v>
      </c>
      <c r="T16" s="54" t="s">
        <v>275</v>
      </c>
      <c r="U16" s="54" t="s">
        <v>276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290</v>
      </c>
      <c r="AA16" s="54" t="s">
        <v>291</v>
      </c>
      <c r="AB16" s="55">
        <v>46428</v>
      </c>
      <c r="AC16" s="54" t="s">
        <v>230</v>
      </c>
      <c r="AD16" s="54"/>
    </row>
    <row r="17" spans="1:30" hidden="1" x14ac:dyDescent="0.25">
      <c r="A17" s="54" t="s">
        <v>115</v>
      </c>
      <c r="B17" s="54" t="s">
        <v>254</v>
      </c>
      <c r="C17" s="54">
        <v>1</v>
      </c>
      <c r="D17" s="54">
        <v>1700</v>
      </c>
      <c r="E17" s="54" t="s">
        <v>240</v>
      </c>
      <c r="F17" s="54" t="s">
        <v>242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268</v>
      </c>
      <c r="N17" s="54" t="s">
        <v>267</v>
      </c>
      <c r="O17" s="54" t="s">
        <v>271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290</v>
      </c>
      <c r="AA17" s="54" t="s">
        <v>291</v>
      </c>
      <c r="AB17" s="55">
        <v>46430</v>
      </c>
      <c r="AC17" s="54" t="s">
        <v>230</v>
      </c>
      <c r="AD17" s="54"/>
    </row>
    <row r="18" spans="1:30" hidden="1" x14ac:dyDescent="0.25">
      <c r="A18" s="54" t="s">
        <v>115</v>
      </c>
      <c r="B18" s="54" t="s">
        <v>254</v>
      </c>
      <c r="C18" s="54">
        <v>1</v>
      </c>
      <c r="D18" s="54">
        <v>1700</v>
      </c>
      <c r="E18" s="54" t="s">
        <v>241</v>
      </c>
      <c r="F18" s="54" t="s">
        <v>242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268</v>
      </c>
      <c r="N18" s="54" t="s">
        <v>267</v>
      </c>
      <c r="O18" s="54" t="s">
        <v>271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290</v>
      </c>
      <c r="AA18" s="54" t="s">
        <v>291</v>
      </c>
      <c r="AB18" s="55">
        <v>46431</v>
      </c>
      <c r="AC18" s="54" t="s">
        <v>230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296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290</v>
      </c>
      <c r="AA19" s="56" t="s">
        <v>291</v>
      </c>
      <c r="AB19" s="55">
        <v>46122</v>
      </c>
      <c r="AC19" s="54" t="s">
        <v>294</v>
      </c>
      <c r="AD19" s="54" t="s">
        <v>295</v>
      </c>
    </row>
    <row r="20" spans="1:30" x14ac:dyDescent="0.25">
      <c r="A20" s="54" t="s">
        <v>180</v>
      </c>
      <c r="B20" s="54"/>
      <c r="C20" s="54">
        <v>1</v>
      </c>
      <c r="D20" s="54" t="s">
        <v>296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290</v>
      </c>
      <c r="AA20" s="56" t="s">
        <v>291</v>
      </c>
      <c r="AB20" s="55">
        <v>46122</v>
      </c>
      <c r="AC20" s="54" t="s">
        <v>294</v>
      </c>
      <c r="AD20" s="54" t="s">
        <v>295</v>
      </c>
    </row>
    <row r="21" spans="1:30" x14ac:dyDescent="0.25">
      <c r="A21" s="54" t="s">
        <v>180</v>
      </c>
      <c r="B21" s="54"/>
      <c r="C21" s="54"/>
      <c r="D21" s="54" t="s">
        <v>296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290</v>
      </c>
      <c r="AA21" s="56" t="s">
        <v>291</v>
      </c>
      <c r="AB21" s="55">
        <v>46122</v>
      </c>
      <c r="AC21" s="54" t="s">
        <v>294</v>
      </c>
      <c r="AD21" s="54" t="s">
        <v>300</v>
      </c>
    </row>
    <row r="22" spans="1:30" x14ac:dyDescent="0.25">
      <c r="A22" s="54" t="s">
        <v>180</v>
      </c>
      <c r="B22" s="54" t="s">
        <v>297</v>
      </c>
      <c r="C22" s="54">
        <v>1</v>
      </c>
      <c r="D22" s="54" t="s">
        <v>296</v>
      </c>
      <c r="E22" s="54" t="s">
        <v>298</v>
      </c>
      <c r="F22" s="54" t="s">
        <v>242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268</v>
      </c>
      <c r="N22" s="56" t="s">
        <v>267</v>
      </c>
      <c r="O22" s="54" t="s">
        <v>271</v>
      </c>
      <c r="P22" s="54"/>
      <c r="Q22" s="54"/>
      <c r="R22" s="54"/>
      <c r="S22" s="54"/>
      <c r="T22" s="54"/>
      <c r="U22" s="54"/>
      <c r="V22" s="54" t="s">
        <v>233</v>
      </c>
      <c r="W22" s="54">
        <v>1005</v>
      </c>
      <c r="X22" s="54">
        <v>30</v>
      </c>
      <c r="Y22" s="54" t="s">
        <v>69</v>
      </c>
      <c r="Z22" s="56" t="s">
        <v>290</v>
      </c>
      <c r="AA22" s="56" t="s">
        <v>291</v>
      </c>
      <c r="AB22" s="55">
        <v>46122</v>
      </c>
      <c r="AC22" s="54" t="s">
        <v>294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296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290</v>
      </c>
      <c r="AA23" s="56" t="s">
        <v>291</v>
      </c>
      <c r="AB23" s="55">
        <v>46122</v>
      </c>
      <c r="AC23" s="54" t="s">
        <v>294</v>
      </c>
      <c r="AD23" s="54" t="s">
        <v>295</v>
      </c>
    </row>
    <row r="24" spans="1:30" x14ac:dyDescent="0.25">
      <c r="A24" s="54" t="s">
        <v>180</v>
      </c>
      <c r="B24" s="54" t="s">
        <v>299</v>
      </c>
      <c r="C24" s="54">
        <v>1</v>
      </c>
      <c r="D24" s="54" t="s">
        <v>296</v>
      </c>
      <c r="E24" s="54" t="s">
        <v>240</v>
      </c>
      <c r="F24" s="54" t="s">
        <v>242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268</v>
      </c>
      <c r="N24" s="56" t="s">
        <v>267</v>
      </c>
      <c r="O24" s="54" t="s">
        <v>271</v>
      </c>
      <c r="P24" s="54"/>
      <c r="Q24" s="54"/>
      <c r="R24" s="54"/>
      <c r="S24" s="54"/>
      <c r="T24" s="54"/>
      <c r="U24" s="54"/>
      <c r="V24" s="54" t="s">
        <v>233</v>
      </c>
      <c r="W24" s="54">
        <v>1005</v>
      </c>
      <c r="X24" s="54">
        <v>26</v>
      </c>
      <c r="Y24" s="54" t="s">
        <v>69</v>
      </c>
      <c r="Z24" s="56" t="s">
        <v>290</v>
      </c>
      <c r="AA24" s="56" t="s">
        <v>291</v>
      </c>
      <c r="AB24" s="55">
        <v>46122</v>
      </c>
      <c r="AC24" s="54" t="s">
        <v>294</v>
      </c>
      <c r="AD24" s="54"/>
    </row>
    <row r="25" spans="1:30" x14ac:dyDescent="0.25">
      <c r="A25" s="54" t="s">
        <v>180</v>
      </c>
      <c r="B25" s="54" t="s">
        <v>299</v>
      </c>
      <c r="C25" s="54">
        <v>1</v>
      </c>
      <c r="D25" s="54" t="s">
        <v>296</v>
      </c>
      <c r="E25" s="54" t="s">
        <v>241</v>
      </c>
      <c r="F25" s="54" t="s">
        <v>242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268</v>
      </c>
      <c r="N25" s="56" t="s">
        <v>267</v>
      </c>
      <c r="O25" s="54" t="s">
        <v>271</v>
      </c>
      <c r="P25" s="54"/>
      <c r="Q25" s="54"/>
      <c r="R25" s="54"/>
      <c r="S25" s="54"/>
      <c r="T25" s="54"/>
      <c r="U25" s="54"/>
      <c r="V25" s="54" t="s">
        <v>233</v>
      </c>
      <c r="W25" s="54">
        <v>1005</v>
      </c>
      <c r="X25" s="54">
        <v>23</v>
      </c>
      <c r="Y25" s="54" t="s">
        <v>69</v>
      </c>
      <c r="Z25" s="56" t="s">
        <v>290</v>
      </c>
      <c r="AA25" s="56" t="s">
        <v>291</v>
      </c>
      <c r="AB25" s="55">
        <v>46122</v>
      </c>
      <c r="AC25" s="54" t="s">
        <v>294</v>
      </c>
      <c r="AD25" s="54"/>
    </row>
    <row r="26" spans="1:30" x14ac:dyDescent="0.25">
      <c r="A26" s="54" t="s">
        <v>180</v>
      </c>
      <c r="B26" s="54" t="s">
        <v>299</v>
      </c>
      <c r="C26" s="54">
        <v>1</v>
      </c>
      <c r="D26" s="54" t="s">
        <v>296</v>
      </c>
      <c r="E26" s="54" t="s">
        <v>237</v>
      </c>
      <c r="F26" s="54" t="s">
        <v>242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268</v>
      </c>
      <c r="N26" s="56" t="s">
        <v>267</v>
      </c>
      <c r="O26" s="54" t="s">
        <v>271</v>
      </c>
      <c r="P26" s="54"/>
      <c r="Q26" s="54"/>
      <c r="R26" s="54"/>
      <c r="S26" s="54"/>
      <c r="T26" s="54"/>
      <c r="U26" s="54"/>
      <c r="V26" s="54" t="s">
        <v>233</v>
      </c>
      <c r="W26" s="54">
        <v>1005</v>
      </c>
      <c r="X26" s="54">
        <v>31</v>
      </c>
      <c r="Y26" s="54" t="s">
        <v>69</v>
      </c>
      <c r="Z26" s="56" t="s">
        <v>290</v>
      </c>
      <c r="AA26" s="56" t="s">
        <v>291</v>
      </c>
      <c r="AB26" s="55">
        <v>46122</v>
      </c>
      <c r="AC26" s="54" t="s">
        <v>294</v>
      </c>
      <c r="AD26" s="54"/>
    </row>
    <row r="27" spans="1:30" x14ac:dyDescent="0.25">
      <c r="A27" s="54" t="s">
        <v>180</v>
      </c>
      <c r="B27" s="54" t="s">
        <v>297</v>
      </c>
      <c r="C27" s="54">
        <v>1</v>
      </c>
      <c r="D27" s="54" t="s">
        <v>296</v>
      </c>
      <c r="E27" s="54" t="s">
        <v>240</v>
      </c>
      <c r="F27" s="54" t="s">
        <v>242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268</v>
      </c>
      <c r="N27" s="56" t="s">
        <v>267</v>
      </c>
      <c r="O27" s="54" t="s">
        <v>271</v>
      </c>
      <c r="P27" s="54"/>
      <c r="Q27" s="54"/>
      <c r="R27" s="54"/>
      <c r="S27" s="54"/>
      <c r="T27" s="54"/>
      <c r="U27" s="54"/>
      <c r="V27" s="54" t="s">
        <v>233</v>
      </c>
      <c r="W27" s="54">
        <v>1005</v>
      </c>
      <c r="X27" s="54">
        <v>33</v>
      </c>
      <c r="Y27" s="54" t="s">
        <v>69</v>
      </c>
      <c r="Z27" s="56" t="s">
        <v>290</v>
      </c>
      <c r="AA27" s="56" t="s">
        <v>291</v>
      </c>
      <c r="AB27" s="55">
        <v>46122</v>
      </c>
      <c r="AC27" s="54" t="s">
        <v>294</v>
      </c>
      <c r="AD27" s="54"/>
    </row>
    <row r="28" spans="1:30" x14ac:dyDescent="0.25">
      <c r="A28" s="54" t="s">
        <v>180</v>
      </c>
      <c r="B28" s="54" t="s">
        <v>297</v>
      </c>
      <c r="C28" s="54">
        <v>1</v>
      </c>
      <c r="D28" s="54" t="s">
        <v>296</v>
      </c>
      <c r="E28" s="54" t="s">
        <v>238</v>
      </c>
      <c r="F28" s="54" t="s">
        <v>242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268</v>
      </c>
      <c r="N28" s="56" t="s">
        <v>267</v>
      </c>
      <c r="O28" s="54" t="s">
        <v>271</v>
      </c>
      <c r="P28" s="54"/>
      <c r="Q28" s="54"/>
      <c r="R28" s="54"/>
      <c r="S28" s="54"/>
      <c r="T28" s="54"/>
      <c r="U28" s="54"/>
      <c r="V28" s="54" t="s">
        <v>233</v>
      </c>
      <c r="W28" s="54">
        <v>1005</v>
      </c>
      <c r="X28" s="54">
        <v>17</v>
      </c>
      <c r="Y28" s="54" t="s">
        <v>69</v>
      </c>
      <c r="Z28" s="56" t="s">
        <v>290</v>
      </c>
      <c r="AA28" s="56" t="s">
        <v>291</v>
      </c>
      <c r="AB28" s="55">
        <v>46122</v>
      </c>
      <c r="AC28" s="54" t="s">
        <v>294</v>
      </c>
      <c r="AD28" s="54"/>
    </row>
    <row r="29" spans="1:30" x14ac:dyDescent="0.25">
      <c r="A29" s="54" t="s">
        <v>180</v>
      </c>
      <c r="B29" s="54" t="s">
        <v>299</v>
      </c>
      <c r="C29" s="54">
        <v>1</v>
      </c>
      <c r="D29" s="54" t="s">
        <v>296</v>
      </c>
      <c r="E29" s="54" t="s">
        <v>238</v>
      </c>
      <c r="F29" s="54" t="s">
        <v>242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268</v>
      </c>
      <c r="N29" s="56" t="s">
        <v>267</v>
      </c>
      <c r="O29" s="54" t="s">
        <v>271</v>
      </c>
      <c r="P29" s="54"/>
      <c r="Q29" s="54"/>
      <c r="R29" s="54"/>
      <c r="S29" s="54"/>
      <c r="T29" s="54"/>
      <c r="U29" s="54"/>
      <c r="V29" s="54" t="s">
        <v>233</v>
      </c>
      <c r="W29" s="54">
        <v>1005</v>
      </c>
      <c r="X29" s="54">
        <v>7</v>
      </c>
      <c r="Y29" s="54" t="s">
        <v>69</v>
      </c>
      <c r="Z29" s="56" t="s">
        <v>290</v>
      </c>
      <c r="AA29" s="56" t="s">
        <v>291</v>
      </c>
      <c r="AB29" s="55">
        <v>46122</v>
      </c>
      <c r="AC29" s="54" t="s">
        <v>294</v>
      </c>
      <c r="AD29" s="54"/>
    </row>
    <row r="30" spans="1:30" x14ac:dyDescent="0.25">
      <c r="A30" s="54" t="s">
        <v>180</v>
      </c>
      <c r="B30" s="54" t="s">
        <v>299</v>
      </c>
      <c r="C30" s="54">
        <v>1</v>
      </c>
      <c r="D30" s="54" t="s">
        <v>296</v>
      </c>
      <c r="E30" s="54" t="s">
        <v>241</v>
      </c>
      <c r="F30" s="54" t="s">
        <v>242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268</v>
      </c>
      <c r="N30" s="56" t="s">
        <v>267</v>
      </c>
      <c r="O30" s="54" t="s">
        <v>271</v>
      </c>
      <c r="P30" s="54"/>
      <c r="Q30" s="54"/>
      <c r="R30" s="54"/>
      <c r="S30" s="54"/>
      <c r="T30" s="54"/>
      <c r="U30" s="54"/>
      <c r="V30" s="54" t="s">
        <v>233</v>
      </c>
      <c r="W30" s="54">
        <v>1005</v>
      </c>
      <c r="X30" s="54">
        <v>13</v>
      </c>
      <c r="Y30" s="54" t="s">
        <v>69</v>
      </c>
      <c r="Z30" s="56" t="s">
        <v>290</v>
      </c>
      <c r="AA30" s="56" t="s">
        <v>291</v>
      </c>
      <c r="AB30" s="55">
        <v>46122</v>
      </c>
      <c r="AC30" s="54" t="s">
        <v>294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296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290</v>
      </c>
      <c r="AA31" s="56" t="s">
        <v>291</v>
      </c>
      <c r="AB31" s="55">
        <v>46122</v>
      </c>
      <c r="AC31" s="54" t="s">
        <v>294</v>
      </c>
      <c r="AD31" s="54" t="s">
        <v>300</v>
      </c>
    </row>
    <row r="32" spans="1:30" x14ac:dyDescent="0.25">
      <c r="A32" s="54" t="s">
        <v>180</v>
      </c>
      <c r="B32" s="54" t="s">
        <v>299</v>
      </c>
      <c r="C32" s="54">
        <v>1</v>
      </c>
      <c r="D32" s="54" t="s">
        <v>296</v>
      </c>
      <c r="E32" s="54" t="s">
        <v>238</v>
      </c>
      <c r="F32" s="54" t="s">
        <v>242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268</v>
      </c>
      <c r="N32" s="56" t="s">
        <v>267</v>
      </c>
      <c r="O32" s="54" t="s">
        <v>271</v>
      </c>
      <c r="P32" s="54"/>
      <c r="Q32" s="54"/>
      <c r="R32" s="54"/>
      <c r="S32" s="54"/>
      <c r="T32" s="54"/>
      <c r="U32" s="54"/>
      <c r="V32" s="54" t="s">
        <v>233</v>
      </c>
      <c r="W32" s="54">
        <v>1005</v>
      </c>
      <c r="X32" s="54">
        <v>32</v>
      </c>
      <c r="Y32" s="54" t="s">
        <v>69</v>
      </c>
      <c r="Z32" s="56" t="s">
        <v>290</v>
      </c>
      <c r="AA32" s="56" t="s">
        <v>291</v>
      </c>
      <c r="AB32" s="55">
        <v>46122</v>
      </c>
      <c r="AC32" s="54" t="s">
        <v>294</v>
      </c>
      <c r="AD32" s="54"/>
    </row>
    <row r="33" spans="1:30" x14ac:dyDescent="0.25">
      <c r="A33" s="54" t="s">
        <v>180</v>
      </c>
      <c r="B33" s="54" t="s">
        <v>299</v>
      </c>
      <c r="C33" s="54">
        <v>1</v>
      </c>
      <c r="D33" s="54" t="s">
        <v>296</v>
      </c>
      <c r="E33" s="54" t="s">
        <v>239</v>
      </c>
      <c r="F33" s="54" t="s">
        <v>242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268</v>
      </c>
      <c r="N33" s="56" t="s">
        <v>267</v>
      </c>
      <c r="O33" s="54" t="s">
        <v>271</v>
      </c>
      <c r="P33" s="54"/>
      <c r="Q33" s="54"/>
      <c r="R33" s="54"/>
      <c r="S33" s="54"/>
      <c r="T33" s="54"/>
      <c r="U33" s="54"/>
      <c r="V33" s="54" t="s">
        <v>233</v>
      </c>
      <c r="W33" s="54">
        <v>1005</v>
      </c>
      <c r="X33" s="54">
        <v>4</v>
      </c>
      <c r="Y33" s="54" t="s">
        <v>69</v>
      </c>
      <c r="Z33" s="56" t="s">
        <v>290</v>
      </c>
      <c r="AA33" s="56" t="s">
        <v>291</v>
      </c>
      <c r="AB33" s="55">
        <v>46122</v>
      </c>
      <c r="AC33" s="54" t="s">
        <v>294</v>
      </c>
      <c r="AD33" s="54"/>
    </row>
    <row r="34" spans="1:30" x14ac:dyDescent="0.25">
      <c r="A34" s="54" t="s">
        <v>180</v>
      </c>
      <c r="B34" s="54" t="s">
        <v>299</v>
      </c>
      <c r="C34" s="54">
        <v>1</v>
      </c>
      <c r="D34" s="54" t="s">
        <v>296</v>
      </c>
      <c r="E34" s="54" t="s">
        <v>240</v>
      </c>
      <c r="F34" s="54" t="s">
        <v>242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268</v>
      </c>
      <c r="N34" s="56" t="s">
        <v>267</v>
      </c>
      <c r="O34" s="54" t="s">
        <v>271</v>
      </c>
      <c r="P34" s="54"/>
      <c r="Q34" s="54"/>
      <c r="R34" s="54"/>
      <c r="S34" s="54"/>
      <c r="T34" s="54"/>
      <c r="U34" s="54"/>
      <c r="V34" s="54" t="s">
        <v>233</v>
      </c>
      <c r="W34" s="54">
        <v>1005</v>
      </c>
      <c r="X34" s="54">
        <v>5</v>
      </c>
      <c r="Y34" s="54" t="s">
        <v>69</v>
      </c>
      <c r="Z34" s="56" t="s">
        <v>290</v>
      </c>
      <c r="AA34" s="56" t="s">
        <v>291</v>
      </c>
      <c r="AB34" s="55">
        <v>46122</v>
      </c>
      <c r="AC34" s="54" t="s">
        <v>294</v>
      </c>
      <c r="AD34" s="54"/>
    </row>
    <row r="35" spans="1:30" x14ac:dyDescent="0.25">
      <c r="A35" s="54" t="s">
        <v>180</v>
      </c>
      <c r="B35" s="54" t="s">
        <v>299</v>
      </c>
      <c r="C35" s="54">
        <v>1</v>
      </c>
      <c r="D35" s="54" t="s">
        <v>296</v>
      </c>
      <c r="E35" s="54" t="s">
        <v>239</v>
      </c>
      <c r="F35" s="54" t="s">
        <v>242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268</v>
      </c>
      <c r="N35" s="56" t="s">
        <v>267</v>
      </c>
      <c r="O35" s="54" t="s">
        <v>271</v>
      </c>
      <c r="P35" s="54"/>
      <c r="Q35" s="54"/>
      <c r="R35" s="54"/>
      <c r="S35" s="54"/>
      <c r="T35" s="54"/>
      <c r="U35" s="54"/>
      <c r="V35" s="54" t="s">
        <v>233</v>
      </c>
      <c r="W35" s="54">
        <v>1005</v>
      </c>
      <c r="X35" s="54">
        <v>21</v>
      </c>
      <c r="Y35" s="54" t="s">
        <v>69</v>
      </c>
      <c r="Z35" s="56" t="s">
        <v>290</v>
      </c>
      <c r="AA35" s="56" t="s">
        <v>291</v>
      </c>
      <c r="AB35" s="55">
        <v>46122</v>
      </c>
      <c r="AC35" s="54" t="s">
        <v>294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24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24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174</v>
      </c>
      <c r="D6" s="23">
        <v>299374</v>
      </c>
      <c r="E6" s="24" t="s">
        <v>207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176</v>
      </c>
      <c r="D7" s="23">
        <v>1281005</v>
      </c>
      <c r="E7" s="24" t="s">
        <v>201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185</v>
      </c>
      <c r="R7" s="50"/>
    </row>
    <row r="8" spans="1:18" x14ac:dyDescent="0.25">
      <c r="A8" s="47">
        <v>27473</v>
      </c>
      <c r="B8" s="47">
        <v>2</v>
      </c>
      <c r="C8" s="48" t="s">
        <v>176</v>
      </c>
      <c r="D8" s="23">
        <v>1281006</v>
      </c>
      <c r="E8" s="24" t="s">
        <v>202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186</v>
      </c>
      <c r="R8" s="50"/>
    </row>
    <row r="9" spans="1:18" x14ac:dyDescent="0.25">
      <c r="A9" s="47">
        <v>27473</v>
      </c>
      <c r="B9" s="47">
        <v>3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187</v>
      </c>
      <c r="R9" s="50"/>
    </row>
    <row r="10" spans="1:18" x14ac:dyDescent="0.25">
      <c r="A10" s="47">
        <v>27473</v>
      </c>
      <c r="B10" s="47">
        <v>4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187</v>
      </c>
      <c r="R10" s="50"/>
    </row>
    <row r="11" spans="1:18" x14ac:dyDescent="0.25">
      <c r="A11" s="47">
        <v>27473</v>
      </c>
      <c r="B11" s="47">
        <v>5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187</v>
      </c>
      <c r="R11" s="50"/>
    </row>
    <row r="12" spans="1:18" x14ac:dyDescent="0.25">
      <c r="A12" s="47">
        <v>27473</v>
      </c>
      <c r="B12" s="47">
        <v>6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187</v>
      </c>
      <c r="R12" s="50"/>
    </row>
    <row r="13" spans="1:18" x14ac:dyDescent="0.25">
      <c r="A13" s="47">
        <v>27473</v>
      </c>
      <c r="B13" s="47">
        <v>7</v>
      </c>
      <c r="C13" s="48" t="s">
        <v>176</v>
      </c>
      <c r="D13" s="23">
        <v>1281007</v>
      </c>
      <c r="E13" s="24" t="s">
        <v>203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187</v>
      </c>
      <c r="R13" s="50"/>
    </row>
    <row r="14" spans="1:18" x14ac:dyDescent="0.25">
      <c r="A14" s="47">
        <v>27473</v>
      </c>
      <c r="B14" s="47">
        <v>8</v>
      </c>
      <c r="C14" s="48" t="s">
        <v>176</v>
      </c>
      <c r="D14" s="23">
        <v>1281008</v>
      </c>
      <c r="E14" s="24" t="s">
        <v>204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187</v>
      </c>
      <c r="R14" s="50"/>
    </row>
    <row r="15" spans="1:18" x14ac:dyDescent="0.25">
      <c r="A15" s="47">
        <v>27416</v>
      </c>
      <c r="B15" s="47">
        <v>1</v>
      </c>
      <c r="C15" s="48" t="s">
        <v>177</v>
      </c>
      <c r="D15" s="23">
        <v>392291</v>
      </c>
      <c r="E15" s="24" t="s">
        <v>208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209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210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211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212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24" t="s">
        <v>213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24" t="s">
        <v>214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24" t="s">
        <v>213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27575</v>
      </c>
      <c r="B25" s="23">
        <v>1</v>
      </c>
      <c r="C25" s="24" t="s">
        <v>179</v>
      </c>
      <c r="D25" s="23">
        <v>774016</v>
      </c>
      <c r="E25" s="24" t="s">
        <v>215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2</v>
      </c>
      <c r="C26" s="24" t="s">
        <v>179</v>
      </c>
      <c r="D26" s="23">
        <v>774016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3</v>
      </c>
      <c r="C27" s="24" t="s">
        <v>179</v>
      </c>
      <c r="D27" s="23">
        <v>774017</v>
      </c>
      <c r="E27" s="24" t="s">
        <v>216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4</v>
      </c>
      <c r="C28" s="24" t="s">
        <v>179</v>
      </c>
      <c r="D28" s="23">
        <v>774017</v>
      </c>
      <c r="E28" s="24" t="s">
        <v>216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27524</v>
      </c>
      <c r="B29" s="23">
        <v>1</v>
      </c>
      <c r="C29" s="24" t="s">
        <v>174</v>
      </c>
      <c r="D29" s="23">
        <v>299528</v>
      </c>
      <c r="E29" s="24" t="s">
        <v>217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188</v>
      </c>
      <c r="R29" s="50"/>
    </row>
    <row r="30" spans="1:18" x14ac:dyDescent="0.25">
      <c r="A30" s="23">
        <v>27587</v>
      </c>
      <c r="B30" s="23">
        <v>1</v>
      </c>
      <c r="C30" s="24" t="s">
        <v>183</v>
      </c>
      <c r="D30" s="23">
        <v>1608001</v>
      </c>
      <c r="E30" s="24" t="s">
        <v>218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183</v>
      </c>
      <c r="D31" s="23">
        <v>1608002</v>
      </c>
      <c r="E31" s="24" t="s">
        <v>218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183</v>
      </c>
      <c r="D32" s="23">
        <v>1608002</v>
      </c>
      <c r="E32" s="24" t="s">
        <v>218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184</v>
      </c>
      <c r="D33" s="23">
        <v>1609001</v>
      </c>
      <c r="E33" s="24" t="s">
        <v>219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191</v>
      </c>
      <c r="R33" s="50"/>
    </row>
    <row r="34" spans="1:18" x14ac:dyDescent="0.25">
      <c r="A34" s="23">
        <v>27599</v>
      </c>
      <c r="B34" s="23">
        <v>1</v>
      </c>
      <c r="C34" s="48" t="s">
        <v>174</v>
      </c>
      <c r="D34" s="23">
        <v>299374</v>
      </c>
      <c r="E34" s="24" t="s">
        <v>220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174</v>
      </c>
      <c r="D35" s="23">
        <v>299528</v>
      </c>
      <c r="E35" s="24" t="s">
        <v>217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188</v>
      </c>
      <c r="R35" s="50"/>
    </row>
    <row r="36" spans="1:18" x14ac:dyDescent="0.25">
      <c r="A36" s="23">
        <v>27600</v>
      </c>
      <c r="B36" s="23">
        <v>1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182</v>
      </c>
      <c r="D37" s="23" t="s">
        <v>77</v>
      </c>
      <c r="E37" s="24" t="s">
        <v>222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182</v>
      </c>
      <c r="D39" s="23" t="s">
        <v>77</v>
      </c>
      <c r="E39" s="24" t="s">
        <v>222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182</v>
      </c>
      <c r="D41" s="23" t="s">
        <v>77</v>
      </c>
      <c r="E41" s="24" t="s">
        <v>222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182</v>
      </c>
      <c r="D43" s="23" t="s">
        <v>77</v>
      </c>
      <c r="E43" s="24" t="s">
        <v>222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174</v>
      </c>
      <c r="D44" s="23">
        <v>299208</v>
      </c>
      <c r="E44" s="24" t="s">
        <v>223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182</v>
      </c>
      <c r="D46" s="23" t="s">
        <v>77</v>
      </c>
      <c r="E46" s="24" t="s">
        <v>222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182</v>
      </c>
      <c r="D48" s="23" t="s">
        <v>77</v>
      </c>
      <c r="E48" s="24" t="s">
        <v>222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182</v>
      </c>
      <c r="D50" s="23" t="s">
        <v>77</v>
      </c>
      <c r="E50" s="24" t="s">
        <v>222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182</v>
      </c>
      <c r="D52" s="23" t="s">
        <v>77</v>
      </c>
      <c r="E52" s="24" t="s">
        <v>222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174</v>
      </c>
      <c r="D53" s="23">
        <v>299303</v>
      </c>
      <c r="E53" s="24" t="s">
        <v>224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2026-06-30T17:04:06Z</dcterms:modified>
</cp:coreProperties>
</file>