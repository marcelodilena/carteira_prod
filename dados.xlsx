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74CB4621-97D7-4FE0-A1A4-BC708B0C2E39}" xr6:coauthVersionLast="47" xr6:coauthVersionMax="47" xr10:uidLastSave="{00000000-0000-0000-0000-000000000000}"/>
  <bookViews>
    <workbookView xWindow="-120" yWindow="-120" windowWidth="29040" windowHeight="15720" activeTab="4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3" i="2"/>
  <c r="AB5" i="2"/>
  <c r="AB6" i="2"/>
  <c r="AB7" i="2"/>
  <c r="AB12" i="2"/>
  <c r="AB13" i="2"/>
  <c r="AB14" i="2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<sst xmlns="http://schemas.openxmlformats.org/spreadsheetml/2006/main" count="8552" uniqueCount="511">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</sst>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10" fillId="0" borderId="0" xfId="0" applyFont="1" applyFill="1" applyBorder="1" applyAlignment="1">
      <alignment horizontal="center" vertical="center"/>
    </xf>
    <xf numFmtId="164" fontId="12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Fill="1" applyBorder="1" applyAlignment="1">
      <alignment horizontal="center" vertical="center" wrapText="1"/>
    </xf>
    <xf numFmtId="0" fontId="23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10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51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50" dataDxfId="249">
  <autoFilter ref="A1:AH114" xr:uid="{0B979512-8F08-4F92-A755-B1320B33B48D}">
    <filterColumn colId="5">
      <filters>
        <filter val="956057"/>
      </filters>
    </filterColumn>
  </autoFilter>
  <tableColumns count="34">
    <tableColumn id="1" xr3:uid="{2AE87B23-57FB-4D7F-8BFD-D65EC0053BA3}" name="PV" dataDxfId="248"/>
    <tableColumn id="2" xr3:uid="{81052488-0765-4420-B185-DA73AE55FD88}" name="Item" dataDxfId="247"/>
    <tableColumn id="3" xr3:uid="{0E7DB960-0044-4341-ADB4-2A033B27B993}" name="O.S." dataDxfId="246"/>
    <tableColumn id="4" xr3:uid="{B0F20CBE-FFF4-445B-B0BF-7A9C6A140189}" name="Item2" dataDxfId="245"/>
    <tableColumn id="5" xr3:uid="{D1656E30-4AB0-4CD0-BF13-6D5A49C6E4A0}" name="Cliente" dataDxfId="244"/>
    <tableColumn id="6" xr3:uid="{71A11213-5711-429D-A6E0-A2F44677AD5D}" name="Peça" dataDxfId="243"/>
    <tableColumn id="7" xr3:uid="{3F7FD9F6-0726-4021-82B3-E31575A97A46}" name="Seq." dataDxfId="242"/>
    <tableColumn id="8" xr3:uid="{0D871CDA-AC7B-4365-B4FD-95C8967CF254}" name="Descrição" dataDxfId="241"/>
    <tableColumn id="9" xr3:uid="{9C6311D3-DE8E-4A12-8716-11D7CF745EA9}" name="Qtde." dataDxfId="240"/>
    <tableColumn id="10" xr3:uid="{0D119764-5D6A-44D7-A0C6-EAAE37326AEF}" name="Prazo_x000a_Fundido" dataDxfId="239"/>
    <tableColumn id="20" xr3:uid="{2835FDBA-B893-4E1E-9252-D088967B6B9B}" name="Semana_x000a_Fundido" dataDxfId="238">
      <calculatedColumnFormula>WEEKNUM(Tabela1[[#This Row],[Prazo
Fundido]])</calculatedColumnFormula>
    </tableColumn>
    <tableColumn id="11" xr3:uid="{357F67DE-6B6F-4353-906F-4FBB26ED7226}" name="Pz Fundido_x000a_Real" dataDxfId="237"/>
    <tableColumn id="12" xr3:uid="{5CF37CA2-8EC2-4A06-8A50-1305C1129D14}" name="Prazo_x000a_Entrega" dataDxfId="236"/>
    <tableColumn id="36" xr3:uid="{903E641C-0F4A-465E-9B87-4C77A3724350}" name="Pz Entrega_x000a_Real" dataDxfId="235"/>
    <tableColumn id="14" xr3:uid="{49E3A48F-4FBA-45ED-9BE5-0D3F2C039F64}" name="Dias_x000a_Falta2" dataDxfId="234">
      <calculatedColumnFormula>Tabela1[[#This Row],[Prazo
Entrega]]-TODAY()</calculatedColumnFormula>
    </tableColumn>
    <tableColumn id="24" xr3:uid="{FE82CCB3-C196-4A10-9CDF-EC3AAB610284}" name="Indicador" dataDxfId="233">
      <calculatedColumnFormula>IF(O2&lt;0,"ATRASADO",IF(O2&lt;=15,"ATENÇÃO","NO PRAZO"))</calculatedColumnFormula>
    </tableColumn>
    <tableColumn id="21" xr3:uid="{0E3EA19A-D149-4026-9EFA-582C442CDE24}" name="Semana_x000a_Entrega" dataDxfId="232">
      <calculatedColumnFormula>WEEKNUM(Tabela1[[#This Row],[Prazo
Entrega]],1)</calculatedColumnFormula>
    </tableColumn>
    <tableColumn id="22" xr3:uid="{8BBF8940-A612-415C-B30B-5BED69C42E59}" name="CONDIÇÃO" dataDxfId="231"/>
    <tableColumn id="35" xr3:uid="{DF0F32C7-2632-41CB-B20E-BE67D32DDFF8}" name="Desenho_x000a_Previsão" dataDxfId="230"/>
    <tableColumn id="33" xr3:uid="{B0C0F319-983E-42D8-8584-16523AED9BC7}" name="Des." dataDxfId="229"/>
    <tableColumn id="32" xr3:uid="{BB84EAAB-24E7-433E-8DE8-B7705F525D65}" name="Perfil" dataDxfId="228"/>
    <tableColumn id="30" xr3:uid="{EFE986D2-325F-4223-A6FC-89AFC0782517}" name="Serrar" dataDxfId="227"/>
    <tableColumn id="29" xr3:uid="{806CC413-43AC-4EDE-9413-A2852780B283}" name="S. Dura" dataDxfId="226"/>
    <tableColumn id="28" xr3:uid="{669E3B74-6C47-4551-B95C-DE764412CB09}" name="Encaixe" dataDxfId="225"/>
    <tableColumn id="27" xr3:uid="{33B1427B-026C-4955-BEDC-C39ECFB35542}" name="Fur." dataDxfId="224"/>
    <tableColumn id="34" xr3:uid="{2004DA6B-65E8-4CFF-8DD6-03937C8E23A7}" name="Acab." dataDxfId="223"/>
    <tableColumn id="25" xr3:uid="{94AD153B-B1BE-422C-9B64-A3F125946AE5}" name="Liber." dataDxfId="222"/>
    <tableColumn id="23" xr3:uid="{6FFD36BA-4C85-4732-ACA9-BC9D46F4C26B}" name="Status Us." dataDxfId="221">
      <calculatedColumnFormula>IF(L2="","AG. FUNDIDO",IF(U2="AG","AG. USINAGEM","EM USINAGEM"))</calculatedColumnFormula>
    </tableColumn>
    <tableColumn id="26" xr3:uid="{DF8CD1DA-6F25-4291-9F78-DB8D5E9AF463}" name="Obs." dataDxfId="220"/>
    <tableColumn id="15" xr3:uid="{8F53CFFE-8E1C-41F5-9090-488AE701829C}" name="Plainar_x000a_Facear" dataDxfId="219"/>
    <tableColumn id="16" xr3:uid="{EB12A620-BA24-453B-B639-A28F83CF7950}" name="Serrar2" dataDxfId="218"/>
    <tableColumn id="17" xr3:uid="{46D65A07-940A-4560-AFE5-056D37171937}" name="Solda_x000a_Dura2" dataDxfId="217"/>
    <tableColumn id="18" xr3:uid="{97823986-0C6D-4D6F-9BEE-2E43C2286AB2}" name="Encaixe /_x000a_Furação" dataDxfId="216"/>
    <tableColumn id="19" xr3:uid="{6F1924AE-480F-421A-BD70-FA16D1D4E641}" name="Acabam./_x000a_Inspeção" dataDxfId="21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214" dataDxfId="213">
  <autoFilter ref="A1:W167" xr:uid="{71E71FAB-CF6D-4765-90BA-ABDE8C3299DB}">
    <filterColumn colId="0">
      <filters>
        <filter val="2335"/>
      </filters>
    </filterColumn>
  </autoFilter>
  <tableColumns count="23">
    <tableColumn id="1" xr3:uid="{8F000DF9-1B1A-450A-B138-9EDBA7F17698}" name="PV" dataDxfId="212"/>
    <tableColumn id="2" xr3:uid="{4269DD7F-E557-42AF-949B-69AB74B45D7E}" name="Item" dataDxfId="211"/>
    <tableColumn id="3" xr3:uid="{B8E3D127-9007-43BC-9B71-611446984BAE}" name="O.S." dataDxfId="210"/>
    <tableColumn id="4" xr3:uid="{8A9FBC4E-431D-4132-B7C4-86DD1CC31C1D}" name="Item2" dataDxfId="209"/>
    <tableColumn id="5" xr3:uid="{E43CCBA4-A724-44DA-9BFB-2AD45322EC54}" name="Cliente" dataDxfId="208"/>
    <tableColumn id="6" xr3:uid="{301560AA-7C28-4FE5-AC00-2A14532B12A0}" name="Peça" dataDxfId="207"/>
    <tableColumn id="7" xr3:uid="{864BB541-5CD2-4DAB-AEC1-ADDD341A77F2}" name="Seq." dataDxfId="206"/>
    <tableColumn id="8" xr3:uid="{39F09B1D-71EC-461C-93C5-C5FCECCA0EC0}" name="Descrição" dataDxfId="205"/>
    <tableColumn id="9" xr3:uid="{0CC8781A-4370-473C-AD18-F562622EB79C}" name="Qtde." dataDxfId="204"/>
    <tableColumn id="10" xr3:uid="{8FC48674-090B-441A-B05D-5E7E4AB5177C}" name="Prazo_x000a_Fundido" dataDxfId="203"/>
    <tableColumn id="11" xr3:uid="{2B85402B-261F-4CF1-8AC4-DE439E438480}" name="Semana_x000a_Fundido" dataDxfId="202">
      <calculatedColumnFormula>WEEKNUM(Tabela3[[#This Row],[Prazo
Fundido]])</calculatedColumnFormula>
    </tableColumn>
    <tableColumn id="12" xr3:uid="{F410DF31-AFC5-4525-B8D3-A2AB464611B3}" name="Pz Fundido_x000a_Real" dataDxfId="201"/>
    <tableColumn id="18" xr3:uid="{9BB38CBD-18A5-4385-B548-939CD2A602A8}" name="Coluna1" dataDxfId="200"/>
    <tableColumn id="13" xr3:uid="{7330A8B8-B0FE-4571-921F-35503842576A}" name="Prazo_x000a_Entrega" dataDxfId="199"/>
    <tableColumn id="23" xr3:uid="{050BF892-6E0A-4C1A-85E3-06353D54D7AC}" name="Pz Entrega_x000a_Real" dataDxfId="198"/>
    <tableColumn id="22" xr3:uid="{07396B9E-F2A0-47CC-B1C1-8D6A8D782E82}" name="Desenho_x000a_Previsão" dataDxfId="197"/>
    <tableColumn id="14" xr3:uid="{98904960-EE6F-4F44-87C3-8646B8C2D461}" name="Des." dataDxfId="196"/>
    <tableColumn id="15" xr3:uid="{4C38D84D-3A40-493A-A007-3826C38C0F9D}" name="Dias_x000a_Falta2" dataDxfId="195">
      <calculatedColumnFormula>Tabela3[[#This Row],[Prazo
Entrega]]-TODAY()</calculatedColumnFormula>
    </tableColumn>
    <tableColumn id="16" xr3:uid="{431C9D70-8530-4071-911B-7AAC65DE848C}" name="Indicador" dataDxfId="194">
      <calculatedColumnFormula>IF(R2&lt;0,"ATRASADO",IF(R2&lt;=15,"ATENÇÃO","NO PRAZO"))</calculatedColumnFormula>
    </tableColumn>
    <tableColumn id="17" xr3:uid="{37B1BAB9-4A72-4AB5-85A7-CFF0F27D94A6}" name="Semana_x000a_Entrega" dataDxfId="193">
      <calculatedColumnFormula>WEEKNUM(Tabela3[[#This Row],[Prazo
Entrega]])</calculatedColumnFormula>
    </tableColumn>
    <tableColumn id="19" xr3:uid="{A127FC22-0D53-4D0F-B783-28394B3FD90C}" name="CONDIÇÃO" dataDxfId="192"/>
    <tableColumn id="20" xr3:uid="{F610A49E-78E2-480E-B901-6B99A41E5174}" name="Status Usinagem" dataDxfId="191"/>
    <tableColumn id="21" xr3:uid="{FA7288EB-0143-4C36-8591-BF7231A8226E}" name="Observaçã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89" dataDxfId="188">
  <autoFilter ref="A1:Z39" xr:uid="{2AC5416C-4E1B-4478-8A2A-B698870CAB96}">
    <filterColumn colId="0">
      <filters>
        <filter val="2320"/>
      </filters>
    </filterColumn>
  </autoFilter>
  <tableColumns count="26">
    <tableColumn id="1" xr3:uid="{9A983B4E-3365-4153-9B40-D7FE26E8B98F}" name="PV " dataDxfId="187"/>
    <tableColumn id="2" xr3:uid="{4F16CD54-AAD4-4149-8D48-CC3FFEA93AA5}" name="Item" dataDxfId="186"/>
    <tableColumn id="3" xr3:uid="{27DB1DBC-B9DA-4067-9696-8CA5ACAAA450}" name="OS" dataDxfId="185"/>
    <tableColumn id="4" xr3:uid="{02C5E283-8ABF-44F8-B3B8-C3F186B4DF63}" name="Item2" dataDxfId="184"/>
    <tableColumn id="5" xr3:uid="{B1051CBE-EA72-4A43-8721-8756F3E2C9C9}" name="Cliente" dataDxfId="183"/>
    <tableColumn id="6" xr3:uid="{D81DBB81-327B-4EA3-89A3-229D33F3C14C}" name="Cod." dataDxfId="182"/>
    <tableColumn id="7" xr3:uid="{05B3DC4D-BFB9-401F-A18F-0D1B8527380B}" name="Seq." dataDxfId="181"/>
    <tableColumn id="8" xr3:uid="{9EBF401A-1F29-4CB3-BFA3-F2B326242AB0}" name="Descrição" dataDxfId="180"/>
    <tableColumn id="14" xr3:uid="{85D3397C-7F95-49C7-BFFB-35012CA3B716}" name="Qtd." dataDxfId="179"/>
    <tableColumn id="9" xr3:uid="{0D04583C-577A-446B-9773-A173C5C1C166}" name="Data Prev._x000a_Fundido" dataDxfId="178"/>
    <tableColumn id="10" xr3:uid="{935D3899-0C12-4408-89DF-490A507F79BA}" name="Data Real_x000a_Fundido" dataDxfId="177"/>
    <tableColumn id="11" xr3:uid="{0F06941F-293B-4C15-9764-BB3495C5D3BD}" name="Data Prev._x000a_Entrega" dataDxfId="176"/>
    <tableColumn id="12" xr3:uid="{92FF2511-5498-45BF-9B68-94DBEA588C5A}" name="Data Real_x000a_Entrega" dataDxfId="175"/>
    <tableColumn id="25" xr3:uid="{98545C7E-9674-485C-A07D-715E8945B00E}" name="Falta_x000a_Dias" dataDxfId="174">
      <calculatedColumnFormula>Tabela13[[#This Row],[Data Prev.
Entrega]]-TODAY()</calculatedColumnFormula>
    </tableColumn>
    <tableColumn id="27" xr3:uid="{4EB63243-AA79-4695-93C8-CEA977B11387}" name="Indicador" dataDxfId="173">
      <calculatedColumnFormula>IF(N2&lt;0,"ATRASADO",IF(N2&lt;=15,"ATENÇÃO","NO PRAZO"))</calculatedColumnFormula>
    </tableColumn>
    <tableColumn id="15" xr3:uid="{7AB992C1-F70E-4469-85BB-EBB7763B2038}" name="Condição" dataDxfId="172"/>
    <tableColumn id="24" xr3:uid="{B5965349-4BC8-4DF7-9EB4-857B6D471E8A}" name="Desenho_x000a_Previsão" dataDxfId="171"/>
    <tableColumn id="13" xr3:uid="{FD827F61-5F7F-4B65-8A60-B59D23455B46}" name="Des." dataDxfId="170"/>
    <tableColumn id="16" xr3:uid="{3D186A5F-076F-4232-B21C-37E58E5373B2}" name="Desb." dataDxfId="169"/>
    <tableColumn id="17" xr3:uid="{6EEDF11E-F341-4B3E-8CD2-5595785C3427}" name="T.T." dataDxfId="168"/>
    <tableColumn id="18" xr3:uid="{A84EFCF4-218F-4B17-8F46-8D5412141429}" name="Us. Final" dataDxfId="167"/>
    <tableColumn id="19" xr3:uid="{EBD50149-594D-440E-BFBB-E73ACAF7B6F8}" name="Fundo D." dataDxfId="166"/>
    <tableColumn id="20" xr3:uid="{91BE30ED-20C1-4F30-9041-45A50CCA04F0}" name="Acabam." dataDxfId="165"/>
    <tableColumn id="21" xr3:uid="{A1A12DF6-FC3D-4466-8284-DBD00DEAF994}" name="Liberação" dataDxfId="164"/>
    <tableColumn id="22" xr3:uid="{436F202D-DCF4-4376-A550-2541153BD99F}" name="Status Usinagem" dataDxfId="163">
      <calculatedColumnFormula>IF(K2="","AG. FUNDIDO",IF(X2="OK","LIBERADA","EM USINAGEM"))</calculatedColumnFormula>
    </tableColumn>
    <tableColumn id="23" xr3:uid="{F71E5739-8B79-47B3-9A24-E2E4D1DD46E6}" name="Observação" dataDxfId="1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61" dataDxfId="160">
  <autoFilter ref="A1:T123" xr:uid="{8F2F252D-0322-4579-B9EF-622E98B5994C}"/>
  <tableColumns count="20">
    <tableColumn id="1" xr3:uid="{56D3DA8E-4CA8-4DC6-8208-BAB93CDE51C0}" name="PV" dataDxfId="159"/>
    <tableColumn id="2" xr3:uid="{B14AE1B6-8C05-4725-BF42-3DBDB37AA4E3}" name="item" dataDxfId="158"/>
    <tableColumn id="3" xr3:uid="{24FE1002-C88A-4623-8882-5F391ECAB319}" name="OS" dataDxfId="157"/>
    <tableColumn id="4" xr3:uid="{4ED6249C-2003-4F3F-AE5A-67316434275E}" name="Item2" dataDxfId="156"/>
    <tableColumn id="5" xr3:uid="{6CE5B2E1-F32C-4D32-93F0-A17C05267ADB}" name="Cliente" dataDxfId="155"/>
    <tableColumn id="6" xr3:uid="{605F51C8-79D3-407B-8642-02F131952C62}" name="Qtd." dataDxfId="154"/>
    <tableColumn id="7" xr3:uid="{3AC59FFB-0DC5-477B-B780-880A1FD84811}" name="Peça" dataDxfId="153"/>
    <tableColumn id="8" xr3:uid="{2EE377A7-B17C-442E-A107-012310DB953B}" name="Seq." dataDxfId="152"/>
    <tableColumn id="9" xr3:uid="{5366226E-7F3B-42E4-AC0C-86C659505CC8}" name="Descrição" dataDxfId="151"/>
    <tableColumn id="10" xr3:uid="{B0D229C5-5F5A-4951-A0B4-FEA62AEFBB36}" name="Prazo_x000a_Fundido" dataDxfId="150"/>
    <tableColumn id="11" xr3:uid="{8AE09F18-EB17-4537-8FBD-24671292144B}" name="Pz Fundido_x000a_Real" dataDxfId="149"/>
    <tableColumn id="12" xr3:uid="{965E0234-7E4B-482D-8943-132C1520AD21}" name="Prazo_x000a_Entrega" dataDxfId="148"/>
    <tableColumn id="13" xr3:uid="{D70BE32E-86AF-4C0F-893D-AC939E731683}" name="Pz Entrega_x000a_Real" dataDxfId="147"/>
    <tableColumn id="15" xr3:uid="{2FE637E5-62E2-4AE9-AE5A-BC264DC93D4F}" name="Falta_x000a_Dias" dataDxfId="146">
      <calculatedColumnFormula>Tabela4[[#This Row],[Prazo
Entrega]]-TODAY()</calculatedColumnFormula>
    </tableColumn>
    <tableColumn id="14" xr3:uid="{23AEF4D3-817F-4A15-AFBA-EC837E4BE1AE}" name="Indicador" dataDxfId="145">
      <calculatedColumnFormula>IF(N2&lt;0,"ATRASADO",IF(N2&lt;=15,"ATENÇÃO","NO PRAZO"))</calculatedColumnFormula>
    </tableColumn>
    <tableColumn id="16" xr3:uid="{78F55B7C-8E60-49C5-B1F7-B023E76BDA6E}" name="Condição" dataDxfId="144"/>
    <tableColumn id="20" xr3:uid="{A889C1FB-2FE0-407A-B849-FEB9F2CA4F96}" name="Desenho_x000a_Previsão" dataDxfId="143"/>
    <tableColumn id="19" xr3:uid="{FB1E21D0-A118-422F-AA5B-F56FFBA7B5E4}" name="Des." dataDxfId="142"/>
    <tableColumn id="17" xr3:uid="{C14325D6-C653-45B3-B85F-6AF107A71546}" name="Status" dataDxfId="141"/>
    <tableColumn id="18" xr3:uid="{C6F7CA6A-B8B3-4E22-B3E8-05FFB1A03AB6}" name="Observação" dataDxfId="140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39" dataDxfId="138">
  <autoFilter ref="A1:U44" xr:uid="{4BA44271-44C6-408A-A6A6-B543ACC82025}"/>
  <tableColumns count="21">
    <tableColumn id="1" xr3:uid="{59A78859-607B-43B6-A1C1-8FD9058D131E}" name="PV" dataDxfId="137"/>
    <tableColumn id="2" xr3:uid="{5AC3CDB0-EECF-4366-AABB-10D4632E5647}" name="Item" dataDxfId="136"/>
    <tableColumn id="3" xr3:uid="{CA90DF44-B521-495F-A8BF-53A3271A5DAF}" name="Cliente" dataDxfId="135"/>
    <tableColumn id="4" xr3:uid="{12AD5BC7-853C-41A0-AF2A-10508DE122E6}" name="Descrição" dataDxfId="134"/>
    <tableColumn id="5" xr3:uid="{04BE35C7-D026-451E-8D4A-708772E0EEA0}" name="Qtde." dataDxfId="133"/>
    <tableColumn id="6" xr3:uid="{A8C5072F-7F3F-44B2-9E08-0B2B05394BBD}" name="Bit" dataDxfId="132"/>
    <tableColumn id="21" xr3:uid="{CA10AF60-179E-4208-9164-EC57F967A475}" name="Terno" dataDxfId="131"/>
    <tableColumn id="7" xr3:uid="{817D5A28-820D-426F-9B7B-6D7C33A33750}" name="Desenho_x000a_Previsão" dataDxfId="62"/>
    <tableColumn id="8" xr3:uid="{2AD27BA2-0CC6-4648-8F39-70EA6F2DCA28}" name="Des." dataDxfId="130"/>
    <tableColumn id="9" xr3:uid="{AD513A49-4F2F-4FD4-BABD-5E91B76CDAAC}" name="Prazo_x000a_Entrega" dataDxfId="63"/>
    <tableColumn id="10" xr3:uid="{DDFA283B-37B1-4509-9A90-96F168A6EA1A}" name="OP1" dataDxfId="129"/>
    <tableColumn id="11" xr3:uid="{7E5D6482-94D4-4961-A07A-AA83431642CA}" name="OP2" dataDxfId="128"/>
    <tableColumn id="12" xr3:uid="{3C73DB98-7E09-4F7D-99A4-F49C8EFED7C1}" name="OP3" dataDxfId="127"/>
    <tableColumn id="13" xr3:uid="{C9B276C1-EAA2-44D3-BC63-09DEABE1333C}" name="OP4" dataDxfId="126"/>
    <tableColumn id="14" xr3:uid="{701CD035-8F78-4DD2-ADB3-14616A43EDDD}" name="OP5" dataDxfId="125"/>
    <tableColumn id="15" xr3:uid="{FEC9B4B9-312E-4D84-9BEC-71B7DBB01E5B}" name="OP6" dataDxfId="124"/>
    <tableColumn id="16" xr3:uid="{43FA3F4C-88C2-41D3-860E-2222B637DA98}" name="OP7" dataDxfId="123"/>
    <tableColumn id="17" xr3:uid="{25BFED7E-9400-4EBB-9B25-F0519E3A306F}" name="OP8" dataDxfId="122"/>
    <tableColumn id="18" xr3:uid="{5536059E-6F8D-4810-A678-B0DF23A1ECE4}" name="OP9" dataDxfId="121"/>
    <tableColumn id="19" xr3:uid="{03C085CC-9EDE-476B-8644-A15B2377E8CA}" name="Status" dataDxfId="120"/>
    <tableColumn id="20" xr3:uid="{3944B797-D6B2-47B5-A9F2-815EB3A25DE8}" name="Observação" dataDxfId="119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118" dataDxfId="117">
  <autoFilter ref="A1:AB94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116"/>
    <tableColumn id="2" xr3:uid="{39E67E43-7C76-4E6C-9319-15A91DE1C08C}" name="Item" dataDxfId="115"/>
    <tableColumn id="4" xr3:uid="{5B6759FC-B832-438E-B60C-770FAF7723FA}" name="Cliente" dataDxfId="114"/>
    <tableColumn id="5" xr3:uid="{20CFBF4C-4BD9-4F05-86D4-8A4AFFC243B2}" name="_x000a_O.S./Peça" dataDxfId="113"/>
    <tableColumn id="6" xr3:uid="{3994BD48-BFFD-46D2-9740-EDD282F2590D}" name="Descrição" dataDxfId="112"/>
    <tableColumn id="7" xr3:uid="{261AA518-FC82-431F-8839-D26554B59355}" name="Qtde." dataDxfId="111"/>
    <tableColumn id="24" xr3:uid="{0C566A21-B9D9-4AD7-A8B3-328E480EA286}" name="Bit" dataDxfId="110"/>
    <tableColumn id="17" xr3:uid="{7631FA30-8167-4961-B0E8-981A96ADEF58}" name="Tipo" dataDxfId="109"/>
    <tableColumn id="3" xr3:uid="{4F794446-D6E6-4C06-B881-9408CC542675}" name="Pos." dataDxfId="108"/>
    <tableColumn id="26" xr3:uid="{C41F63A6-DC4C-42FE-A13B-3E56F237270D}" name="Terno" dataDxfId="107"/>
    <tableColumn id="16" xr3:uid="{FF0A908E-E8EE-4CA0-96FA-38C032BFEFDE}" name="Forma" dataDxfId="106"/>
    <tableColumn id="12" xr3:uid="{C314135B-6E96-4285-97CB-3F7155419270}" name="Nº Eixo" dataDxfId="105"/>
    <tableColumn id="9" xr3:uid="{DE0283F8-D4F6-449C-A9CA-7DBCB898DFD9}" name="Prazo_x000a_Fund" dataDxfId="104"/>
    <tableColumn id="10" xr3:uid="{663D9716-4C25-4ACC-A105-E9E7A474BCE6}" name="Prazo_x000a_Fund Real" dataDxfId="103"/>
    <tableColumn id="11" xr3:uid="{6EF58C27-546C-4B57-B05D-BB07C2046388}" name="Prazo_x000a_Entrega_x000a_Camisa" dataDxfId="102"/>
    <tableColumn id="13" xr3:uid="{506EC589-7ED2-4A3B-BED8-6CA8F57277E1}" name="Desenho_x000a_Previsão" dataDxfId="101"/>
    <tableColumn id="14" xr3:uid="{A31AB572-7F13-4A5C-A42E-7E7A20433BDA}" name="Des." dataDxfId="100"/>
    <tableColumn id="33" xr3:uid="{9D21190D-5788-4F29-AED2-63644BCE6C32}" name="OP1" dataDxfId="99"/>
    <tableColumn id="30" xr3:uid="{6C8FD4D3-300E-4009-A264-D6FBC780DE60}" name="OP2" dataDxfId="98"/>
    <tableColumn id="28" xr3:uid="{533BCCB9-B72A-4E3A-BE20-626EE2E49D83}" name="OP3" dataDxfId="97"/>
    <tableColumn id="27" xr3:uid="{58435D6B-01D7-44DD-9B21-62EB23C9AA4F}" name="OP4" dataDxfId="96"/>
    <tableColumn id="25" xr3:uid="{B00B175A-D2BA-4783-8EBD-A000C46B6055}" name="OP5" dataDxfId="95"/>
    <tableColumn id="20" xr3:uid="{1C48207C-2D30-42CB-BD4E-0C9B569C9BCB}" name="OP6" dataDxfId="94"/>
    <tableColumn id="35" xr3:uid="{5857075F-D742-43D2-AD1F-F2BB8219D8E7}" name="OP7" dataDxfId="93"/>
    <tableColumn id="15" xr3:uid="{46F62312-EE93-4C00-9352-8A9BF48479C9}" name="OP8" dataDxfId="92"/>
    <tableColumn id="8" xr3:uid="{81AAED83-3114-4366-BECD-21F933A26FE9}" name="OP9" dataDxfId="91"/>
    <tableColumn id="18" xr3:uid="{F5387D14-C7D5-4022-901B-04E5D65304C7}" name="Status_x000a_Camisa" dataDxfId="90"/>
    <tableColumn id="19" xr3:uid="{A08285BC-8B0E-4492-A6AF-090B851B036D}" name="Observação" dataDxfId="8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5" totalsRowShown="0" headerRowDxfId="88" dataDxfId="87">
  <autoFilter ref="A1:W85" xr:uid="{08F50CE1-35A6-4ABA-9594-79B9C39908E8}"/>
  <tableColumns count="23">
    <tableColumn id="2" xr3:uid="{FC1EB755-1B51-4973-AF64-F8D88603C831}" name="PV" dataDxfId="86"/>
    <tableColumn id="3" xr3:uid="{C1512D5D-E928-4CC2-9A29-8484494EA1A7}" name="Item" dataDxfId="85"/>
    <tableColumn id="4" xr3:uid="{DD6014DD-F2DC-47D0-A44B-A9397730BE4E}" name="Cliente" dataDxfId="84"/>
    <tableColumn id="6" xr3:uid="{59911696-06D3-45A5-970B-2AD22F609E28}" name="Descrição" dataDxfId="83"/>
    <tableColumn id="7" xr3:uid="{8F359B2A-1452-4DD5-8078-A592FF1FAEDA}" name="Qtde." dataDxfId="82"/>
    <tableColumn id="24" xr3:uid="{6ACDF30B-4FA5-46F2-B973-769AFF1A7ED5}" name="Bit" dataDxfId="81"/>
    <tableColumn id="9" xr3:uid="{E800A3D3-0303-4259-A58F-C223C4C1BA42}" name="Pos." dataDxfId="80"/>
    <tableColumn id="26" xr3:uid="{CA14875A-A13A-4CA2-81ED-1A988AD78208}" name="Terno" dataDxfId="79"/>
    <tableColumn id="11" xr3:uid="{2AE87132-0DBA-40D2-AB92-CEAC0877A62E}" name="Prazo_x000a_Entrega_x000a_Eixo" dataDxfId="78"/>
    <tableColumn id="13" xr3:uid="{75F62D18-9AFA-4320-9551-17D7D3F48733}" name="Desenho_x000a_Previsão" dataDxfId="77"/>
    <tableColumn id="14" xr3:uid="{0E91F17A-D1CD-4B1F-B5BA-F593FF862042}" name="Des." dataDxfId="76"/>
    <tableColumn id="1" xr3:uid="{94AA572C-41FE-43EA-AB0E-69CD585A6CEF}" name="Nº Eixo" dataDxfId="75"/>
    <tableColumn id="33" xr3:uid="{49915B29-1E2A-403B-BB52-E050204325AB}" name="OP1" dataDxfId="74"/>
    <tableColumn id="30" xr3:uid="{918DBD98-C28A-4CAB-8273-DEB81CE88B05}" name="OP2" dataDxfId="73"/>
    <tableColumn id="28" xr3:uid="{F99FDFD5-3B70-48B1-93CD-89C55B3CE706}" name="OP3" dataDxfId="72"/>
    <tableColumn id="27" xr3:uid="{3B6FF2E7-14DF-4DBF-B5AB-5AC8D2BE1CDD}" name="OP4" dataDxfId="71"/>
    <tableColumn id="25" xr3:uid="{0837249B-09C0-43AA-A6F1-42C6831ED1C4}" name="OP5" dataDxfId="70"/>
    <tableColumn id="20" xr3:uid="{9AB76328-313A-4CD8-9CB1-5AB1453CAE9E}" name="OP6" dataDxfId="69"/>
    <tableColumn id="35" xr3:uid="{B32C0B30-5F3F-42B0-8DFF-98B0B8FB2893}" name="OP7" dataDxfId="68"/>
    <tableColumn id="15" xr3:uid="{AF3E8433-61CF-422E-9FA2-91C9BA8DC757}" name="OP8" dataDxfId="67"/>
    <tableColumn id="8" xr3:uid="{A6F4F508-1C53-4E9B-9746-79444D0123BB}" name="OP9" dataDxfId="66"/>
    <tableColumn id="23" xr3:uid="{4DFCA09F-8E46-42D4-9163-40353BAA4ACE}" name="Status Usinagem" dataDxfId="65"/>
    <tableColumn id="19" xr3:uid="{E3D32BDE-09FA-4F17-8CE6-8B2139F9BB8A}" name="Observação" dataDxfId="6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topLeftCell="I1" zoomScaleNormal="100" zoomScaleSheetLayoutView="100" workbookViewId="0">
      <selection activeCell="AA131" sqref="AA131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-5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2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82</v>
      </c>
      <c r="AA3" s="10" t="s">
        <v>71</v>
      </c>
      <c r="AB3" s="10" t="str">
        <f>IF(L3="","AG. FUNDIDO",IF(U3="AG","AG. USINAGEM","EM USINAGEM"))</f>
        <v>EM USINAGEM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>
        <v>46199</v>
      </c>
      <c r="O4" s="40">
        <f ca="1">Tabela1[[#This Row],[Prazo
Entrega]]-TODAY()</f>
        <v>-5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2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71</v>
      </c>
      <c r="Z5" s="10" t="s">
        <v>71</v>
      </c>
      <c r="AA5" s="10" t="s">
        <v>71</v>
      </c>
      <c r="AB5" s="10" t="str">
        <f>IF(L5="","AG. FUNDIDO",IF(U5="AG","AG. USINAGEM","EM USINAGEM"))</f>
        <v>EM USINAGEM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2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71</v>
      </c>
      <c r="Z6" s="10" t="s">
        <v>71</v>
      </c>
      <c r="AA6" s="10" t="s">
        <v>71</v>
      </c>
      <c r="AB6" s="10" t="str">
        <f>IF(L6="","AG. FUNDIDO",IF(U6="AG","AG. USINAGEM","EM USINAGEM"))</f>
        <v>EM USINAGEM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2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82</v>
      </c>
      <c r="AA7" s="10" t="s">
        <v>71</v>
      </c>
      <c r="AB7" s="10" t="str">
        <f>IF(L7="","AG. FUNDIDO",IF(U7="AG","AG. USINAGEM","EM USINAGEM"))</f>
        <v>EM USINAGEM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-5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-5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-5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-5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2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82</v>
      </c>
      <c r="AA12" s="10" t="s">
        <v>71</v>
      </c>
      <c r="AB12" s="10" t="str">
        <f>IF(L12="","AG. FUNDIDO",IF(U12="AG","AG. USINAGEM","EM USINAGEM"))</f>
        <v>EM USINAGEM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2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82</v>
      </c>
      <c r="AA13" s="10" t="s">
        <v>71</v>
      </c>
      <c r="AB13" s="10" t="str">
        <f>IF(L13="","AG. FUNDIDO",IF(U13="AG","AG. USINAGEM","EM USINAGEM"))</f>
        <v>EM USINAGEM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2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82</v>
      </c>
      <c r="AA14" s="10" t="s">
        <v>71</v>
      </c>
      <c r="AB14" s="10" t="str">
        <f>IF(L14="","AG. FUNDIDO",IF(U14="AG","AG. USINAGEM","EM USINAGEM"))</f>
        <v>EM USINAGEM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hidden="1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2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16">
        <v>46199</v>
      </c>
      <c r="O16" s="40">
        <f ca="1">Tabela1[[#This Row],[Prazo
Entrega]]-TODAY()</f>
        <v>2</v>
      </c>
      <c r="P16" s="40" t="str">
        <f t="shared" ca="1" si="0"/>
        <v>ATENÇÃO</v>
      </c>
      <c r="Q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-5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-5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-5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9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2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9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9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-8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-8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-8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-8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-8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-8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9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-5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9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9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9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9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9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9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16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16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16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16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16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16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16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16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16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16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23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23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23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23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23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23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23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23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23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23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30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30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16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16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16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16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16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16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16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30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30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37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37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37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37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37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37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41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41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41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17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77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17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48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48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77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92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92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92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92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92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92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63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63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63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63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63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138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138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138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138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138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138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138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138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138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138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138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138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138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138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138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107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107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107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107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107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G167" sqref="G16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hidden="1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hidden="1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hidden="1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hidden="1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hidden="1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hidden="1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15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15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15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15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15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48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48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48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48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48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48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48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48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48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48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48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48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58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58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58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58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58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58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58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58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58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58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58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58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58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58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58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68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68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68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68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68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68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68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68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68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68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68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68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68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68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68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48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48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48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78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78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78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78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78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78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78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78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78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107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107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107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107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107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107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107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107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107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107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107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107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107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107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107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107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107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107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107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107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107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107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107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107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107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107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107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107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107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107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107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107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107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107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107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107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107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107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107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107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2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2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2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2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2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15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30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30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15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15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30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30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hidden="1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15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238</v>
      </c>
      <c r="W144" s="10" t="s">
        <v>412</v>
      </c>
    </row>
    <row r="145" spans="1:23" hidden="1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15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238</v>
      </c>
      <c r="W145" s="10" t="s">
        <v>412</v>
      </c>
    </row>
    <row r="146" spans="1:23" hidden="1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15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238</v>
      </c>
      <c r="W146" s="10" t="s">
        <v>412</v>
      </c>
    </row>
    <row r="147" spans="1:23" hidden="1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15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238</v>
      </c>
      <c r="W147" s="10" t="s">
        <v>412</v>
      </c>
    </row>
    <row r="148" spans="1:23" hidden="1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15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238</v>
      </c>
      <c r="W148" s="10" t="s">
        <v>412</v>
      </c>
    </row>
    <row r="149" spans="1:23" hidden="1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15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238</v>
      </c>
      <c r="W149" s="10" t="s">
        <v>412</v>
      </c>
    </row>
    <row r="150" spans="1:23" hidden="1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15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238</v>
      </c>
      <c r="W150" s="10" t="s">
        <v>412</v>
      </c>
    </row>
    <row r="151" spans="1:23" hidden="1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15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238</v>
      </c>
      <c r="W151" s="10" t="s">
        <v>412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30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15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15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30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30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23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23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23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23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23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23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23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30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30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30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30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topLeftCell="E1"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51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51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21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21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21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77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21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48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48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48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48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48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77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77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77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62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62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62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62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62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62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62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62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62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156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156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156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hidden="1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68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hidden="1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68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hidden="1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68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156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156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156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156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77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77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77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77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36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36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36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36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36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36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36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36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-40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158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158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158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158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158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158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63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63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158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158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158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158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158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158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158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158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158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158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158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158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158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158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158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158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158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158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158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158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158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158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158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158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158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158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158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158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158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158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158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158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158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158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-15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138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138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138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138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138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138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138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138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138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138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138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138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138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138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138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138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138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138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138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138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138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138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138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138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138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138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138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138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138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138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138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138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138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138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138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-15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153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153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153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153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153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153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153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153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107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107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107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107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107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107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138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138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138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138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168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168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168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168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138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138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138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138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138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138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138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138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138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138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138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138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tabSelected="1" workbookViewId="0">
      <selection activeCell="J1" sqref="J1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7" bestFit="1" customWidth="1"/>
    <col min="9" max="9" width="6.7109375" style="87" customWidth="1"/>
    <col min="10" max="10" width="10.140625" style="9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5" t="s">
        <v>104</v>
      </c>
      <c r="I1" s="52" t="s">
        <v>81</v>
      </c>
      <c r="J1" s="95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6">
        <v>46388</v>
      </c>
      <c r="I2" s="88" t="s">
        <v>71</v>
      </c>
      <c r="J2" s="96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6">
        <v>46388</v>
      </c>
      <c r="I3" s="88" t="s">
        <v>71</v>
      </c>
      <c r="J3" s="96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6">
        <v>46388</v>
      </c>
      <c r="I4" s="88" t="s">
        <v>71</v>
      </c>
      <c r="J4" s="96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6">
        <v>46388</v>
      </c>
      <c r="I5" s="88" t="s">
        <v>71</v>
      </c>
      <c r="J5" s="96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6">
        <v>46388</v>
      </c>
      <c r="I6" s="88" t="s">
        <v>71</v>
      </c>
      <c r="J6" s="96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6">
        <v>46388</v>
      </c>
      <c r="I7" s="88" t="s">
        <v>71</v>
      </c>
      <c r="J7" s="96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6">
        <v>46388</v>
      </c>
      <c r="I8" s="88" t="s">
        <v>71</v>
      </c>
      <c r="J8" s="96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6">
        <v>46614</v>
      </c>
      <c r="I9" s="88" t="s">
        <v>71</v>
      </c>
      <c r="J9" s="96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6">
        <v>46614</v>
      </c>
      <c r="I10" s="88" t="s">
        <v>71</v>
      </c>
      <c r="J10" s="96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6">
        <v>46388</v>
      </c>
      <c r="I11" s="88" t="s">
        <v>71</v>
      </c>
      <c r="J11" s="96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93" t="s">
        <v>222</v>
      </c>
      <c r="G12" s="93" t="s">
        <v>225</v>
      </c>
      <c r="H12" s="96">
        <v>46388</v>
      </c>
      <c r="I12" s="88" t="s">
        <v>71</v>
      </c>
      <c r="J12" s="94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93" t="s">
        <v>222</v>
      </c>
      <c r="G13" s="93" t="s">
        <v>225</v>
      </c>
      <c r="H13" s="96">
        <v>46388</v>
      </c>
      <c r="I13" s="88" t="s">
        <v>71</v>
      </c>
      <c r="J13" s="94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93" t="s">
        <v>222</v>
      </c>
      <c r="G14" s="93" t="s">
        <v>226</v>
      </c>
      <c r="H14" s="96">
        <v>46388</v>
      </c>
      <c r="I14" s="88" t="s">
        <v>71</v>
      </c>
      <c r="J14" s="94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93">
        <v>1700</v>
      </c>
      <c r="G15" s="93" t="s">
        <v>226</v>
      </c>
      <c r="H15" s="96">
        <v>46388</v>
      </c>
      <c r="I15" s="88" t="s">
        <v>71</v>
      </c>
      <c r="J15" s="94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93">
        <v>1700</v>
      </c>
      <c r="G16" s="93" t="s">
        <v>227</v>
      </c>
      <c r="H16" s="96">
        <v>46388</v>
      </c>
      <c r="I16" s="88" t="s">
        <v>71</v>
      </c>
      <c r="J16" s="94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93">
        <v>1700</v>
      </c>
      <c r="G17" s="93" t="s">
        <v>227</v>
      </c>
      <c r="H17" s="96">
        <v>46388</v>
      </c>
      <c r="I17" s="88" t="s">
        <v>71</v>
      </c>
      <c r="J17" s="94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93">
        <v>1700</v>
      </c>
      <c r="G18" s="93" t="s">
        <v>228</v>
      </c>
      <c r="H18" s="96">
        <v>46388</v>
      </c>
      <c r="I18" s="88" t="s">
        <v>71</v>
      </c>
      <c r="J18" s="94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93">
        <v>1700</v>
      </c>
      <c r="G19" s="93" t="s">
        <v>228</v>
      </c>
      <c r="H19" s="96">
        <v>46388</v>
      </c>
      <c r="I19" s="88" t="s">
        <v>71</v>
      </c>
      <c r="J19" s="94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93">
        <v>1700</v>
      </c>
      <c r="G20" s="93" t="s">
        <v>229</v>
      </c>
      <c r="H20" s="96">
        <v>46388</v>
      </c>
      <c r="I20" s="88" t="s">
        <v>71</v>
      </c>
      <c r="J20" s="94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93">
        <v>1700</v>
      </c>
      <c r="G21" s="93" t="s">
        <v>229</v>
      </c>
      <c r="H21" s="96">
        <v>46388</v>
      </c>
      <c r="I21" s="88" t="s">
        <v>71</v>
      </c>
      <c r="J21" s="94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93" t="s">
        <v>222</v>
      </c>
      <c r="G22" s="93" t="s">
        <v>225</v>
      </c>
      <c r="H22" s="96">
        <v>46388</v>
      </c>
      <c r="I22" s="88" t="s">
        <v>71</v>
      </c>
      <c r="J22" s="94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93">
        <v>1700</v>
      </c>
      <c r="G23" s="93" t="s">
        <v>226</v>
      </c>
      <c r="H23" s="96">
        <v>46388</v>
      </c>
      <c r="I23" s="88" t="s">
        <v>71</v>
      </c>
      <c r="J23" s="94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93">
        <v>1700</v>
      </c>
      <c r="G24" s="93" t="s">
        <v>227</v>
      </c>
      <c r="H24" s="96">
        <v>46388</v>
      </c>
      <c r="I24" s="88" t="s">
        <v>71</v>
      </c>
      <c r="J24" s="94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93">
        <v>1700</v>
      </c>
      <c r="G25" s="93" t="s">
        <v>228</v>
      </c>
      <c r="H25" s="96">
        <v>46388</v>
      </c>
      <c r="I25" s="88" t="s">
        <v>71</v>
      </c>
      <c r="J25" s="94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93">
        <v>1700</v>
      </c>
      <c r="G26" s="93" t="s">
        <v>229</v>
      </c>
      <c r="H26" s="96">
        <v>46388</v>
      </c>
      <c r="I26" s="88" t="s">
        <v>71</v>
      </c>
      <c r="J26" s="94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6">
        <v>46388</v>
      </c>
      <c r="I27" s="88" t="s">
        <v>71</v>
      </c>
      <c r="J27" s="96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6">
        <v>46388</v>
      </c>
      <c r="I28" s="88" t="s">
        <v>71</v>
      </c>
      <c r="J28" s="98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6">
        <v>46388</v>
      </c>
      <c r="I29" s="88" t="s">
        <v>71</v>
      </c>
      <c r="J29" s="98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6">
        <v>46388</v>
      </c>
      <c r="I30" s="88" t="s">
        <v>71</v>
      </c>
      <c r="J30" s="98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6">
        <v>46388</v>
      </c>
      <c r="I31" s="88" t="s">
        <v>71</v>
      </c>
      <c r="J31" s="98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6">
        <v>46388</v>
      </c>
      <c r="I32" s="88" t="s">
        <v>71</v>
      </c>
      <c r="J32" s="98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6">
        <v>46388</v>
      </c>
      <c r="I33" s="88" t="s">
        <v>71</v>
      </c>
      <c r="J33" s="98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6">
        <v>46388</v>
      </c>
      <c r="I34" s="88" t="s">
        <v>71</v>
      </c>
      <c r="J34" s="98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6">
        <v>46388</v>
      </c>
      <c r="I35" s="88" t="s">
        <v>71</v>
      </c>
      <c r="J35" s="98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6">
        <v>46388</v>
      </c>
      <c r="I36" s="88" t="s">
        <v>71</v>
      </c>
      <c r="J36" s="98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6">
        <v>46388</v>
      </c>
      <c r="I37" s="88" t="s">
        <v>71</v>
      </c>
      <c r="J37" s="98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6">
        <v>46388</v>
      </c>
      <c r="I38" s="88" t="s">
        <v>71</v>
      </c>
      <c r="J38" s="98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6">
        <v>46388</v>
      </c>
      <c r="I39" s="88" t="s">
        <v>71</v>
      </c>
      <c r="J39" s="98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6">
        <v>46388</v>
      </c>
      <c r="I40" s="88" t="s">
        <v>71</v>
      </c>
      <c r="J40" s="98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6">
        <v>46388</v>
      </c>
      <c r="I41" s="88" t="s">
        <v>71</v>
      </c>
      <c r="J41" s="98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6">
        <v>46388</v>
      </c>
      <c r="I42" s="88" t="s">
        <v>71</v>
      </c>
      <c r="J42" s="98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6">
        <v>46388</v>
      </c>
      <c r="I43" s="88" t="s">
        <v>71</v>
      </c>
      <c r="J43" s="98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6">
        <v>46388</v>
      </c>
      <c r="I44" s="88" t="s">
        <v>71</v>
      </c>
      <c r="J44" s="98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1">
    <cfRule type="expression" dxfId="61" priority="2">
      <formula>J12=""</formula>
    </cfRule>
  </conditionalFormatting>
  <conditionalFormatting sqref="J22:J26">
    <cfRule type="expression" dxfId="60" priority="1">
      <formula>J22=""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1"/>
  <sheetViews>
    <sheetView zoomScale="90" zoomScaleNormal="90" workbookViewId="0">
      <selection activeCell="L68" sqref="L68:L77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hidden="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hidden="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hidden="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hidden="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hidden="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hidden="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hidden="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hidden="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hidden="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hidden="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hidden="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hidden="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hidden="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hidden="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hidden="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hidden="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hidden="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hidden="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hidden="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hidden="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hidden="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hidden="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hidden="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hidden="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hidden="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hidden="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hidden="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hidden="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278</v>
      </c>
      <c r="AB31" s="57" t="s">
        <v>96</v>
      </c>
    </row>
    <row r="32" spans="1:28" ht="20.100000000000001" hidden="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hidden="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hidden="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hidden="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hidden="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4" t="s">
        <v>278</v>
      </c>
      <c r="AB36" s="54" t="s">
        <v>96</v>
      </c>
    </row>
    <row r="37" spans="1:28" ht="20.100000000000001" hidden="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356</v>
      </c>
      <c r="AB37" s="57"/>
    </row>
    <row r="38" spans="1:28" ht="20.100000000000001" hidden="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hidden="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hidden="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hidden="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hidden="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hidden="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hidden="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hidden="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4" t="s">
        <v>278</v>
      </c>
      <c r="AB45" s="54" t="s">
        <v>96</v>
      </c>
    </row>
    <row r="46" spans="1:28" ht="20.100000000000001" hidden="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4" t="s">
        <v>278</v>
      </c>
      <c r="AB50" s="54" t="s">
        <v>96</v>
      </c>
    </row>
    <row r="51" spans="1:28" ht="20.100000000000001" hidden="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4" t="s">
        <v>278</v>
      </c>
      <c r="AB51" s="54" t="s">
        <v>96</v>
      </c>
    </row>
    <row r="52" spans="1:28" ht="20.100000000000001" hidden="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hidden="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4" t="s">
        <v>278</v>
      </c>
      <c r="AB53" s="54" t="s">
        <v>96</v>
      </c>
    </row>
    <row r="54" spans="1:28" ht="20.100000000000001" hidden="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4" t="s">
        <v>278</v>
      </c>
      <c r="AB54" s="54" t="s">
        <v>96</v>
      </c>
    </row>
    <row r="55" spans="1:28" ht="20.100000000000001" hidden="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hidden="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hidden="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hidden="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hidden="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hidden="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hidden="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hidden="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hidden="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hidden="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hidden="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hidden="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hidden="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246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246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246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246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246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246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4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246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246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4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246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246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246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246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246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customHeight="1" x14ac:dyDescent="0.25"/>
    <row r="96" spans="1:28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</sheetData>
  <phoneticPr fontId="11" type="noConversion"/>
  <conditionalFormatting sqref="A30:A43 H60 H62 H65:H66 G67 H76">
    <cfRule type="containsText" dxfId="59" priority="53" operator="containsText" text="encamisado">
      <formula>NOT(ISERROR(SEARCH("encamisado",A30)))</formula>
    </cfRule>
    <cfRule type="containsText" dxfId="58" priority="54" operator="containsText" text="pronto">
      <formula>NOT(ISERROR(SEARCH("pronto",A30)))</formula>
    </cfRule>
    <cfRule type="expression" dxfId="57" priority="55">
      <formula>$P30="s"</formula>
    </cfRule>
  </conditionalFormatting>
  <conditionalFormatting sqref="A55:A77">
    <cfRule type="containsText" dxfId="56" priority="20" operator="containsText" text="encamisado">
      <formula>NOT(ISERROR(SEARCH("encamisado",A55)))</formula>
    </cfRule>
    <cfRule type="containsText" dxfId="55" priority="21" operator="containsText" text="pronto">
      <formula>NOT(ISERROR(SEARCH("pronto",A55)))</formula>
    </cfRule>
    <cfRule type="expression" dxfId="54" priority="22">
      <formula>$P55="s"</formula>
    </cfRule>
  </conditionalFormatting>
  <conditionalFormatting sqref="C45:C49">
    <cfRule type="containsText" dxfId="53" priority="32" operator="containsText" text="encamisado">
      <formula>NOT(ISERROR(SEARCH("encamisado",C45)))</formula>
    </cfRule>
    <cfRule type="containsText" dxfId="52" priority="33" operator="containsText" text="pronto">
      <formula>NOT(ISERROR(SEARCH("pronto",C45)))</formula>
    </cfRule>
    <cfRule type="expression" dxfId="51" priority="34">
      <formula>$P45="s"</formula>
    </cfRule>
  </conditionalFormatting>
  <conditionalFormatting sqref="C55:C77">
    <cfRule type="containsText" dxfId="50" priority="28" operator="containsText" text="encamisado">
      <formula>NOT(ISERROR(SEARCH("encamisado",C55)))</formula>
    </cfRule>
    <cfRule type="containsText" dxfId="49" priority="29" operator="containsText" text="pronto">
      <formula>NOT(ISERROR(SEARCH("pronto",C55)))</formula>
    </cfRule>
    <cfRule type="expression" dxfId="48" priority="30">
      <formula>$P55="s"</formula>
    </cfRule>
  </conditionalFormatting>
  <conditionalFormatting sqref="D30:D43">
    <cfRule type="containsText" dxfId="47" priority="50" operator="containsText" text="encamisado">
      <formula>NOT(ISERROR(SEARCH("encamisado",D30)))</formula>
    </cfRule>
    <cfRule type="containsText" dxfId="46" priority="51" operator="containsText" text="pronto">
      <formula>NOT(ISERROR(SEARCH("pronto",D30)))</formula>
    </cfRule>
    <cfRule type="expression" dxfId="45" priority="52">
      <formula>$P30="s"</formula>
    </cfRule>
  </conditionalFormatting>
  <conditionalFormatting sqref="D55:D77">
    <cfRule type="containsText" dxfId="44" priority="24" operator="containsText" text="encamisado">
      <formula>NOT(ISERROR(SEARCH("encamisado",D55)))</formula>
    </cfRule>
    <cfRule type="containsText" dxfId="43" priority="25" operator="containsText" text="pronto">
      <formula>NOT(ISERROR(SEARCH("pronto",D55)))</formula>
    </cfRule>
    <cfRule type="expression" dxfId="42" priority="26">
      <formula>$P55="s"</formula>
    </cfRule>
  </conditionalFormatting>
  <conditionalFormatting sqref="G59:G60">
    <cfRule type="containsText" dxfId="41" priority="12" operator="containsText" text="encamisado">
      <formula>NOT(ISERROR(SEARCH("encamisado",G59)))</formula>
    </cfRule>
    <cfRule type="containsText" dxfId="40" priority="13" operator="containsText" text="pronto">
      <formula>NOT(ISERROR(SEARCH("pronto",G59)))</formula>
    </cfRule>
    <cfRule type="expression" dxfId="39" priority="15">
      <formula>$P59="s"</formula>
    </cfRule>
  </conditionalFormatting>
  <conditionalFormatting sqref="H58">
    <cfRule type="containsText" dxfId="38" priority="16" operator="containsText" text="encamisado">
      <formula>NOT(ISERROR(SEARCH("encamisado",H58)))</formula>
    </cfRule>
    <cfRule type="containsText" dxfId="37" priority="17" operator="containsText" text="pronto">
      <formula>NOT(ISERROR(SEARCH("pronto",H58)))</formula>
    </cfRule>
    <cfRule type="expression" dxfId="36" priority="19">
      <formula>$P58="s"</formula>
    </cfRule>
  </conditionalFormatting>
  <conditionalFormatting sqref="O33:O45">
    <cfRule type="containsText" dxfId="35" priority="44" operator="containsText" text="encamisado">
      <formula>NOT(ISERROR(SEARCH("encamisado",O33)))</formula>
    </cfRule>
    <cfRule type="containsText" dxfId="34" priority="45" operator="containsText" text="pronto">
      <formula>NOT(ISERROR(SEARCH("pronto",O33)))</formula>
    </cfRule>
    <cfRule type="expression" dxfId="33" priority="46">
      <formula>$P33="s"</formula>
    </cfRule>
  </conditionalFormatting>
  <conditionalFormatting sqref="O55:O77">
    <cfRule type="containsText" dxfId="32" priority="8" operator="containsText" text="encamisado">
      <formula>NOT(ISERROR(SEARCH("encamisado",O55)))</formula>
    </cfRule>
    <cfRule type="containsText" dxfId="31" priority="9" operator="containsText" text="pronto">
      <formula>NOT(ISERROR(SEARCH("pronto",O55)))</formula>
    </cfRule>
    <cfRule type="expression" dxfId="30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3"/>
  <sheetViews>
    <sheetView topLeftCell="A58" zoomScale="90" zoomScaleNormal="90" workbookViewId="0">
      <selection activeCell="O86" sqref="O86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customHeight="1" x14ac:dyDescent="0.25">
      <c r="A19" s="85">
        <v>1020</v>
      </c>
      <c r="B19" s="85" t="s">
        <v>76</v>
      </c>
      <c r="C19" s="54" t="s">
        <v>394</v>
      </c>
      <c r="D19" s="54" t="s">
        <v>413</v>
      </c>
      <c r="E19" s="54">
        <v>1</v>
      </c>
      <c r="F19" s="83" t="s">
        <v>285</v>
      </c>
      <c r="G19" s="54" t="s">
        <v>404</v>
      </c>
      <c r="H19" s="83" t="s">
        <v>269</v>
      </c>
      <c r="I19" s="82">
        <v>46430</v>
      </c>
      <c r="J19" s="55">
        <v>46388</v>
      </c>
      <c r="K19" s="54" t="s">
        <v>71</v>
      </c>
      <c r="L19" s="81" t="s">
        <v>398</v>
      </c>
      <c r="M19" s="54" t="s">
        <v>400</v>
      </c>
      <c r="N19" s="54" t="s">
        <v>405</v>
      </c>
      <c r="O19" s="54" t="s">
        <v>267</v>
      </c>
      <c r="P19" s="54"/>
      <c r="Q19" s="54"/>
      <c r="R19" s="54"/>
      <c r="S19" s="54"/>
      <c r="T19" s="54"/>
      <c r="U19" s="54"/>
      <c r="V19" s="54" t="s">
        <v>221</v>
      </c>
      <c r="W19" s="54"/>
    </row>
    <row r="20" spans="1:23" ht="20.100000000000001" customHeight="1" x14ac:dyDescent="0.25">
      <c r="A20" s="85">
        <v>1027</v>
      </c>
      <c r="B20" s="85" t="s">
        <v>76</v>
      </c>
      <c r="C20" s="54" t="s">
        <v>109</v>
      </c>
      <c r="D20" s="54" t="s">
        <v>413</v>
      </c>
      <c r="E20" s="54">
        <v>1</v>
      </c>
      <c r="F20" s="54" t="s">
        <v>222</v>
      </c>
      <c r="G20" s="54" t="s">
        <v>402</v>
      </c>
      <c r="H20" s="54" t="s">
        <v>225</v>
      </c>
      <c r="I20" s="55">
        <v>46410</v>
      </c>
      <c r="J20" s="55">
        <v>46388</v>
      </c>
      <c r="K20" s="54" t="s">
        <v>71</v>
      </c>
      <c r="L20" s="81" t="s">
        <v>414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403</v>
      </c>
      <c r="H21" s="54" t="s">
        <v>225</v>
      </c>
      <c r="I21" s="55">
        <v>46414</v>
      </c>
      <c r="J21" s="55">
        <v>46388</v>
      </c>
      <c r="K21" s="54" t="s">
        <v>71</v>
      </c>
      <c r="L21" s="81" t="s">
        <v>415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402</v>
      </c>
      <c r="H22" s="54" t="s">
        <v>226</v>
      </c>
      <c r="I22" s="55">
        <v>46416</v>
      </c>
      <c r="J22" s="55">
        <v>46388</v>
      </c>
      <c r="K22" s="54" t="s">
        <v>71</v>
      </c>
      <c r="L22" s="81">
        <v>9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>
        <v>1700</v>
      </c>
      <c r="G23" s="54" t="s">
        <v>403</v>
      </c>
      <c r="H23" s="54" t="s">
        <v>226</v>
      </c>
      <c r="I23" s="55">
        <v>46417</v>
      </c>
      <c r="J23" s="55">
        <v>46388</v>
      </c>
      <c r="K23" s="54" t="s">
        <v>71</v>
      </c>
      <c r="L23" s="81">
        <v>17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402</v>
      </c>
      <c r="H24" s="54" t="s">
        <v>227</v>
      </c>
      <c r="I24" s="55">
        <v>46420</v>
      </c>
      <c r="J24" s="55">
        <v>46388</v>
      </c>
      <c r="K24" s="54" t="s">
        <v>71</v>
      </c>
      <c r="L24" s="81">
        <v>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403</v>
      </c>
      <c r="H25" s="54" t="s">
        <v>227</v>
      </c>
      <c r="I25" s="55">
        <v>46408</v>
      </c>
      <c r="J25" s="55">
        <v>46388</v>
      </c>
      <c r="K25" s="54" t="s">
        <v>71</v>
      </c>
      <c r="L25" s="81">
        <v>2</v>
      </c>
      <c r="M25" s="56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410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402</v>
      </c>
      <c r="H26" s="54" t="s">
        <v>228</v>
      </c>
      <c r="I26" s="55">
        <v>46421</v>
      </c>
      <c r="J26" s="55">
        <v>46388</v>
      </c>
      <c r="K26" s="54" t="s">
        <v>71</v>
      </c>
      <c r="L26" s="81">
        <v>3</v>
      </c>
      <c r="M26" s="54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221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403</v>
      </c>
      <c r="H27" s="54" t="s">
        <v>228</v>
      </c>
      <c r="I27" s="55">
        <v>46403</v>
      </c>
      <c r="J27" s="55">
        <v>46388</v>
      </c>
      <c r="K27" s="54" t="s">
        <v>71</v>
      </c>
      <c r="L27" s="81">
        <v>10</v>
      </c>
      <c r="M27" s="56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410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402</v>
      </c>
      <c r="H28" s="54" t="s">
        <v>229</v>
      </c>
      <c r="I28" s="55">
        <v>46423</v>
      </c>
      <c r="J28" s="55">
        <v>46388</v>
      </c>
      <c r="K28" s="54" t="s">
        <v>71</v>
      </c>
      <c r="L28" s="81">
        <v>20</v>
      </c>
      <c r="M28" s="54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221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403</v>
      </c>
      <c r="H29" s="54" t="s">
        <v>229</v>
      </c>
      <c r="I29" s="55">
        <v>46406</v>
      </c>
      <c r="J29" s="55">
        <v>46388</v>
      </c>
      <c r="K29" s="54" t="s">
        <v>71</v>
      </c>
      <c r="L29" s="81">
        <v>18</v>
      </c>
      <c r="M29" s="56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410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276</v>
      </c>
      <c r="H30" s="54" t="s">
        <v>228</v>
      </c>
      <c r="I30" s="55">
        <v>46424</v>
      </c>
      <c r="J30" s="55">
        <v>46388</v>
      </c>
      <c r="K30" s="54" t="s">
        <v>71</v>
      </c>
      <c r="L30" s="81" t="s">
        <v>416</v>
      </c>
      <c r="M30" s="54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221</v>
      </c>
      <c r="W30" s="54" t="s">
        <v>421</v>
      </c>
    </row>
    <row r="31" spans="1:23" ht="20.10000000000000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 t="s">
        <v>222</v>
      </c>
      <c r="G31" s="54" t="s">
        <v>404</v>
      </c>
      <c r="H31" s="54" t="s">
        <v>225</v>
      </c>
      <c r="I31" s="55">
        <v>46426</v>
      </c>
      <c r="J31" s="55">
        <v>46388</v>
      </c>
      <c r="K31" s="54" t="s">
        <v>71</v>
      </c>
      <c r="L31" s="81" t="s">
        <v>417</v>
      </c>
      <c r="M31" s="56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410</v>
      </c>
      <c r="W31" s="54"/>
    </row>
    <row r="32" spans="1:23" ht="20.10000000000000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>
        <v>1700</v>
      </c>
      <c r="G32" s="54" t="s">
        <v>404</v>
      </c>
      <c r="H32" s="54" t="s">
        <v>226</v>
      </c>
      <c r="I32" s="55">
        <v>46427</v>
      </c>
      <c r="J32" s="55">
        <v>46388</v>
      </c>
      <c r="K32" s="54" t="s">
        <v>71</v>
      </c>
      <c r="L32" s="81">
        <v>24</v>
      </c>
      <c r="M32" s="54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221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227</v>
      </c>
      <c r="I33" s="55">
        <v>46428</v>
      </c>
      <c r="J33" s="55">
        <v>46388</v>
      </c>
      <c r="K33" s="54" t="s">
        <v>71</v>
      </c>
      <c r="L33" s="81">
        <v>19</v>
      </c>
      <c r="M33" s="56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410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228</v>
      </c>
      <c r="I34" s="55">
        <v>46430</v>
      </c>
      <c r="J34" s="55">
        <v>46388</v>
      </c>
      <c r="K34" s="54" t="s">
        <v>71</v>
      </c>
      <c r="L34" s="81">
        <v>15</v>
      </c>
      <c r="M34" s="54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221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229</v>
      </c>
      <c r="I35" s="55">
        <v>46431</v>
      </c>
      <c r="J35" s="55">
        <v>46388</v>
      </c>
      <c r="K35" s="54" t="s">
        <v>71</v>
      </c>
      <c r="L35" s="81">
        <v>16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customHeight="1" x14ac:dyDescent="0.25">
      <c r="A36" s="99">
        <v>1005</v>
      </c>
      <c r="B36" s="99" t="s">
        <v>76</v>
      </c>
      <c r="C36" s="100" t="s">
        <v>173</v>
      </c>
      <c r="D36" s="54" t="s">
        <v>413</v>
      </c>
      <c r="E36" s="54">
        <v>1</v>
      </c>
      <c r="F36" s="54" t="s">
        <v>268</v>
      </c>
      <c r="G36" s="54" t="s">
        <v>402</v>
      </c>
      <c r="H36" s="54" t="s">
        <v>225</v>
      </c>
      <c r="I36" s="55">
        <v>46388</v>
      </c>
      <c r="J36" s="55">
        <v>46388</v>
      </c>
      <c r="K36" s="54" t="s">
        <v>71</v>
      </c>
      <c r="L36" s="54">
        <v>31</v>
      </c>
      <c r="M36" s="56" t="s">
        <v>400</v>
      </c>
      <c r="N36" s="56" t="s">
        <v>405</v>
      </c>
      <c r="O36" s="56" t="s">
        <v>267</v>
      </c>
      <c r="P36" s="54"/>
      <c r="Q36" s="54"/>
      <c r="R36" s="54"/>
      <c r="S36" s="54"/>
      <c r="T36" s="54"/>
      <c r="U36" s="54"/>
      <c r="V36" s="54" t="s">
        <v>485</v>
      </c>
      <c r="W36" s="100"/>
    </row>
    <row r="37" spans="1:23" ht="20.100000000000001" customHeight="1" x14ac:dyDescent="0.25">
      <c r="A37" s="99">
        <v>1005</v>
      </c>
      <c r="B37" s="99" t="s">
        <v>76</v>
      </c>
      <c r="C37" s="100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226</v>
      </c>
      <c r="I37" s="55">
        <v>46388</v>
      </c>
      <c r="J37" s="55">
        <v>46388</v>
      </c>
      <c r="K37" s="54" t="s">
        <v>71</v>
      </c>
      <c r="L37" s="54">
        <v>32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100"/>
    </row>
    <row r="38" spans="1:23" ht="20.100000000000001" customHeight="1" x14ac:dyDescent="0.25">
      <c r="A38" s="99">
        <v>1005</v>
      </c>
      <c r="B38" s="99" t="s">
        <v>76</v>
      </c>
      <c r="C38" s="100" t="s">
        <v>173</v>
      </c>
      <c r="D38" s="54" t="s">
        <v>413</v>
      </c>
      <c r="E38" s="54">
        <v>1</v>
      </c>
      <c r="F38" s="54" t="s">
        <v>268</v>
      </c>
      <c r="G38" s="54" t="s">
        <v>404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17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100"/>
    </row>
    <row r="39" spans="1:23" ht="20.100000000000001" customHeight="1" x14ac:dyDescent="0.25">
      <c r="A39" s="99">
        <v>1005</v>
      </c>
      <c r="B39" s="99" t="s">
        <v>76</v>
      </c>
      <c r="C39" s="100" t="s">
        <v>173</v>
      </c>
      <c r="D39" s="54" t="s">
        <v>413</v>
      </c>
      <c r="E39" s="54">
        <v>1</v>
      </c>
      <c r="F39" s="54" t="s">
        <v>268</v>
      </c>
      <c r="G39" s="54" t="s">
        <v>486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100"/>
    </row>
    <row r="40" spans="1:23" ht="20.100000000000001" customHeight="1" x14ac:dyDescent="0.25">
      <c r="A40" s="99">
        <v>1005</v>
      </c>
      <c r="B40" s="99" t="s">
        <v>76</v>
      </c>
      <c r="C40" s="100" t="s">
        <v>173</v>
      </c>
      <c r="D40" s="54" t="s">
        <v>413</v>
      </c>
      <c r="E40" s="54">
        <v>1</v>
      </c>
      <c r="F40" s="54" t="s">
        <v>268</v>
      </c>
      <c r="G40" s="54" t="s">
        <v>402</v>
      </c>
      <c r="H40" s="54" t="s">
        <v>227</v>
      </c>
      <c r="I40" s="55">
        <v>46388</v>
      </c>
      <c r="J40" s="55">
        <v>46388</v>
      </c>
      <c r="K40" s="54" t="s">
        <v>71</v>
      </c>
      <c r="L40" s="54">
        <v>21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100"/>
    </row>
    <row r="41" spans="1:23" ht="20.100000000000001" customHeight="1" x14ac:dyDescent="0.25">
      <c r="A41" s="99">
        <v>1005</v>
      </c>
      <c r="B41" s="99" t="s">
        <v>76</v>
      </c>
      <c r="C41" s="100" t="s">
        <v>173</v>
      </c>
      <c r="D41" s="54" t="s">
        <v>413</v>
      </c>
      <c r="E41" s="54">
        <v>1</v>
      </c>
      <c r="F41" s="54" t="s">
        <v>268</v>
      </c>
      <c r="G41" s="54" t="s">
        <v>486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4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100"/>
    </row>
    <row r="42" spans="1:23" ht="20.100000000000001" customHeight="1" x14ac:dyDescent="0.25">
      <c r="A42" s="99">
        <v>1005</v>
      </c>
      <c r="B42" s="99" t="s">
        <v>76</v>
      </c>
      <c r="C42" s="100" t="s">
        <v>173</v>
      </c>
      <c r="D42" s="54" t="s">
        <v>413</v>
      </c>
      <c r="E42" s="54">
        <v>1</v>
      </c>
      <c r="F42" s="54" t="s">
        <v>268</v>
      </c>
      <c r="G42" s="54" t="s">
        <v>402</v>
      </c>
      <c r="H42" s="54" t="s">
        <v>228</v>
      </c>
      <c r="I42" s="55">
        <v>46388</v>
      </c>
      <c r="J42" s="55">
        <v>46388</v>
      </c>
      <c r="K42" s="54" t="s">
        <v>71</v>
      </c>
      <c r="L42" s="54">
        <v>5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100"/>
    </row>
    <row r="43" spans="1:23" ht="20.100000000000001" customHeight="1" x14ac:dyDescent="0.25">
      <c r="A43" s="99">
        <v>1005</v>
      </c>
      <c r="B43" s="99" t="s">
        <v>76</v>
      </c>
      <c r="C43" s="100" t="s">
        <v>173</v>
      </c>
      <c r="D43" s="54" t="s">
        <v>413</v>
      </c>
      <c r="E43" s="54">
        <v>1</v>
      </c>
      <c r="F43" s="54" t="s">
        <v>268</v>
      </c>
      <c r="G43" s="54" t="s">
        <v>404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33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100"/>
    </row>
    <row r="44" spans="1:23" ht="20.100000000000001" customHeight="1" x14ac:dyDescent="0.25">
      <c r="A44" s="99">
        <v>1005</v>
      </c>
      <c r="B44" s="99" t="s">
        <v>76</v>
      </c>
      <c r="C44" s="100" t="s">
        <v>173</v>
      </c>
      <c r="D44" s="54" t="s">
        <v>413</v>
      </c>
      <c r="E44" s="54">
        <v>1</v>
      </c>
      <c r="F44" s="54" t="s">
        <v>268</v>
      </c>
      <c r="G44" s="54" t="s">
        <v>402</v>
      </c>
      <c r="H44" s="54" t="s">
        <v>229</v>
      </c>
      <c r="I44" s="55">
        <v>46388</v>
      </c>
      <c r="J44" s="55">
        <v>46388</v>
      </c>
      <c r="K44" s="54" t="s">
        <v>71</v>
      </c>
      <c r="L44" s="54">
        <v>13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100"/>
    </row>
    <row r="45" spans="1:23" ht="20.100000000000001" customHeight="1" x14ac:dyDescent="0.25">
      <c r="A45" s="99">
        <v>1005</v>
      </c>
      <c r="B45" s="99" t="s">
        <v>76</v>
      </c>
      <c r="C45" s="100" t="s">
        <v>173</v>
      </c>
      <c r="D45" s="54" t="s">
        <v>413</v>
      </c>
      <c r="E45" s="54">
        <v>1</v>
      </c>
      <c r="F45" s="54" t="s">
        <v>268</v>
      </c>
      <c r="G45" s="54" t="s">
        <v>404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30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100"/>
    </row>
    <row r="46" spans="1:23" ht="20.100000000000001" customHeight="1" x14ac:dyDescent="0.25">
      <c r="A46" s="99">
        <v>1005</v>
      </c>
      <c r="B46" s="99" t="s">
        <v>76</v>
      </c>
      <c r="C46" s="100" t="s">
        <v>173</v>
      </c>
      <c r="D46" s="54" t="s">
        <v>413</v>
      </c>
      <c r="E46" s="54">
        <v>1</v>
      </c>
      <c r="F46" s="54" t="s">
        <v>268</v>
      </c>
      <c r="G46" s="54" t="s">
        <v>486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23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100"/>
    </row>
    <row r="47" spans="1:23" ht="20.100000000000001" customHeight="1" x14ac:dyDescent="0.25">
      <c r="A47" s="99">
        <v>2080</v>
      </c>
      <c r="B47" s="99" t="s">
        <v>76</v>
      </c>
      <c r="C47" s="100" t="s">
        <v>292</v>
      </c>
      <c r="D47" s="54" t="s">
        <v>413</v>
      </c>
      <c r="E47" s="100">
        <v>1</v>
      </c>
      <c r="F47" s="54" t="s">
        <v>290</v>
      </c>
      <c r="G47" s="57" t="s">
        <v>76</v>
      </c>
      <c r="H47" s="54" t="s">
        <v>76</v>
      </c>
      <c r="I47" s="103">
        <v>46188</v>
      </c>
      <c r="J47" s="103" t="s">
        <v>69</v>
      </c>
      <c r="K47" s="54" t="s">
        <v>69</v>
      </c>
      <c r="L47" s="54">
        <v>33</v>
      </c>
      <c r="M47" s="56" t="s">
        <v>487</v>
      </c>
      <c r="N47" s="56" t="s">
        <v>405</v>
      </c>
      <c r="O47" s="54"/>
      <c r="P47" s="54"/>
      <c r="Q47" s="54"/>
      <c r="R47" s="54"/>
      <c r="S47" s="54"/>
      <c r="T47" s="54"/>
      <c r="U47" s="54"/>
      <c r="V47" s="54" t="s">
        <v>356</v>
      </c>
      <c r="W47" s="100"/>
    </row>
    <row r="48" spans="1:23" ht="20.100000000000001" customHeight="1" x14ac:dyDescent="0.25">
      <c r="A48" s="99">
        <v>2080</v>
      </c>
      <c r="B48" s="99" t="s">
        <v>76</v>
      </c>
      <c r="C48" s="100" t="s">
        <v>292</v>
      </c>
      <c r="D48" s="54" t="s">
        <v>413</v>
      </c>
      <c r="E48" s="100">
        <v>1</v>
      </c>
      <c r="F48" s="54" t="s">
        <v>290</v>
      </c>
      <c r="G48" s="57" t="s">
        <v>76</v>
      </c>
      <c r="H48" s="54" t="s">
        <v>76</v>
      </c>
      <c r="I48" s="103">
        <v>46188</v>
      </c>
      <c r="J48" s="103" t="s">
        <v>69</v>
      </c>
      <c r="K48" s="54" t="s">
        <v>69</v>
      </c>
      <c r="L48" s="54">
        <v>44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356</v>
      </c>
      <c r="W48" s="100"/>
    </row>
    <row r="49" spans="1:23" ht="20.100000000000001" customHeight="1" x14ac:dyDescent="0.25">
      <c r="A49" s="99">
        <v>2078</v>
      </c>
      <c r="B49" s="99" t="s">
        <v>76</v>
      </c>
      <c r="C49" s="100" t="s">
        <v>280</v>
      </c>
      <c r="D49" s="54" t="s">
        <v>413</v>
      </c>
      <c r="E49" s="100">
        <v>1</v>
      </c>
      <c r="F49" s="54" t="s">
        <v>282</v>
      </c>
      <c r="G49" s="57" t="s">
        <v>76</v>
      </c>
      <c r="H49" s="54" t="s">
        <v>76</v>
      </c>
      <c r="I49" s="103">
        <v>46193</v>
      </c>
      <c r="J49" s="103" t="s">
        <v>69</v>
      </c>
      <c r="K49" s="54" t="s">
        <v>69</v>
      </c>
      <c r="L49" s="57">
        <v>123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356</v>
      </c>
      <c r="W49" s="100"/>
    </row>
    <row r="50" spans="1:23" ht="20.100000000000001" customHeight="1" x14ac:dyDescent="0.25">
      <c r="A50" s="99">
        <v>2078</v>
      </c>
      <c r="B50" s="99" t="s">
        <v>76</v>
      </c>
      <c r="C50" s="100" t="s">
        <v>280</v>
      </c>
      <c r="D50" s="54" t="s">
        <v>413</v>
      </c>
      <c r="E50" s="100">
        <v>1</v>
      </c>
      <c r="F50" s="54" t="s">
        <v>282</v>
      </c>
      <c r="G50" s="57" t="s">
        <v>76</v>
      </c>
      <c r="H50" s="54" t="s">
        <v>76</v>
      </c>
      <c r="I50" s="103">
        <v>46193</v>
      </c>
      <c r="J50" s="103" t="s">
        <v>69</v>
      </c>
      <c r="K50" s="54" t="s">
        <v>69</v>
      </c>
      <c r="L50" s="57">
        <v>6734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100"/>
    </row>
    <row r="51" spans="1:23" ht="20.100000000000001" customHeight="1" x14ac:dyDescent="0.25">
      <c r="A51" s="99">
        <v>2078</v>
      </c>
      <c r="B51" s="99" t="s">
        <v>76</v>
      </c>
      <c r="C51" s="100" t="s">
        <v>280</v>
      </c>
      <c r="D51" s="54" t="s">
        <v>413</v>
      </c>
      <c r="E51" s="100">
        <v>1</v>
      </c>
      <c r="F51" s="54" t="s">
        <v>282</v>
      </c>
      <c r="G51" s="57" t="s">
        <v>76</v>
      </c>
      <c r="H51" s="54" t="s">
        <v>76</v>
      </c>
      <c r="I51" s="103">
        <v>46193</v>
      </c>
      <c r="J51" s="103" t="s">
        <v>69</v>
      </c>
      <c r="K51" s="54" t="s">
        <v>69</v>
      </c>
      <c r="L51" s="57">
        <v>173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100"/>
    </row>
    <row r="52" spans="1:23" ht="20.100000000000001" customHeight="1" x14ac:dyDescent="0.25">
      <c r="A52" s="99">
        <v>2078</v>
      </c>
      <c r="B52" s="99" t="s">
        <v>76</v>
      </c>
      <c r="C52" s="100" t="s">
        <v>280</v>
      </c>
      <c r="D52" s="54" t="s">
        <v>413</v>
      </c>
      <c r="E52" s="100">
        <v>1</v>
      </c>
      <c r="F52" s="54" t="s">
        <v>282</v>
      </c>
      <c r="G52" s="57" t="s">
        <v>76</v>
      </c>
      <c r="H52" s="54" t="s">
        <v>76</v>
      </c>
      <c r="I52" s="103">
        <v>46193</v>
      </c>
      <c r="J52" s="103" t="s">
        <v>69</v>
      </c>
      <c r="K52" s="54" t="s">
        <v>69</v>
      </c>
      <c r="L52" s="57">
        <v>181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100"/>
    </row>
    <row r="53" spans="1:23" ht="20.100000000000001" customHeight="1" x14ac:dyDescent="0.25">
      <c r="A53" s="99">
        <v>2078</v>
      </c>
      <c r="B53" s="99" t="s">
        <v>76</v>
      </c>
      <c r="C53" s="100" t="s">
        <v>280</v>
      </c>
      <c r="D53" s="54" t="s">
        <v>413</v>
      </c>
      <c r="E53" s="100">
        <v>1</v>
      </c>
      <c r="F53" s="54" t="s">
        <v>282</v>
      </c>
      <c r="G53" s="57" t="s">
        <v>76</v>
      </c>
      <c r="H53" s="54" t="s">
        <v>76</v>
      </c>
      <c r="I53" s="103">
        <v>46193</v>
      </c>
      <c r="J53" s="103" t="s">
        <v>69</v>
      </c>
      <c r="K53" s="54" t="s">
        <v>69</v>
      </c>
      <c r="L53" s="57">
        <v>187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100"/>
    </row>
    <row r="54" spans="1:23" ht="20.100000000000001" customHeight="1" x14ac:dyDescent="0.25">
      <c r="A54" s="99">
        <v>2078</v>
      </c>
      <c r="B54" s="99" t="s">
        <v>76</v>
      </c>
      <c r="C54" s="100" t="s">
        <v>280</v>
      </c>
      <c r="D54" s="54" t="s">
        <v>413</v>
      </c>
      <c r="E54" s="100">
        <v>1</v>
      </c>
      <c r="F54" s="54" t="s">
        <v>282</v>
      </c>
      <c r="G54" s="57" t="s">
        <v>76</v>
      </c>
      <c r="H54" s="54" t="s">
        <v>76</v>
      </c>
      <c r="I54" s="103">
        <v>46193</v>
      </c>
      <c r="J54" s="103" t="s">
        <v>69</v>
      </c>
      <c r="K54" s="54" t="s">
        <v>69</v>
      </c>
      <c r="L54" s="57">
        <v>199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278</v>
      </c>
      <c r="W54" s="100" t="s">
        <v>96</v>
      </c>
    </row>
    <row r="55" spans="1:23" ht="20.100000000000001" customHeight="1" x14ac:dyDescent="0.25">
      <c r="A55" s="99">
        <v>2078</v>
      </c>
      <c r="B55" s="99" t="s">
        <v>76</v>
      </c>
      <c r="C55" s="100" t="s">
        <v>280</v>
      </c>
      <c r="D55" s="54" t="s">
        <v>413</v>
      </c>
      <c r="E55" s="100">
        <v>1</v>
      </c>
      <c r="F55" s="54" t="s">
        <v>282</v>
      </c>
      <c r="G55" s="57" t="s">
        <v>76</v>
      </c>
      <c r="H55" s="54" t="s">
        <v>76</v>
      </c>
      <c r="I55" s="103">
        <v>46193</v>
      </c>
      <c r="J55" s="103" t="s">
        <v>69</v>
      </c>
      <c r="K55" s="54" t="s">
        <v>69</v>
      </c>
      <c r="L55" s="57">
        <v>200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356</v>
      </c>
      <c r="W55" s="100"/>
    </row>
    <row r="56" spans="1:23" ht="20.100000000000001" customHeight="1" x14ac:dyDescent="0.25">
      <c r="A56" s="99">
        <v>2078</v>
      </c>
      <c r="B56" s="99" t="s">
        <v>76</v>
      </c>
      <c r="C56" s="100" t="s">
        <v>280</v>
      </c>
      <c r="D56" s="54" t="s">
        <v>413</v>
      </c>
      <c r="E56" s="100">
        <v>1</v>
      </c>
      <c r="F56" s="54" t="s">
        <v>282</v>
      </c>
      <c r="G56" s="57" t="s">
        <v>76</v>
      </c>
      <c r="H56" s="54" t="s">
        <v>76</v>
      </c>
      <c r="I56" s="103">
        <v>46193</v>
      </c>
      <c r="J56" s="103" t="s">
        <v>69</v>
      </c>
      <c r="K56" s="54" t="s">
        <v>69</v>
      </c>
      <c r="L56" s="57">
        <v>201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100"/>
    </row>
    <row r="57" spans="1:23" ht="20.100000000000001" customHeight="1" x14ac:dyDescent="0.25">
      <c r="A57" s="99">
        <v>2078</v>
      </c>
      <c r="B57" s="99" t="s">
        <v>76</v>
      </c>
      <c r="C57" s="100" t="s">
        <v>280</v>
      </c>
      <c r="D57" s="54" t="s">
        <v>413</v>
      </c>
      <c r="E57" s="100">
        <v>1</v>
      </c>
      <c r="F57" s="54" t="s">
        <v>282</v>
      </c>
      <c r="G57" s="57" t="s">
        <v>76</v>
      </c>
      <c r="H57" s="54" t="s">
        <v>76</v>
      </c>
      <c r="I57" s="103">
        <v>46193</v>
      </c>
      <c r="J57" s="103" t="s">
        <v>69</v>
      </c>
      <c r="K57" s="54" t="s">
        <v>69</v>
      </c>
      <c r="L57" s="57" t="s">
        <v>488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100"/>
    </row>
    <row r="58" spans="1:23" ht="20.100000000000001" customHeight="1" x14ac:dyDescent="0.25">
      <c r="A58" s="99">
        <v>2078</v>
      </c>
      <c r="B58" s="99" t="s">
        <v>76</v>
      </c>
      <c r="C58" s="100" t="s">
        <v>280</v>
      </c>
      <c r="D58" s="54" t="s">
        <v>413</v>
      </c>
      <c r="E58" s="100">
        <v>1</v>
      </c>
      <c r="F58" s="54" t="s">
        <v>282</v>
      </c>
      <c r="G58" s="57" t="s">
        <v>76</v>
      </c>
      <c r="H58" s="54" t="s">
        <v>76</v>
      </c>
      <c r="I58" s="103">
        <v>46193</v>
      </c>
      <c r="J58" s="103" t="s">
        <v>69</v>
      </c>
      <c r="K58" s="54" t="s">
        <v>69</v>
      </c>
      <c r="L58" s="57" t="s">
        <v>489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100"/>
    </row>
    <row r="59" spans="1:23" ht="20.100000000000001" customHeight="1" x14ac:dyDescent="0.25">
      <c r="A59" s="99">
        <v>2078</v>
      </c>
      <c r="B59" s="99" t="s">
        <v>76</v>
      </c>
      <c r="C59" s="100" t="s">
        <v>280</v>
      </c>
      <c r="D59" s="54" t="s">
        <v>413</v>
      </c>
      <c r="E59" s="100">
        <v>1</v>
      </c>
      <c r="F59" s="54" t="s">
        <v>282</v>
      </c>
      <c r="G59" s="57" t="s">
        <v>76</v>
      </c>
      <c r="H59" s="54" t="s">
        <v>76</v>
      </c>
      <c r="I59" s="103">
        <v>46193</v>
      </c>
      <c r="J59" s="103" t="s">
        <v>69</v>
      </c>
      <c r="K59" s="54" t="s">
        <v>69</v>
      </c>
      <c r="L59" s="57" t="s">
        <v>490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278</v>
      </c>
      <c r="W59" s="100"/>
    </row>
    <row r="60" spans="1:23" ht="20.100000000000001" customHeight="1" x14ac:dyDescent="0.25">
      <c r="A60" s="99">
        <v>2077</v>
      </c>
      <c r="B60" s="99" t="s">
        <v>76</v>
      </c>
      <c r="C60" s="100" t="s">
        <v>277</v>
      </c>
      <c r="D60" s="54" t="s">
        <v>413</v>
      </c>
      <c r="E60" s="100">
        <v>1</v>
      </c>
      <c r="F60" s="57" t="s">
        <v>222</v>
      </c>
      <c r="G60" s="57" t="s">
        <v>76</v>
      </c>
      <c r="H60" s="54" t="s">
        <v>76</v>
      </c>
      <c r="I60" s="103">
        <v>46193</v>
      </c>
      <c r="J60" s="103" t="s">
        <v>69</v>
      </c>
      <c r="K60" s="54" t="s">
        <v>69</v>
      </c>
      <c r="L60" s="57">
        <v>6032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356</v>
      </c>
      <c r="W60" s="100"/>
    </row>
    <row r="61" spans="1:23" ht="20.100000000000001" customHeight="1" x14ac:dyDescent="0.25">
      <c r="A61" s="99">
        <v>2077</v>
      </c>
      <c r="B61" s="99" t="s">
        <v>76</v>
      </c>
      <c r="C61" s="100" t="s">
        <v>277</v>
      </c>
      <c r="D61" s="54" t="s">
        <v>413</v>
      </c>
      <c r="E61" s="100">
        <v>1</v>
      </c>
      <c r="F61" s="57" t="s">
        <v>222</v>
      </c>
      <c r="G61" s="57" t="s">
        <v>76</v>
      </c>
      <c r="H61" s="54" t="s">
        <v>76</v>
      </c>
      <c r="I61" s="103">
        <v>46193</v>
      </c>
      <c r="J61" s="103" t="s">
        <v>69</v>
      </c>
      <c r="K61" s="54" t="s">
        <v>69</v>
      </c>
      <c r="L61" s="57">
        <v>6040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278</v>
      </c>
      <c r="W61" s="100" t="s">
        <v>96</v>
      </c>
    </row>
    <row r="62" spans="1:23" ht="20.100000000000001" customHeight="1" x14ac:dyDescent="0.25">
      <c r="A62" s="99">
        <v>1386</v>
      </c>
      <c r="B62" s="99" t="s">
        <v>76</v>
      </c>
      <c r="C62" s="100" t="s">
        <v>277</v>
      </c>
      <c r="D62" s="54" t="s">
        <v>413</v>
      </c>
      <c r="E62" s="100">
        <v>1</v>
      </c>
      <c r="F62" s="57" t="s">
        <v>222</v>
      </c>
      <c r="G62" s="57" t="s">
        <v>76</v>
      </c>
      <c r="H62" s="54" t="s">
        <v>76</v>
      </c>
      <c r="I62" s="103">
        <v>46193</v>
      </c>
      <c r="J62" s="103" t="s">
        <v>69</v>
      </c>
      <c r="K62" s="54" t="s">
        <v>69</v>
      </c>
      <c r="L62" s="57">
        <v>6075</v>
      </c>
      <c r="M62" s="100" t="s">
        <v>400</v>
      </c>
      <c r="N62" s="100" t="s">
        <v>405</v>
      </c>
      <c r="O62" s="54" t="s">
        <v>267</v>
      </c>
      <c r="P62" s="54"/>
      <c r="Q62" s="54"/>
      <c r="R62" s="54"/>
      <c r="S62" s="54"/>
      <c r="T62" s="54"/>
      <c r="U62" s="54"/>
      <c r="V62" s="54" t="s">
        <v>221</v>
      </c>
      <c r="W62" s="100" t="s">
        <v>401</v>
      </c>
    </row>
    <row r="63" spans="1:23" ht="20.100000000000001" customHeight="1" x14ac:dyDescent="0.25">
      <c r="A63" s="99">
        <v>1006</v>
      </c>
      <c r="B63" s="99" t="s">
        <v>76</v>
      </c>
      <c r="C63" s="100" t="s">
        <v>288</v>
      </c>
      <c r="D63" s="54" t="s">
        <v>413</v>
      </c>
      <c r="E63" s="100">
        <v>1</v>
      </c>
      <c r="F63" s="54" t="s">
        <v>289</v>
      </c>
      <c r="G63" s="57" t="s">
        <v>76</v>
      </c>
      <c r="H63" s="54" t="s">
        <v>76</v>
      </c>
      <c r="I63" s="103">
        <v>46193</v>
      </c>
      <c r="J63" s="103" t="s">
        <v>69</v>
      </c>
      <c r="K63" s="54" t="s">
        <v>69</v>
      </c>
      <c r="L63" s="54">
        <v>18</v>
      </c>
      <c r="M63" s="56" t="s">
        <v>487</v>
      </c>
      <c r="N63" s="56" t="s">
        <v>405</v>
      </c>
      <c r="O63" s="54"/>
      <c r="P63" s="54"/>
      <c r="Q63" s="54"/>
      <c r="R63" s="54"/>
      <c r="S63" s="54"/>
      <c r="T63" s="54"/>
      <c r="U63" s="54"/>
      <c r="V63" s="54" t="s">
        <v>278</v>
      </c>
      <c r="W63" s="100"/>
    </row>
    <row r="64" spans="1:23" ht="20.100000000000001" customHeight="1" x14ac:dyDescent="0.25">
      <c r="A64" s="99">
        <v>1006</v>
      </c>
      <c r="B64" s="99" t="s">
        <v>76</v>
      </c>
      <c r="C64" s="100" t="s">
        <v>288</v>
      </c>
      <c r="D64" s="54" t="s">
        <v>413</v>
      </c>
      <c r="E64" s="100">
        <v>1</v>
      </c>
      <c r="F64" s="54" t="s">
        <v>290</v>
      </c>
      <c r="G64" s="57" t="s">
        <v>76</v>
      </c>
      <c r="H64" s="54" t="s">
        <v>76</v>
      </c>
      <c r="I64" s="103">
        <v>46193</v>
      </c>
      <c r="J64" s="103" t="s">
        <v>69</v>
      </c>
      <c r="K64" s="54" t="s">
        <v>69</v>
      </c>
      <c r="L64" s="54" t="s">
        <v>491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278</v>
      </c>
      <c r="W64" s="100"/>
    </row>
    <row r="65" spans="1:23" ht="20.100000000000001" customHeight="1" x14ac:dyDescent="0.25">
      <c r="A65" s="99">
        <v>2097</v>
      </c>
      <c r="B65" s="99" t="s">
        <v>76</v>
      </c>
      <c r="C65" s="100" t="s">
        <v>284</v>
      </c>
      <c r="D65" s="54" t="s">
        <v>413</v>
      </c>
      <c r="E65" s="100">
        <v>1</v>
      </c>
      <c r="F65" s="54" t="s">
        <v>285</v>
      </c>
      <c r="G65" s="57" t="s">
        <v>76</v>
      </c>
      <c r="H65" s="54" t="s">
        <v>76</v>
      </c>
      <c r="I65" s="103">
        <v>46193</v>
      </c>
      <c r="J65" s="103" t="s">
        <v>69</v>
      </c>
      <c r="K65" s="54" t="s">
        <v>69</v>
      </c>
      <c r="L65" s="54" t="s">
        <v>492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278</v>
      </c>
      <c r="W65" s="100" t="s">
        <v>96</v>
      </c>
    </row>
    <row r="66" spans="1:23" ht="20.100000000000001" customHeight="1" x14ac:dyDescent="0.25">
      <c r="A66" s="99">
        <v>1032</v>
      </c>
      <c r="B66" s="99" t="s">
        <v>76</v>
      </c>
      <c r="C66" s="100" t="s">
        <v>493</v>
      </c>
      <c r="D66" s="54" t="s">
        <v>413</v>
      </c>
      <c r="E66" s="100">
        <v>1</v>
      </c>
      <c r="F66" s="54" t="s">
        <v>289</v>
      </c>
      <c r="G66" s="57" t="s">
        <v>76</v>
      </c>
      <c r="H66" s="54" t="s">
        <v>76</v>
      </c>
      <c r="I66" s="103">
        <v>46193</v>
      </c>
      <c r="J66" s="103" t="s">
        <v>69</v>
      </c>
      <c r="K66" s="54" t="s">
        <v>69</v>
      </c>
      <c r="L66" s="54">
        <v>62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278</v>
      </c>
      <c r="W66" s="100" t="s">
        <v>96</v>
      </c>
    </row>
    <row r="67" spans="1:23" ht="20.100000000000001" customHeight="1" x14ac:dyDescent="0.25">
      <c r="A67" s="99">
        <v>1032</v>
      </c>
      <c r="B67" s="99" t="s">
        <v>76</v>
      </c>
      <c r="C67" s="100" t="s">
        <v>493</v>
      </c>
      <c r="D67" s="54" t="s">
        <v>413</v>
      </c>
      <c r="E67" s="100">
        <v>1</v>
      </c>
      <c r="F67" s="54" t="s">
        <v>289</v>
      </c>
      <c r="G67" s="57" t="s">
        <v>76</v>
      </c>
      <c r="H67" s="54" t="s">
        <v>76</v>
      </c>
      <c r="I67" s="103">
        <v>46193</v>
      </c>
      <c r="J67" s="103" t="s">
        <v>69</v>
      </c>
      <c r="K67" s="54" t="s">
        <v>69</v>
      </c>
      <c r="L67" s="54">
        <v>58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278</v>
      </c>
      <c r="W67" s="100" t="s">
        <v>96</v>
      </c>
    </row>
    <row r="68" spans="1:23" ht="20.100000000000001" customHeight="1" x14ac:dyDescent="0.25">
      <c r="A68" s="99">
        <v>1032</v>
      </c>
      <c r="B68" s="99" t="s">
        <v>76</v>
      </c>
      <c r="C68" s="100" t="s">
        <v>493</v>
      </c>
      <c r="D68" s="54" t="s">
        <v>413</v>
      </c>
      <c r="E68" s="100">
        <v>1</v>
      </c>
      <c r="F68" s="54" t="s">
        <v>289</v>
      </c>
      <c r="G68" s="57" t="s">
        <v>76</v>
      </c>
      <c r="H68" s="54" t="s">
        <v>76</v>
      </c>
      <c r="I68" s="103">
        <v>46193</v>
      </c>
      <c r="J68" s="103" t="s">
        <v>69</v>
      </c>
      <c r="K68" s="54" t="s">
        <v>69</v>
      </c>
      <c r="L68" s="54">
        <v>34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278</v>
      </c>
      <c r="W68" s="100" t="s">
        <v>96</v>
      </c>
    </row>
    <row r="69" spans="1:23" ht="20.100000000000001" customHeight="1" x14ac:dyDescent="0.25">
      <c r="A69" s="99">
        <v>1032</v>
      </c>
      <c r="B69" s="99" t="s">
        <v>76</v>
      </c>
      <c r="C69" s="100" t="s">
        <v>493</v>
      </c>
      <c r="D69" s="54" t="s">
        <v>413</v>
      </c>
      <c r="E69" s="100">
        <v>1</v>
      </c>
      <c r="F69" s="54" t="s">
        <v>289</v>
      </c>
      <c r="G69" s="57" t="s">
        <v>76</v>
      </c>
      <c r="H69" s="54" t="s">
        <v>76</v>
      </c>
      <c r="I69" s="103">
        <v>46193</v>
      </c>
      <c r="J69" s="103" t="s">
        <v>69</v>
      </c>
      <c r="K69" s="54" t="s">
        <v>69</v>
      </c>
      <c r="L69" s="54" t="s">
        <v>494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278</v>
      </c>
      <c r="W69" s="100" t="s">
        <v>96</v>
      </c>
    </row>
    <row r="70" spans="1:23" ht="20.100000000000001" customHeight="1" x14ac:dyDescent="0.25">
      <c r="A70" s="99">
        <v>2088</v>
      </c>
      <c r="B70" s="99" t="s">
        <v>76</v>
      </c>
      <c r="C70" s="100" t="s">
        <v>286</v>
      </c>
      <c r="D70" s="54" t="s">
        <v>413</v>
      </c>
      <c r="E70" s="100">
        <v>1</v>
      </c>
      <c r="F70" s="54" t="s">
        <v>222</v>
      </c>
      <c r="G70" s="57" t="s">
        <v>76</v>
      </c>
      <c r="H70" s="54" t="s">
        <v>76</v>
      </c>
      <c r="I70" s="103">
        <v>46233</v>
      </c>
      <c r="J70" s="103" t="s">
        <v>69</v>
      </c>
      <c r="K70" s="54" t="s">
        <v>69</v>
      </c>
      <c r="L70" s="54">
        <v>62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278</v>
      </c>
      <c r="W70" s="100"/>
    </row>
    <row r="71" spans="1:23" ht="20.100000000000001" customHeight="1" x14ac:dyDescent="0.25">
      <c r="A71" s="99">
        <v>2088</v>
      </c>
      <c r="B71" s="99" t="s">
        <v>76</v>
      </c>
      <c r="C71" s="100" t="s">
        <v>286</v>
      </c>
      <c r="D71" s="54" t="s">
        <v>413</v>
      </c>
      <c r="E71" s="100">
        <v>1</v>
      </c>
      <c r="F71" s="54" t="s">
        <v>222</v>
      </c>
      <c r="G71" s="57" t="s">
        <v>76</v>
      </c>
      <c r="H71" s="54" t="s">
        <v>76</v>
      </c>
      <c r="I71" s="103">
        <v>46233</v>
      </c>
      <c r="J71" s="103" t="s">
        <v>69</v>
      </c>
      <c r="K71" s="54" t="s">
        <v>69</v>
      </c>
      <c r="L71" s="54" t="s">
        <v>495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100"/>
    </row>
    <row r="72" spans="1:23" ht="20.100000000000001" customHeight="1" x14ac:dyDescent="0.25">
      <c r="A72" s="99">
        <v>2088</v>
      </c>
      <c r="B72" s="99" t="s">
        <v>76</v>
      </c>
      <c r="C72" s="100" t="s">
        <v>286</v>
      </c>
      <c r="D72" s="54" t="s">
        <v>413</v>
      </c>
      <c r="E72" s="100">
        <v>1</v>
      </c>
      <c r="F72" s="54">
        <v>2200</v>
      </c>
      <c r="G72" s="57" t="s">
        <v>76</v>
      </c>
      <c r="H72" s="54" t="s">
        <v>76</v>
      </c>
      <c r="I72" s="103">
        <v>46233</v>
      </c>
      <c r="J72" s="103" t="s">
        <v>69</v>
      </c>
      <c r="K72" s="54" t="s">
        <v>69</v>
      </c>
      <c r="L72" s="54" t="s">
        <v>496</v>
      </c>
      <c r="M72" s="54" t="s">
        <v>498</v>
      </c>
      <c r="N72" s="54" t="s">
        <v>499</v>
      </c>
      <c r="O72" s="54" t="s">
        <v>245</v>
      </c>
      <c r="P72" s="54" t="s">
        <v>405</v>
      </c>
      <c r="Q72" s="54"/>
      <c r="R72" s="54"/>
      <c r="S72" s="54"/>
      <c r="T72" s="54"/>
      <c r="U72" s="54"/>
      <c r="V72" s="54" t="s">
        <v>223</v>
      </c>
      <c r="W72" s="100"/>
    </row>
    <row r="73" spans="1:23" ht="20.100000000000001" customHeight="1" x14ac:dyDescent="0.25">
      <c r="A73" s="99">
        <v>974</v>
      </c>
      <c r="B73" s="99" t="s">
        <v>76</v>
      </c>
      <c r="C73" s="100" t="s">
        <v>286</v>
      </c>
      <c r="D73" s="54" t="s">
        <v>413</v>
      </c>
      <c r="E73" s="100">
        <v>1</v>
      </c>
      <c r="F73" s="54" t="s">
        <v>222</v>
      </c>
      <c r="G73" s="57" t="s">
        <v>76</v>
      </c>
      <c r="H73" s="54" t="s">
        <v>76</v>
      </c>
      <c r="I73" s="103">
        <v>46233</v>
      </c>
      <c r="J73" s="103" t="s">
        <v>69</v>
      </c>
      <c r="K73" s="54" t="s">
        <v>69</v>
      </c>
      <c r="L73" s="54">
        <v>81</v>
      </c>
      <c r="M73" s="54" t="s">
        <v>487</v>
      </c>
      <c r="N73" s="54" t="s">
        <v>405</v>
      </c>
      <c r="O73" s="54"/>
      <c r="P73" s="54"/>
      <c r="Q73" s="54"/>
      <c r="R73" s="54"/>
      <c r="S73" s="54"/>
      <c r="T73" s="54"/>
      <c r="U73" s="54"/>
      <c r="V73" s="54" t="s">
        <v>223</v>
      </c>
      <c r="W73" s="100" t="s">
        <v>497</v>
      </c>
    </row>
    <row r="74" spans="1:23" ht="20.100000000000001" customHeight="1" x14ac:dyDescent="0.25">
      <c r="A74" s="99" t="s">
        <v>305</v>
      </c>
      <c r="B74" s="99" t="s">
        <v>76</v>
      </c>
      <c r="C74" s="100" t="s">
        <v>296</v>
      </c>
      <c r="D74" s="54" t="s">
        <v>413</v>
      </c>
      <c r="E74" s="100">
        <v>1</v>
      </c>
      <c r="F74" s="54" t="s">
        <v>290</v>
      </c>
      <c r="G74" s="57" t="s">
        <v>76</v>
      </c>
      <c r="H74" s="54" t="s">
        <v>76</v>
      </c>
      <c r="I74" s="103">
        <v>46193</v>
      </c>
      <c r="J74" s="100" t="s">
        <v>69</v>
      </c>
      <c r="K74" s="54" t="s">
        <v>69</v>
      </c>
      <c r="L74" s="54" t="s">
        <v>500</v>
      </c>
      <c r="M74" s="56" t="s">
        <v>487</v>
      </c>
      <c r="N74" s="56" t="s">
        <v>405</v>
      </c>
      <c r="O74" s="54"/>
      <c r="P74" s="54"/>
      <c r="Q74" s="54"/>
      <c r="R74" s="54"/>
      <c r="S74" s="54"/>
      <c r="T74" s="54"/>
      <c r="U74" s="54"/>
      <c r="V74" s="54" t="s">
        <v>356</v>
      </c>
      <c r="W74" s="100"/>
    </row>
    <row r="75" spans="1:23" ht="20.100000000000001" customHeight="1" x14ac:dyDescent="0.25">
      <c r="A75" s="99" t="s">
        <v>306</v>
      </c>
      <c r="B75" s="99" t="s">
        <v>76</v>
      </c>
      <c r="C75" s="100" t="s">
        <v>296</v>
      </c>
      <c r="D75" s="54" t="s">
        <v>413</v>
      </c>
      <c r="E75" s="100">
        <v>1</v>
      </c>
      <c r="F75" s="54" t="s">
        <v>290</v>
      </c>
      <c r="G75" s="57" t="s">
        <v>76</v>
      </c>
      <c r="H75" s="54" t="s">
        <v>76</v>
      </c>
      <c r="I75" s="103">
        <v>46233</v>
      </c>
      <c r="J75" s="100" t="s">
        <v>69</v>
      </c>
      <c r="K75" s="54" t="s">
        <v>69</v>
      </c>
      <c r="L75" s="54" t="s">
        <v>502</v>
      </c>
      <c r="M75" s="54" t="s">
        <v>503</v>
      </c>
      <c r="N75" s="54" t="s">
        <v>405</v>
      </c>
      <c r="O75" s="54"/>
      <c r="P75" s="54"/>
      <c r="Q75" s="54"/>
      <c r="R75" s="54"/>
      <c r="S75" s="54"/>
      <c r="T75" s="54"/>
      <c r="U75" s="54"/>
      <c r="V75" s="54" t="s">
        <v>223</v>
      </c>
      <c r="W75" s="100"/>
    </row>
    <row r="76" spans="1:23" ht="20.100000000000001" customHeight="1" x14ac:dyDescent="0.25">
      <c r="A76" s="99" t="s">
        <v>309</v>
      </c>
      <c r="B76" s="99" t="s">
        <v>76</v>
      </c>
      <c r="C76" s="100" t="s">
        <v>298</v>
      </c>
      <c r="D76" s="54" t="s">
        <v>413</v>
      </c>
      <c r="E76" s="100">
        <v>1</v>
      </c>
      <c r="F76" s="57" t="s">
        <v>290</v>
      </c>
      <c r="G76" s="57" t="s">
        <v>76</v>
      </c>
      <c r="H76" s="54" t="s">
        <v>76</v>
      </c>
      <c r="I76" s="100" t="s">
        <v>508</v>
      </c>
      <c r="J76" s="100" t="s">
        <v>69</v>
      </c>
      <c r="K76" s="54" t="s">
        <v>69</v>
      </c>
      <c r="L76" s="54">
        <v>22</v>
      </c>
      <c r="M76" s="54" t="s">
        <v>487</v>
      </c>
      <c r="N76" s="54" t="s">
        <v>509</v>
      </c>
      <c r="O76" s="54" t="s">
        <v>405</v>
      </c>
      <c r="P76" s="54"/>
      <c r="Q76" s="54"/>
      <c r="R76" s="54"/>
      <c r="S76" s="54"/>
      <c r="T76" s="54"/>
      <c r="U76" s="54"/>
      <c r="V76" s="54" t="s">
        <v>223</v>
      </c>
      <c r="W76" s="100"/>
    </row>
    <row r="77" spans="1:23" ht="20.100000000000001" customHeight="1" x14ac:dyDescent="0.25">
      <c r="A77" s="99" t="s">
        <v>310</v>
      </c>
      <c r="B77" s="99" t="s">
        <v>76</v>
      </c>
      <c r="C77" s="100" t="s">
        <v>298</v>
      </c>
      <c r="D77" s="54" t="s">
        <v>413</v>
      </c>
      <c r="E77" s="100">
        <v>1</v>
      </c>
      <c r="F77" s="57" t="s">
        <v>290</v>
      </c>
      <c r="G77" s="57" t="s">
        <v>76</v>
      </c>
      <c r="H77" s="54" t="s">
        <v>76</v>
      </c>
      <c r="I77" s="100" t="s">
        <v>508</v>
      </c>
      <c r="J77" s="100" t="s">
        <v>69</v>
      </c>
      <c r="K77" s="54" t="s">
        <v>69</v>
      </c>
      <c r="L77" s="54">
        <v>24</v>
      </c>
      <c r="M77" s="54" t="s">
        <v>510</v>
      </c>
      <c r="N77" s="54" t="s">
        <v>499</v>
      </c>
      <c r="O77" s="54" t="s">
        <v>245</v>
      </c>
      <c r="P77" s="54" t="s">
        <v>509</v>
      </c>
      <c r="Q77" s="54" t="s">
        <v>405</v>
      </c>
      <c r="R77" s="54"/>
      <c r="S77" s="54"/>
      <c r="T77" s="54"/>
      <c r="U77" s="54"/>
      <c r="V77" s="54" t="s">
        <v>223</v>
      </c>
      <c r="W77" s="100"/>
    </row>
    <row r="78" spans="1:23" ht="20.100000000000001" customHeight="1" x14ac:dyDescent="0.25">
      <c r="A78" s="99" t="s">
        <v>311</v>
      </c>
      <c r="B78" s="99" t="s">
        <v>76</v>
      </c>
      <c r="C78" s="100" t="s">
        <v>298</v>
      </c>
      <c r="D78" s="54" t="s">
        <v>413</v>
      </c>
      <c r="E78" s="100">
        <v>1</v>
      </c>
      <c r="F78" s="57" t="s">
        <v>290</v>
      </c>
      <c r="G78" s="57" t="s">
        <v>76</v>
      </c>
      <c r="H78" s="54" t="s">
        <v>76</v>
      </c>
      <c r="I78" s="100" t="s">
        <v>508</v>
      </c>
      <c r="J78" s="100" t="s">
        <v>69</v>
      </c>
      <c r="K78" s="54" t="s">
        <v>69</v>
      </c>
      <c r="L78" s="54">
        <v>25</v>
      </c>
      <c r="M78" s="54" t="s">
        <v>487</v>
      </c>
      <c r="N78" s="54" t="s">
        <v>503</v>
      </c>
      <c r="O78" s="54" t="s">
        <v>509</v>
      </c>
      <c r="P78" s="54" t="s">
        <v>405</v>
      </c>
      <c r="Q78" s="54"/>
      <c r="R78" s="54"/>
      <c r="S78" s="54"/>
      <c r="T78" s="54"/>
      <c r="U78" s="54"/>
      <c r="V78" s="54" t="s">
        <v>223</v>
      </c>
      <c r="W78" s="100"/>
    </row>
    <row r="79" spans="1:23" ht="20.100000000000001" customHeight="1" x14ac:dyDescent="0.25">
      <c r="A79" s="99" t="s">
        <v>312</v>
      </c>
      <c r="B79" s="99" t="s">
        <v>76</v>
      </c>
      <c r="C79" s="100" t="s">
        <v>298</v>
      </c>
      <c r="D79" s="54" t="s">
        <v>413</v>
      </c>
      <c r="E79" s="100">
        <v>1</v>
      </c>
      <c r="F79" s="57" t="s">
        <v>290</v>
      </c>
      <c r="G79" s="57" t="s">
        <v>76</v>
      </c>
      <c r="H79" s="54" t="s">
        <v>76</v>
      </c>
      <c r="I79" s="100" t="s">
        <v>508</v>
      </c>
      <c r="J79" s="100" t="s">
        <v>69</v>
      </c>
      <c r="K79" s="54" t="s">
        <v>69</v>
      </c>
      <c r="L79" s="54">
        <v>30</v>
      </c>
      <c r="M79" s="54" t="s">
        <v>487</v>
      </c>
      <c r="N79" s="54" t="s">
        <v>509</v>
      </c>
      <c r="O79" s="54" t="s">
        <v>405</v>
      </c>
      <c r="P79" s="54"/>
      <c r="Q79" s="54"/>
      <c r="R79" s="54"/>
      <c r="S79" s="54"/>
      <c r="T79" s="54"/>
      <c r="U79" s="54"/>
      <c r="V79" s="54" t="s">
        <v>223</v>
      </c>
      <c r="W79" s="100"/>
    </row>
    <row r="80" spans="1:23" ht="20.100000000000001" customHeight="1" x14ac:dyDescent="0.25">
      <c r="A80" s="99" t="s">
        <v>313</v>
      </c>
      <c r="B80" s="99" t="s">
        <v>76</v>
      </c>
      <c r="C80" s="100" t="s">
        <v>298</v>
      </c>
      <c r="D80" s="54" t="s">
        <v>413</v>
      </c>
      <c r="E80" s="100">
        <v>1</v>
      </c>
      <c r="F80" s="57" t="s">
        <v>290</v>
      </c>
      <c r="G80" s="57" t="s">
        <v>76</v>
      </c>
      <c r="H80" s="54" t="s">
        <v>76</v>
      </c>
      <c r="I80" s="100" t="s">
        <v>508</v>
      </c>
      <c r="J80" s="100" t="s">
        <v>69</v>
      </c>
      <c r="K80" s="54" t="s">
        <v>69</v>
      </c>
      <c r="L80" s="54">
        <v>32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100"/>
    </row>
    <row r="81" spans="1:23" ht="20.100000000000001" customHeight="1" x14ac:dyDescent="0.25">
      <c r="A81" s="99" t="s">
        <v>314</v>
      </c>
      <c r="B81" s="99" t="s">
        <v>76</v>
      </c>
      <c r="C81" s="100" t="s">
        <v>298</v>
      </c>
      <c r="D81" s="54" t="s">
        <v>413</v>
      </c>
      <c r="E81" s="100">
        <v>1</v>
      </c>
      <c r="F81" s="57" t="s">
        <v>290</v>
      </c>
      <c r="G81" s="57" t="s">
        <v>76</v>
      </c>
      <c r="H81" s="54" t="s">
        <v>76</v>
      </c>
      <c r="I81" s="100" t="s">
        <v>508</v>
      </c>
      <c r="J81" s="100" t="s">
        <v>69</v>
      </c>
      <c r="K81" s="54" t="s">
        <v>69</v>
      </c>
      <c r="L81" s="54">
        <v>46</v>
      </c>
      <c r="M81" s="54" t="s">
        <v>400</v>
      </c>
      <c r="N81" s="54" t="s">
        <v>405</v>
      </c>
      <c r="O81" s="54" t="s">
        <v>267</v>
      </c>
      <c r="P81" s="54"/>
      <c r="Q81" s="54"/>
      <c r="R81" s="54"/>
      <c r="S81" s="54"/>
      <c r="T81" s="54"/>
      <c r="U81" s="54"/>
      <c r="V81" s="54" t="s">
        <v>221</v>
      </c>
      <c r="W81" s="100"/>
    </row>
    <row r="82" spans="1:23" ht="20.100000000000001" customHeight="1" x14ac:dyDescent="0.25">
      <c r="A82" s="99" t="s">
        <v>315</v>
      </c>
      <c r="B82" s="99" t="s">
        <v>76</v>
      </c>
      <c r="C82" s="100" t="s">
        <v>298</v>
      </c>
      <c r="D82" s="54" t="s">
        <v>413</v>
      </c>
      <c r="E82" s="100">
        <v>1</v>
      </c>
      <c r="F82" s="57" t="s">
        <v>282</v>
      </c>
      <c r="G82" s="57" t="s">
        <v>76</v>
      </c>
      <c r="H82" s="54" t="s">
        <v>76</v>
      </c>
      <c r="I82" s="100" t="s">
        <v>508</v>
      </c>
      <c r="J82" s="100" t="s">
        <v>69</v>
      </c>
      <c r="K82" s="54" t="s">
        <v>69</v>
      </c>
      <c r="L82" s="54" t="s">
        <v>504</v>
      </c>
      <c r="M82" s="54" t="s">
        <v>487</v>
      </c>
      <c r="N82" s="54" t="s">
        <v>503</v>
      </c>
      <c r="O82" s="54" t="s">
        <v>509</v>
      </c>
      <c r="P82" s="54" t="s">
        <v>405</v>
      </c>
      <c r="Q82" s="54"/>
      <c r="R82" s="54"/>
      <c r="S82" s="54"/>
      <c r="T82" s="54"/>
      <c r="U82" s="54"/>
      <c r="V82" s="54" t="s">
        <v>223</v>
      </c>
      <c r="W82" s="100"/>
    </row>
    <row r="83" spans="1:23" ht="20.100000000000001" customHeight="1" x14ac:dyDescent="0.25">
      <c r="A83" s="99" t="s">
        <v>316</v>
      </c>
      <c r="B83" s="99" t="s">
        <v>76</v>
      </c>
      <c r="C83" s="100" t="s">
        <v>298</v>
      </c>
      <c r="D83" s="54" t="s">
        <v>413</v>
      </c>
      <c r="E83" s="100">
        <v>1</v>
      </c>
      <c r="F83" s="57" t="s">
        <v>282</v>
      </c>
      <c r="G83" s="57" t="s">
        <v>76</v>
      </c>
      <c r="H83" s="54" t="s">
        <v>76</v>
      </c>
      <c r="I83" s="100" t="s">
        <v>508</v>
      </c>
      <c r="J83" s="100" t="s">
        <v>69</v>
      </c>
      <c r="K83" s="54" t="s">
        <v>69</v>
      </c>
      <c r="L83" s="54" t="s">
        <v>505</v>
      </c>
      <c r="M83" s="54" t="s">
        <v>487</v>
      </c>
      <c r="N83" s="54" t="s">
        <v>509</v>
      </c>
      <c r="O83" s="54"/>
      <c r="P83" s="54"/>
      <c r="Q83" s="54"/>
      <c r="R83" s="54"/>
      <c r="S83" s="54"/>
      <c r="T83" s="54"/>
      <c r="U83" s="54"/>
      <c r="V83" s="54" t="s">
        <v>223</v>
      </c>
      <c r="W83" s="100"/>
    </row>
    <row r="84" spans="1:23" ht="20.100000000000001" customHeight="1" x14ac:dyDescent="0.25">
      <c r="A84" s="99" t="s">
        <v>317</v>
      </c>
      <c r="B84" s="99" t="s">
        <v>76</v>
      </c>
      <c r="C84" s="100" t="s">
        <v>298</v>
      </c>
      <c r="D84" s="54" t="s">
        <v>413</v>
      </c>
      <c r="E84" s="100">
        <v>1</v>
      </c>
      <c r="F84" s="57" t="s">
        <v>282</v>
      </c>
      <c r="G84" s="57" t="s">
        <v>76</v>
      </c>
      <c r="H84" s="54" t="s">
        <v>76</v>
      </c>
      <c r="I84" s="100" t="s">
        <v>508</v>
      </c>
      <c r="J84" s="100" t="s">
        <v>69</v>
      </c>
      <c r="K84" s="54" t="s">
        <v>69</v>
      </c>
      <c r="L84" s="54" t="s">
        <v>506</v>
      </c>
      <c r="M84" s="54" t="s">
        <v>400</v>
      </c>
      <c r="N84" s="54" t="s">
        <v>405</v>
      </c>
      <c r="O84" s="54" t="s">
        <v>267</v>
      </c>
      <c r="P84" s="54"/>
      <c r="Q84" s="54"/>
      <c r="R84" s="54"/>
      <c r="S84" s="54"/>
      <c r="T84" s="54"/>
      <c r="U84" s="54"/>
      <c r="V84" s="54" t="s">
        <v>221</v>
      </c>
      <c r="W84" s="100"/>
    </row>
    <row r="85" spans="1:23" ht="20.100000000000001" customHeight="1" x14ac:dyDescent="0.25">
      <c r="A85" s="99" t="s">
        <v>318</v>
      </c>
      <c r="B85" s="99" t="s">
        <v>76</v>
      </c>
      <c r="C85" s="100" t="s">
        <v>298</v>
      </c>
      <c r="D85" s="54" t="s">
        <v>413</v>
      </c>
      <c r="E85" s="100">
        <v>1</v>
      </c>
      <c r="F85" s="57" t="s">
        <v>290</v>
      </c>
      <c r="G85" s="57" t="s">
        <v>76</v>
      </c>
      <c r="H85" s="54" t="s">
        <v>76</v>
      </c>
      <c r="I85" s="100" t="s">
        <v>508</v>
      </c>
      <c r="J85" s="100" t="s">
        <v>69</v>
      </c>
      <c r="K85" s="54" t="s">
        <v>69</v>
      </c>
      <c r="L85" s="54" t="s">
        <v>507</v>
      </c>
      <c r="M85" s="54" t="s">
        <v>487</v>
      </c>
      <c r="N85" s="54" t="s">
        <v>503</v>
      </c>
      <c r="O85" s="54" t="s">
        <v>509</v>
      </c>
      <c r="P85" s="54"/>
      <c r="Q85" s="54"/>
      <c r="R85" s="54"/>
      <c r="S85" s="54"/>
      <c r="T85" s="54"/>
      <c r="U85" s="54"/>
      <c r="V85" s="54" t="s">
        <v>223</v>
      </c>
      <c r="W85" s="100"/>
    </row>
    <row r="86" spans="1:23" ht="20.100000000000001" customHeight="1" x14ac:dyDescent="0.25"/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</sheetData>
  <conditionalFormatting sqref="A49:A59">
    <cfRule type="containsText" dxfId="29" priority="28" operator="containsText" text="encamisado">
      <formula>NOT(ISERROR(SEARCH("encamisado",A49)))</formula>
    </cfRule>
    <cfRule type="containsText" dxfId="28" priority="29" operator="containsText" text="pronto">
      <formula>NOT(ISERROR(SEARCH("pronto",A49)))</formula>
    </cfRule>
    <cfRule type="expression" dxfId="27" priority="30">
      <formula>$P49="s"</formula>
    </cfRule>
  </conditionalFormatting>
  <conditionalFormatting sqref="A60:A62">
    <cfRule type="containsText" dxfId="26" priority="25" operator="containsText" text="encamisado">
      <formula>NOT(ISERROR(SEARCH("encamisado",A60)))</formula>
    </cfRule>
    <cfRule type="containsText" dxfId="25" priority="26" operator="containsText" text="pronto">
      <formula>NOT(ISERROR(SEARCH("pronto",A60)))</formula>
    </cfRule>
    <cfRule type="expression" dxfId="24" priority="27">
      <formula>$P60="s"</formula>
    </cfRule>
  </conditionalFormatting>
  <conditionalFormatting sqref="C65">
    <cfRule type="containsText" dxfId="23" priority="22" operator="containsText" text="encamisado">
      <formula>NOT(ISERROR(SEARCH("encamisado",C65)))</formula>
    </cfRule>
    <cfRule type="containsText" dxfId="22" priority="23" operator="containsText" text="pronto">
      <formula>NOT(ISERROR(SEARCH("pronto",C65)))</formula>
    </cfRule>
    <cfRule type="expression" dxfId="21" priority="24">
      <formula>$P65="s"</formula>
    </cfRule>
  </conditionalFormatting>
  <conditionalFormatting sqref="C70:C73">
    <cfRule type="containsText" dxfId="20" priority="19" operator="containsText" text="encamisado">
      <formula>NOT(ISERROR(SEARCH("encamisado",C70)))</formula>
    </cfRule>
    <cfRule type="containsText" dxfId="19" priority="20" operator="containsText" text="pronto">
      <formula>NOT(ISERROR(SEARCH("pronto",C70)))</formula>
    </cfRule>
    <cfRule type="expression" dxfId="18" priority="21">
      <formula>$P70="s"</formula>
    </cfRule>
  </conditionalFormatting>
  <conditionalFormatting sqref="A74">
    <cfRule type="containsText" dxfId="17" priority="13" operator="containsText" text="encamisado">
      <formula>NOT(ISERROR(SEARCH("encamisado",A74)))</formula>
    </cfRule>
    <cfRule type="containsText" dxfId="16" priority="14" operator="containsText" text="pronto">
      <formula>NOT(ISERROR(SEARCH("pronto",A74)))</formula>
    </cfRule>
    <cfRule type="expression" dxfId="15" priority="15">
      <formula>$P74="s"</formula>
    </cfRule>
  </conditionalFormatting>
  <conditionalFormatting sqref="C74">
    <cfRule type="containsText" dxfId="14" priority="16" operator="containsText" text="encamisado">
      <formula>NOT(ISERROR(SEARCH("encamisado",C74)))</formula>
    </cfRule>
    <cfRule type="containsText" dxfId="13" priority="17" operator="containsText" text="pronto">
      <formula>NOT(ISERROR(SEARCH("pronto",C74)))</formula>
    </cfRule>
    <cfRule type="expression" dxfId="12" priority="18">
      <formula>$P74="s"</formula>
    </cfRule>
  </conditionalFormatting>
  <conditionalFormatting sqref="A75">
    <cfRule type="containsText" dxfId="11" priority="7" operator="containsText" text="encamisado">
      <formula>NOT(ISERROR(SEARCH("encamisado",A75)))</formula>
    </cfRule>
    <cfRule type="containsText" dxfId="10" priority="8" operator="containsText" text="pronto">
      <formula>NOT(ISERROR(SEARCH("pronto",A75)))</formula>
    </cfRule>
    <cfRule type="expression" dxfId="9" priority="9">
      <formula>$P75="s"</formula>
    </cfRule>
  </conditionalFormatting>
  <conditionalFormatting sqref="C75">
    <cfRule type="containsText" dxfId="8" priority="10" operator="containsText" text="encamisado">
      <formula>NOT(ISERROR(SEARCH("encamisado",C75)))</formula>
    </cfRule>
    <cfRule type="containsText" dxfId="7" priority="11" operator="containsText" text="pronto">
      <formula>NOT(ISERROR(SEARCH("pronto",C75)))</formula>
    </cfRule>
    <cfRule type="expression" dxfId="6" priority="12">
      <formula>$P75="s"</formula>
    </cfRule>
  </conditionalFormatting>
  <conditionalFormatting sqref="A76:A85">
    <cfRule type="containsText" dxfId="5" priority="1" operator="containsText" text="encamisado">
      <formula>NOT(ISERROR(SEARCH("encamisado",A76)))</formula>
    </cfRule>
    <cfRule type="containsText" dxfId="4" priority="2" operator="containsText" text="pronto">
      <formula>NOT(ISERROR(SEARCH("pronto",A76)))</formula>
    </cfRule>
    <cfRule type="expression" dxfId="3" priority="3">
      <formula>$P76="s"</formula>
    </cfRule>
  </conditionalFormatting>
  <conditionalFormatting sqref="C76:C85">
    <cfRule type="containsText" dxfId="2" priority="4" operator="containsText" text="encamisado">
      <formula>NOT(ISERROR(SEARCH("encamisado",C76)))</formula>
    </cfRule>
    <cfRule type="containsText" dxfId="1" priority="5" operator="containsText" text="pronto">
      <formula>NOT(ISERROR(SEARCH("pronto",C76)))</formula>
    </cfRule>
    <cfRule type="expression" dxfId="0" priority="6">
      <formula>$P76="s"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H34" sqref="H34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183</v>
      </c>
      <c r="R29" s="50"/>
    </row>
    <row r="30" spans="1:18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H24" sqref="H24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101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101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101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101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101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101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101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102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102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102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102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102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101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101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101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101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101"/>
      <c r="K18" s="50" t="s">
        <v>61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101"/>
      <c r="K19" s="50" t="s">
        <v>61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101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101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101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101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101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101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101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101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101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101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101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101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101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101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101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101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101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101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101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101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101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101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101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101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101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101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101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101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101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101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101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101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101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101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101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101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101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101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101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101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101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101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101"/>
      <c r="K62" s="50" t="s">
        <v>61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101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101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101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101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101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101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101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101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101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101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101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101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101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101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101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101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101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101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101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101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101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101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101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101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101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101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101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101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101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101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101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101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101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101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101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101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101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101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101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101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101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101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101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101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101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101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101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101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101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101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101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2026-07-15T19:36:04Z</dcterms:modified>
</cp:coreProperties>
</file>