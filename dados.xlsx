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6E02E660-840C-4EA6-AC94-A1BA67627916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Tabela1[#All]</definedName>
    <definedName name="_xlnm.Print_Area" localSheetId="7">'VI DIVERSOS'!$A$1:$O$60</definedName>
    <definedName name="_xlnm.Print_Titles" localSheetId="0">BAGACEIRAS!$1:$1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1" i="6" l="1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<sst xmlns="http://schemas.openxmlformats.org/spreadsheetml/2006/main" count="14541" uniqueCount="703">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</sst>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6" totalsRowShown="0" headerRowDxfId="199" dataDxfId="198">
  <autoFilter ref="A1:AD126" xr:uid="{0B979512-8F08-4F92-A755-B1320B33B48D}"/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7" dataDxfId="166">
  <autoFilter ref="A1:W214" xr:uid="{71E71FAB-CF6D-4765-90BA-ABDE8C3299DB}"/>
  <tableColumns count="23">
    <tableColumn id="1" xr3:uid="{8F000DF9-1B1A-450A-B138-9EDBA7F17698}" name="PV" dataDxfId="165"/>
    <tableColumn id="2" xr3:uid="{4269DD7F-E557-42AF-949B-69AB74B45D7E}" name="Item" dataDxfId="164"/>
    <tableColumn id="3" xr3:uid="{B8E3D127-9007-43BC-9B71-611446984BAE}" name="OS/_x000a_Peça" dataDxfId="163"/>
    <tableColumn id="4" xr3:uid="{8A9FBC4E-431D-4132-B7C4-86DD1CC31C1D}" name="Seq." dataDxfId="162"/>
    <tableColumn id="5" xr3:uid="{E43CCBA4-A724-44DA-9BFB-2AD45322EC54}" name="Cliente" dataDxfId="161"/>
    <tableColumn id="8" xr3:uid="{39F09B1D-71EC-461C-93C5-C5FCECCA0EC0}" name="Descrição" dataDxfId="160"/>
    <tableColumn id="9" xr3:uid="{0CC8781A-4370-473C-AD18-F562622EB79C}" name="Qtde." dataDxfId="159"/>
    <tableColumn id="10" xr3:uid="{8FC48674-090B-441A-B05D-5E7E4AB5177C}" name="Prazo_x000a_Fundido" dataDxfId="158"/>
    <tableColumn id="12" xr3:uid="{F410DF31-AFC5-4525-B8D3-A2AB464611B3}" name="Pz Fundido_x000a_Real" dataDxfId="157"/>
    <tableColumn id="13" xr3:uid="{7330A8B8-B0FE-4571-921F-35503842576A}" name="Prazo_x000a_Entrega" dataDxfId="156"/>
    <tableColumn id="23" xr3:uid="{050BF892-6E0A-4C1A-85E3-06353D54D7AC}" name="Pz Entrega_x000a_Real" dataDxfId="155"/>
    <tableColumn id="22" xr3:uid="{07396B9E-F2A0-47CC-B1C1-8D6A8D782E82}" name="Desenho_x000a_Previsão" dataDxfId="154"/>
    <tableColumn id="14" xr3:uid="{98904960-EE6F-4F44-87C3-8646B8C2D461}" name="Des." dataDxfId="153"/>
    <tableColumn id="15" xr3:uid="{4C38D84D-3A40-493A-A007-3826C38C0F9D}" name="Dias_x000a_Falta2" dataDxfId="152">
      <calculatedColumnFormula>Tabela3[[#This Row],[Prazo
Entrega]]-TODAY()</calculatedColumnFormula>
    </tableColumn>
    <tableColumn id="16" xr3:uid="{431C9D70-8530-4071-911B-7AAC65DE848C}" name="Indicador" dataDxfId="151">
      <calculatedColumnFormula>IF(N2&lt;0,"ATRASADO",IF(N2&lt;=15,"ATENÇÃO","NO PRAZO"))</calculatedColumnFormula>
    </tableColumn>
    <tableColumn id="19" xr3:uid="{A127FC22-0D53-4D0F-B783-28394B3FD90C}" name="CONDIÇÃO" dataDxfId="150"/>
    <tableColumn id="17" xr3:uid="{C7F76CF8-5A2A-4921-A3C5-76F960930981}" name="OP1" dataDxfId="149"/>
    <tableColumn id="11" xr3:uid="{39173775-3C78-4FE9-BDCF-83499538BE89}" name="OP2" dataDxfId="148"/>
    <tableColumn id="7" xr3:uid="{F3976AE8-D66C-4536-AE65-B0A7AE46E4B7}" name="OP3" dataDxfId="147"/>
    <tableColumn id="6" xr3:uid="{A70D2F75-F894-4AF7-B60D-3007B9A62CEA}" name="OP4" dataDxfId="146"/>
    <tableColumn id="24" xr3:uid="{A3AFB759-0D7A-44E1-888F-4B5B0EB8A822}" name="OP5" dataDxfId="145"/>
    <tableColumn id="20" xr3:uid="{F610A49E-78E2-480E-B901-6B99A41E5174}" name="Status Usinagem" dataDxfId="144"/>
    <tableColumn id="21" xr3:uid="{FA7288EB-0143-4C36-8591-BF7231A8226E}" name="Observação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64" totalsRowShown="0" headerRowDxfId="142" dataDxfId="141">
  <autoFilter ref="A1:Y64" xr:uid="{2AC5416C-4E1B-4478-8A2A-B698870CAB96}"/>
  <tableColumns count="25">
    <tableColumn id="1" xr3:uid="{9A983B4E-3365-4153-9B40-D7FE26E8B98F}" name="PV " dataDxfId="140"/>
    <tableColumn id="2" xr3:uid="{4F16CD54-AAD4-4149-8D48-CC3FFEA93AA5}" name="Item" dataDxfId="139"/>
    <tableColumn id="3" xr3:uid="{27DB1DBC-B9DA-4067-9696-8CA5ACAAA450}" name="OS/_x000a_Peça" dataDxfId="138"/>
    <tableColumn id="4" xr3:uid="{02C5E283-8ABF-44F8-B3B8-C3F186B4DF63}" name="Seq." dataDxfId="137"/>
    <tableColumn id="5" xr3:uid="{B1051CBE-EA72-4A43-8721-8756F3E2C9C9}" name="Cliente" dataDxfId="136"/>
    <tableColumn id="8" xr3:uid="{9EBF401A-1F29-4CB3-BFA3-F2B326242AB0}" name="Descrição" dataDxfId="135"/>
    <tableColumn id="14" xr3:uid="{85D3397C-7F95-49C7-BFFB-35012CA3B716}" name="Qtd." dataDxfId="134"/>
    <tableColumn id="9" xr3:uid="{0D04583C-577A-446B-9773-A173C5C1C166}" name="Data Prev._x000a_Fundido" dataDxfId="133"/>
    <tableColumn id="10" xr3:uid="{935D3899-0C12-4408-89DF-490A507F79BA}" name="Data Real_x000a_Fundido" dataDxfId="132"/>
    <tableColumn id="11" xr3:uid="{0F06941F-293B-4C15-9764-BB3495C5D3BD}" name="Data Prev._x000a_Entrega" dataDxfId="131"/>
    <tableColumn id="12" xr3:uid="{92FF2511-5498-45BF-9B68-94DBEA588C5A}" name="Data Real_x000a_Entrega" dataDxfId="130"/>
    <tableColumn id="25" xr3:uid="{98545C7E-9674-485C-A07D-715E8945B00E}" name="Falta_x000a_Dias" dataDxfId="129">
      <calculatedColumnFormula>Tabela13[[#This Row],[Data Prev.
Entrega]]-TODAY()</calculatedColumnFormula>
    </tableColumn>
    <tableColumn id="27" xr3:uid="{4EB63243-AA79-4695-93C8-CEA977B11387}" name="Indicador" dataDxfId="128">
      <calculatedColumnFormula>IF(L2&lt;0,"ATRASADO",IF(L2&lt;=15,"ATENÇÃO","NO PRAZO"))</calculatedColumnFormula>
    </tableColumn>
    <tableColumn id="15" xr3:uid="{7AB992C1-F70E-4469-85BB-EBB7763B2038}" name="Condição" dataDxfId="127"/>
    <tableColumn id="24" xr3:uid="{B5965349-4BC8-4DF7-9EB4-857B6D471E8A}" name="Desenho_x000a_Previsão" dataDxfId="126"/>
    <tableColumn id="13" xr3:uid="{FD827F61-5F7F-4B65-8A60-B59D23455B46}" name="Des." dataDxfId="125"/>
    <tableColumn id="16" xr3:uid="{3D186A5F-076F-4232-B21C-37E58E5373B2}" name="OP1" dataDxfId="124"/>
    <tableColumn id="17" xr3:uid="{6EEDF11E-F341-4B3E-8CD2-5595785C3427}" name="OP2" dataDxfId="123"/>
    <tableColumn id="26" xr3:uid="{286BF833-DF55-496A-BA42-E4A8CD9042A8}" name="OP3" dataDxfId="122"/>
    <tableColumn id="18" xr3:uid="{A84EFCF4-218F-4B17-8F46-8D5412141429}" name="OP4" dataDxfId="121"/>
    <tableColumn id="19" xr3:uid="{EBD50149-594D-440E-BFBB-E73ACAF7B6F8}" name="OP5" dataDxfId="120"/>
    <tableColumn id="20" xr3:uid="{91BE30ED-20C1-4F30-9041-45A50CCA04F0}" name="OP6" dataDxfId="119"/>
    <tableColumn id="21" xr3:uid="{A1A12DF6-FC3D-4466-8284-DBD00DEAF994}" name="OP7" dataDxfId="118"/>
    <tableColumn id="22" xr3:uid="{436F202D-DCF4-4376-A550-2541153BD99F}" name="Status Usinagem" dataDxfId="117">
      <calculatedColumnFormula>IF(I2="","AG. FUNDIDO",IF(W2="OK","LIBERADA","EM USINAGEM"))</calculatedColumnFormula>
    </tableColumn>
    <tableColumn id="23" xr3:uid="{F71E5739-8B79-47B3-9A24-E2E4D1DD46E6}" name="Observação" dataDxfId="1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15" dataDxfId="114">
  <autoFilter ref="A1:U97" xr:uid="{4BA44271-44C6-408A-A6A6-B543ACC82025}"/>
  <tableColumns count="21">
    <tableColumn id="1" xr3:uid="{59A78859-607B-43B6-A1C1-8FD9058D131E}" name="PV" dataDxfId="113"/>
    <tableColumn id="2" xr3:uid="{5AC3CDB0-EECF-4366-AABB-10D4632E5647}" name="Item" dataDxfId="112"/>
    <tableColumn id="3" xr3:uid="{CA90DF44-B521-495F-A8BF-53A3271A5DAF}" name="Cliente" dataDxfId="111"/>
    <tableColumn id="4" xr3:uid="{12AD5BC7-853C-41A0-AF2A-10508DE122E6}" name="Descrição" dataDxfId="110"/>
    <tableColumn id="5" xr3:uid="{04BE35C7-D026-451E-8D4A-708772E0EEA0}" name="Qtde." dataDxfId="109"/>
    <tableColumn id="6" xr3:uid="{A8C5072F-7F3F-44B2-9E08-0B2B05394BBD}" name="Bit" dataDxfId="108"/>
    <tableColumn id="21" xr3:uid="{CA10AF60-179E-4208-9164-EC57F967A475}" name="Terno" dataDxfId="107"/>
    <tableColumn id="7" xr3:uid="{817D5A28-820D-426F-9B7B-6D7C33A33750}" name="Desenho_x000a_Previsão" dataDxfId="106"/>
    <tableColumn id="8" xr3:uid="{2AD27BA2-0CC6-4648-8F39-70EA6F2DCA28}" name="Des." dataDxfId="105"/>
    <tableColumn id="9" xr3:uid="{AD513A49-4F2F-4FD4-BABD-5E91B76CDAAC}" name="Prazo_x000a_Entrega" dataDxfId="104"/>
    <tableColumn id="10" xr3:uid="{DDFA283B-37B1-4509-9A90-96F168A6EA1A}" name="OP1" dataDxfId="103"/>
    <tableColumn id="11" xr3:uid="{7E5D6482-94D4-4961-A07A-AA83431642CA}" name="OP2" dataDxfId="102"/>
    <tableColumn id="12" xr3:uid="{3C73DB98-7E09-4F7D-99A4-F49C8EFED7C1}" name="OP3" dataDxfId="101"/>
    <tableColumn id="13" xr3:uid="{C9B276C1-EAA2-44D3-BC63-09DEABE1333C}" name="OP4" dataDxfId="100"/>
    <tableColumn id="14" xr3:uid="{701CD035-8F78-4DD2-ADB3-14616A43EDDD}" name="OP5" dataDxfId="99"/>
    <tableColumn id="15" xr3:uid="{FEC9B4B9-312E-4D84-9BEC-71B7DBB01E5B}" name="OP6" dataDxfId="98"/>
    <tableColumn id="16" xr3:uid="{43FA3F4C-88C2-41D3-860E-2222B637DA98}" name="OP7" dataDxfId="97"/>
    <tableColumn id="17" xr3:uid="{25BFED7E-9400-4EBB-9B25-F0519E3A306F}" name="OP8" dataDxfId="96"/>
    <tableColumn id="18" xr3:uid="{5536059E-6F8D-4810-A678-B0DF23A1ECE4}" name="OP9" dataDxfId="95"/>
    <tableColumn id="19" xr3:uid="{03C085CC-9EDE-476B-8644-A15B2377E8CA}" name="Status" dataDxfId="94"/>
    <tableColumn id="20" xr3:uid="{3944B797-D6B2-47B5-A9F2-815EB3A25DE8}" name="Observação" dataDxfId="9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92" dataDxfId="91">
  <autoFilter ref="A1:R154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90"/>
    <tableColumn id="2" xr3:uid="{B14AE1B6-8C05-4725-BF42-3DBDB37AA4E3}" name="item" dataDxfId="89"/>
    <tableColumn id="3" xr3:uid="{24FE1002-C88A-4623-8882-5F391ECAB319}" name="OS/Peças" dataDxfId="88"/>
    <tableColumn id="4" xr3:uid="{4ED6249C-2003-4F3F-AE5A-67316434275E}" name="Seq." dataDxfId="87"/>
    <tableColumn id="5" xr3:uid="{6CE5B2E1-F32C-4D32-93F0-A17C05267ADB}" name="Cliente" dataDxfId="86"/>
    <tableColumn id="6" xr3:uid="{605F51C8-79D3-407B-8642-02F131952C62}" name="Qtd." dataDxfId="85"/>
    <tableColumn id="9" xr3:uid="{5366226E-7F3B-42E4-AC0C-86C659505CC8}" name="Descrição" dataDxfId="84"/>
    <tableColumn id="10" xr3:uid="{B0D229C5-5F5A-4951-A0B4-FEA62AEFBB36}" name="Prazo_x000a_Fundido" dataDxfId="83"/>
    <tableColumn id="11" xr3:uid="{8AE09F18-EB17-4537-8FBD-24671292144B}" name="Pz Fundido_x000a_Real" dataDxfId="82"/>
    <tableColumn id="12" xr3:uid="{965E0234-7E4B-482D-8943-132C1520AD21}" name="Prazo_x000a_Entrega" dataDxfId="81"/>
    <tableColumn id="13" xr3:uid="{D70BE32E-86AF-4C0F-893D-AC939E731683}" name="Pz Entrega_x000a_Real" dataDxfId="80"/>
    <tableColumn id="15" xr3:uid="{2FE637E5-62E2-4AE9-AE5A-BC264DC93D4F}" name="Falta_x000a_Dias" dataDxfId="79">
      <calculatedColumnFormula>Tabela4[[#This Row],[Prazo
Entrega]]-TODAY()</calculatedColumnFormula>
    </tableColumn>
    <tableColumn id="14" xr3:uid="{23AEF4D3-817F-4A15-AFBA-EC837E4BE1AE}" name="Indicador" dataDxfId="78">
      <calculatedColumnFormula>IF(L2&lt;0,"ATRASADO",IF(L2&lt;=15,"ATENÇÃO","NO PRAZO"))</calculatedColumnFormula>
    </tableColumn>
    <tableColumn id="16" xr3:uid="{78F55B7C-8E60-49C5-B1F7-B023E76BDA6E}" name="Condição" dataDxfId="77"/>
    <tableColumn id="20" xr3:uid="{A889C1FB-2FE0-407A-B849-FEB9F2CA4F96}" name="Desenho_x000a_Previsão" dataDxfId="76"/>
    <tableColumn id="19" xr3:uid="{FB1E21D0-A118-422F-AA5B-F56FFBA7B5E4}" name="Des." dataDxfId="75"/>
    <tableColumn id="17" xr3:uid="{C14325D6-C653-45B3-B85F-6AF107A71546}" name="Status" dataDxfId="74"/>
    <tableColumn id="18" xr3:uid="{C6F7CA6A-B8B3-4E22-B3E8-05FFB1A03AB6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72" dataDxfId="71">
  <autoFilter ref="A1:AB263" xr:uid="{08F50CE1-35A6-4ABA-9594-79B9C39908E8}">
    <filterColumn colId="2">
      <filters>
        <filter val="Cafealcool"/>
      </filters>
    </filterColumn>
  </autoFilter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224" dataDxfId="223">
  <autoFilter ref="A1:W167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" dataDxfId="222"/>
    <tableColumn id="3" xr3:uid="{C1512D5D-E928-4CC2-9A29-8484494EA1A7}" name="Item" dataDxfId="221"/>
    <tableColumn id="4" xr3:uid="{DD6014DD-F2DC-47D0-A44B-A9397730BE4E}" name="Cliente" dataDxfId="220"/>
    <tableColumn id="6" xr3:uid="{59911696-06D3-45A5-970B-2AD22F609E28}" name="Descrição" dataDxfId="219"/>
    <tableColumn id="7" xr3:uid="{8F359B2A-1452-4DD5-8078-A592FF1FAEDA}" name="Qtde." dataDxfId="218"/>
    <tableColumn id="24" xr3:uid="{6ACDF30B-4FA5-46F2-B973-769AFF1A7ED5}" name="Bit" dataDxfId="217"/>
    <tableColumn id="9" xr3:uid="{E800A3D3-0303-4259-A58F-C223C4C1BA42}" name="Pos." dataDxfId="216"/>
    <tableColumn id="26" xr3:uid="{CA14875A-A13A-4CA2-81ED-1A988AD78208}" name="Terno" dataDxfId="215"/>
    <tableColumn id="11" xr3:uid="{2AE87132-0DBA-40D2-AB92-CEAC0877A62E}" name="Prazo_x000a_Entrega_x000a_Eixo" dataDxfId="214"/>
    <tableColumn id="13" xr3:uid="{75F62D18-9AFA-4320-9551-17D7D3F48733}" name="Desenho_x000a_Previsão" dataDxfId="213"/>
    <tableColumn id="14" xr3:uid="{0E91F17A-D1CD-4B1F-B5BA-F593FF862042}" name="Des." dataDxfId="212"/>
    <tableColumn id="1" xr3:uid="{94AA572C-41FE-43EA-AB0E-69CD585A6CEF}" name="Nº Eixo" dataDxfId="211"/>
    <tableColumn id="33" xr3:uid="{49915B29-1E2A-403B-BB52-E050204325AB}" name="OP1" dataDxfId="210"/>
    <tableColumn id="30" xr3:uid="{918DBD98-C28A-4CAB-8273-DEB81CE88B05}" name="OP2" dataDxfId="209"/>
    <tableColumn id="28" xr3:uid="{F99FDFD5-3B70-48B1-93CD-89C55B3CE706}" name="OP3" dataDxfId="208"/>
    <tableColumn id="27" xr3:uid="{3B6FF2E7-14DF-4DBF-B5AB-5AC8D2BE1CDD}" name="OP4" dataDxfId="207"/>
    <tableColumn id="25" xr3:uid="{0837249B-09C0-43AA-A6F1-42C6831ED1C4}" name="OP5" dataDxfId="206"/>
    <tableColumn id="20" xr3:uid="{9AB76328-313A-4CD8-9CB1-5AB1453CAE9E}" name="OP6" dataDxfId="205"/>
    <tableColumn id="35" xr3:uid="{B32C0B30-5F3F-42B0-8DFF-98B0B8FB2893}" name="OP7" dataDxfId="204"/>
    <tableColumn id="15" xr3:uid="{AF3E8433-61CF-422E-9FA2-91C9BA8DC757}" name="OP8" dataDxfId="203"/>
    <tableColumn id="8" xr3:uid="{A6F4F508-1C53-4E9B-9746-79444D0123BB}" name="OP9" dataDxfId="202"/>
    <tableColumn id="23" xr3:uid="{4DFCA09F-8E46-42D4-9163-40353BAA4ACE}" name="Status Usinagem" dataDxfId="201"/>
    <tableColumn id="19" xr3:uid="{E3D32BDE-09FA-4F17-8CE6-8B2139F9BB8A}" name="Observação" dataDxfId="2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6"/>
  <sheetViews>
    <sheetView view="pageBreakPreview" topLeftCell="I64" zoomScaleNormal="100" zoomScaleSheetLayoutView="100" workbookViewId="0">
      <selection activeCell="A121" sqref="A121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-25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10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10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-18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-18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-18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-25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-25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-25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-25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-18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-18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-18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-11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-18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-25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-25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-25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-18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-11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-4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-4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-28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-28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-28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-28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-28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-28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-4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-25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-18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-11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-18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-11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-18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10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-4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3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3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3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3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3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3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-4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3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-4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3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-4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-4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3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3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3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3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10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10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10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10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10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-4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-4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-4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-4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-4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-4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-4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10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10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17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17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17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17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17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17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21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21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21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-3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57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-3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28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28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57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72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72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72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72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72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72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43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43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43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43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43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118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118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118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118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118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118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118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118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118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118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118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118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118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118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118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87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87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87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87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87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148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148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148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148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148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148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679</v>
      </c>
      <c r="F121" s="13" t="s">
        <v>680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91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679</v>
      </c>
      <c r="F122" s="13" t="s">
        <v>680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91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679</v>
      </c>
      <c r="F123" s="13" t="s">
        <v>681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91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679</v>
      </c>
      <c r="F124" s="13" t="s">
        <v>681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91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679</v>
      </c>
      <c r="F125" s="13" t="s">
        <v>681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91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679</v>
      </c>
      <c r="F126" s="13" t="s">
        <v>681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91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topLeftCell="F125" workbookViewId="0">
      <selection activeCell="E159" sqref="E159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10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10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10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10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10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28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28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28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28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28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28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28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28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28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28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28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28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38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38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38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38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38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38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38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38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38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38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38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38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38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38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38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48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48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48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48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48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48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48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48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48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48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48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48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48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48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48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28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28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28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58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58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58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58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58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58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58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58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58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87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87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87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87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87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87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87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87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87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87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87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87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87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87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87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87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87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87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87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87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87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87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87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87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87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87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87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87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87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87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87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87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87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87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87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87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87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87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87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87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-18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-18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-18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-18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-18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-5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592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10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10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-5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591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-5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591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10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10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-5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-5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-5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-5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-5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-5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-5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-5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10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-5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592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-5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592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10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10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3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3</v>
      </c>
      <c r="O158" s="8" t="str">
        <f t="shared" ca="1" si="7"/>
        <v>ATENÇÃO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3</v>
      </c>
      <c r="O159" s="8" t="str">
        <f t="shared" ca="1" si="7"/>
        <v>ATENÇÃO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3</v>
      </c>
      <c r="O160" s="8" t="str">
        <f t="shared" ca="1" si="7"/>
        <v>ATENÇÃO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3</v>
      </c>
      <c r="O161" s="8" t="str">
        <f t="shared" ca="1" si="7"/>
        <v>ATENÇÃO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3</v>
      </c>
      <c r="O162" s="8" t="str">
        <f t="shared" ca="1" si="7"/>
        <v>ATENÇÃO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3</v>
      </c>
      <c r="O163" s="8" t="str">
        <f t="shared" ca="1" si="7"/>
        <v>ATENÇÃO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10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10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10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10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148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148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148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148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148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148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148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148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148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148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148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148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148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148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148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148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148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148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148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148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148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148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148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148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148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148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148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148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148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148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148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598</v>
      </c>
      <c r="D199" s="8" t="s">
        <v>63</v>
      </c>
      <c r="E199" s="8" t="s">
        <v>595</v>
      </c>
      <c r="F199" s="114" t="s">
        <v>596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2</v>
      </c>
      <c r="O199" s="8" t="str">
        <f ca="1">IF(N199&lt;0,"ATRASADO",IF(N199&lt;=15,"ATENÇÃO","NO PRAZO"))</f>
        <v>ATENÇÃO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592</v>
      </c>
    </row>
    <row r="200" spans="1:23" x14ac:dyDescent="0.25">
      <c r="A200" s="8">
        <v>2367</v>
      </c>
      <c r="B200" s="8">
        <v>2</v>
      </c>
      <c r="C200" s="8" t="s">
        <v>598</v>
      </c>
      <c r="D200" s="8" t="s">
        <v>63</v>
      </c>
      <c r="E200" s="8" t="s">
        <v>595</v>
      </c>
      <c r="F200" s="114" t="s">
        <v>596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2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592</v>
      </c>
    </row>
    <row r="201" spans="1:23" x14ac:dyDescent="0.25">
      <c r="A201" s="8">
        <v>2367</v>
      </c>
      <c r="B201" s="8">
        <v>3</v>
      </c>
      <c r="C201" s="8" t="s">
        <v>598</v>
      </c>
      <c r="D201" s="8" t="s">
        <v>63</v>
      </c>
      <c r="E201" s="8" t="s">
        <v>595</v>
      </c>
      <c r="F201" s="114" t="s">
        <v>596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2</v>
      </c>
      <c r="O201" s="8" t="str">
        <f t="shared" ca="1" si="10"/>
        <v>ATENÇÃO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592</v>
      </c>
    </row>
    <row r="202" spans="1:23" x14ac:dyDescent="0.25">
      <c r="A202" s="8">
        <v>2367</v>
      </c>
      <c r="B202" s="8">
        <v>4</v>
      </c>
      <c r="C202" s="8" t="s">
        <v>598</v>
      </c>
      <c r="D202" s="8" t="s">
        <v>63</v>
      </c>
      <c r="E202" s="8" t="s">
        <v>595</v>
      </c>
      <c r="F202" s="114" t="s">
        <v>597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2</v>
      </c>
      <c r="O202" s="8" t="str">
        <f t="shared" ca="1" si="10"/>
        <v>ATENÇÃO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592</v>
      </c>
    </row>
    <row r="203" spans="1:23" x14ac:dyDescent="0.25">
      <c r="A203" s="8">
        <v>2367</v>
      </c>
      <c r="B203" s="8">
        <v>5</v>
      </c>
      <c r="C203" s="8" t="s">
        <v>598</v>
      </c>
      <c r="D203" s="8" t="s">
        <v>63</v>
      </c>
      <c r="E203" s="8" t="s">
        <v>595</v>
      </c>
      <c r="F203" s="114" t="s">
        <v>597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2</v>
      </c>
      <c r="O203" s="8" t="str">
        <f t="shared" ca="1" si="10"/>
        <v>ATENÇÃO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592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599</v>
      </c>
      <c r="F204" s="115" t="s">
        <v>600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-1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599</v>
      </c>
      <c r="F205" s="115" t="s">
        <v>600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-1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599</v>
      </c>
      <c r="F206" s="115" t="s">
        <v>600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-1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599</v>
      </c>
      <c r="F207" s="115" t="s">
        <v>601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3</v>
      </c>
      <c r="O207" s="8" t="str">
        <f t="shared" ca="1" si="11"/>
        <v>ATENÇÃO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599</v>
      </c>
      <c r="F208" s="115" t="s">
        <v>601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3</v>
      </c>
      <c r="O208" s="8" t="str">
        <f t="shared" ca="1" si="11"/>
        <v>ATENÇÃO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599</v>
      </c>
      <c r="F209" s="115" t="s">
        <v>601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3</v>
      </c>
      <c r="O209" s="8" t="str">
        <f t="shared" ca="1" si="11"/>
        <v>ATENÇÃO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599</v>
      </c>
      <c r="F210" s="115" t="s">
        <v>602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-1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599</v>
      </c>
      <c r="F211" s="115" t="s">
        <v>602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-1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599</v>
      </c>
      <c r="F212" s="115" t="s">
        <v>602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-1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599</v>
      </c>
      <c r="F213" s="115" t="s">
        <v>602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-1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599</v>
      </c>
      <c r="F214" s="115" t="s">
        <v>602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-1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D59" sqref="D5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31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31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57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28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28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28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28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28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57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57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57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42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42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42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42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42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42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42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42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42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136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136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136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48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48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48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136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136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136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136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57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57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57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57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91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91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91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91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91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91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91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91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91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91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91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91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148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148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148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148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148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695</v>
      </c>
      <c r="F57" s="6" t="s">
        <v>696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83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695</v>
      </c>
      <c r="F58" s="6" t="s">
        <v>696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83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695</v>
      </c>
      <c r="F59" s="6" t="s">
        <v>697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83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698</v>
      </c>
      <c r="F60" s="6" t="s">
        <v>699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87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698</v>
      </c>
      <c r="F61" s="6" t="s">
        <v>699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87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698</v>
      </c>
      <c r="F62" s="6" t="s">
        <v>699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87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698</v>
      </c>
      <c r="F63" s="6" t="s">
        <v>700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87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698</v>
      </c>
      <c r="F64" s="6" t="s">
        <v>701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87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48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571</v>
      </c>
      <c r="D58" s="81" t="s">
        <v>569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571</v>
      </c>
      <c r="D59" s="81" t="s">
        <v>569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571</v>
      </c>
      <c r="D60" s="81" t="s">
        <v>580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571</v>
      </c>
      <c r="D61" s="81" t="s">
        <v>581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571</v>
      </c>
      <c r="D62" s="81" t="s">
        <v>582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571</v>
      </c>
      <c r="D63" s="81" t="s">
        <v>583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571</v>
      </c>
      <c r="D64" s="81" t="s">
        <v>584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571</v>
      </c>
      <c r="D65" s="81" t="s">
        <v>585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623</v>
      </c>
      <c r="E66" s="81">
        <v>1</v>
      </c>
      <c r="F66" s="81" t="s">
        <v>588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629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627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624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629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628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625</v>
      </c>
      <c r="E68" s="81">
        <v>1</v>
      </c>
      <c r="F68" s="81" t="s">
        <v>588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608</v>
      </c>
      <c r="U68" s="81" t="s">
        <v>626</v>
      </c>
    </row>
    <row r="69" spans="1:21" x14ac:dyDescent="0.25">
      <c r="A69" s="85">
        <v>1040</v>
      </c>
      <c r="B69" s="85" t="s">
        <v>63</v>
      </c>
      <c r="C69" s="81" t="s">
        <v>568</v>
      </c>
      <c r="D69" s="81" t="s">
        <v>569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568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568</v>
      </c>
      <c r="D71" s="81" t="s">
        <v>633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568</v>
      </c>
      <c r="D72" s="81" t="s">
        <v>635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568</v>
      </c>
      <c r="D73" s="81" t="s">
        <v>634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568</v>
      </c>
      <c r="D74" s="51" t="s">
        <v>655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568</v>
      </c>
      <c r="D75" s="51" t="s">
        <v>656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568</v>
      </c>
      <c r="D76" s="51" t="s">
        <v>657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568</v>
      </c>
      <c r="D77" s="51" t="s">
        <v>658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568</v>
      </c>
      <c r="D78" s="51" t="s">
        <v>659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568</v>
      </c>
      <c r="D79" s="51" t="s">
        <v>660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568</v>
      </c>
      <c r="D80" s="51" t="s">
        <v>661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568</v>
      </c>
      <c r="D81" s="51" t="s">
        <v>662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568</v>
      </c>
      <c r="D82" s="51" t="s">
        <v>663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568</v>
      </c>
      <c r="D83" s="51" t="s">
        <v>664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568</v>
      </c>
      <c r="D84" s="51" t="s">
        <v>665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568</v>
      </c>
      <c r="D85" s="51" t="s">
        <v>666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568</v>
      </c>
      <c r="D86" s="51" t="s">
        <v>667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568</v>
      </c>
      <c r="D87" s="51" t="s">
        <v>668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568</v>
      </c>
      <c r="D88" s="51" t="s">
        <v>669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568</v>
      </c>
      <c r="D89" s="51" t="s">
        <v>670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568</v>
      </c>
      <c r="D90" s="51" t="s">
        <v>671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568</v>
      </c>
      <c r="D91" s="51" t="s">
        <v>672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679</v>
      </c>
      <c r="D92" s="51" t="s">
        <v>689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679</v>
      </c>
      <c r="D93" s="51" t="s">
        <v>690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679</v>
      </c>
      <c r="D94" s="51" t="s">
        <v>691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679</v>
      </c>
      <c r="D95" s="51" t="s">
        <v>692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679</v>
      </c>
      <c r="D96" s="51" t="s">
        <v>693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679</v>
      </c>
      <c r="D97" s="51" t="s">
        <v>694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E149" sqref="E14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16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16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16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16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16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16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16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16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-60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138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566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138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566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138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566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138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138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138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43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43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138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138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138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138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138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138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138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138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138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138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138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138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138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138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138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138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138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138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138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138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138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138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138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138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138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138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138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138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138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138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138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138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138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138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571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-35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118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118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118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118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118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118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118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118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118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118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118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118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118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118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118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118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118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118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118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118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118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118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118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118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118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118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118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118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118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118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118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118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118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118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118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-35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133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133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133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133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133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133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133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133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570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59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570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59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570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59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570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59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570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59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570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59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571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118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571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118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571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118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571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118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571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118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571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118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571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118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571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118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571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118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571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118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571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118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571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118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571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118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571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118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571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118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571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118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571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118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571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118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571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118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571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118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568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148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568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148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568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148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568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148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568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148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568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148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568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148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568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148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568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148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568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148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568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148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568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148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568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148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568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148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568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148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568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148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90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90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90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90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90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90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90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90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  <row r="148" spans="1:17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679</v>
      </c>
      <c r="F148" s="12">
        <v>1</v>
      </c>
      <c r="G148" s="6" t="s">
        <v>682</v>
      </c>
      <c r="H148" s="7">
        <v>46297</v>
      </c>
      <c r="J148" s="7">
        <v>46342</v>
      </c>
      <c r="L148" s="11">
        <f ca="1">Tabela4[[#This Row],[Prazo
Entrega]]-TODAY()</f>
        <v>104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679</v>
      </c>
      <c r="F149" s="12">
        <v>1</v>
      </c>
      <c r="G149" s="6" t="s">
        <v>683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104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679</v>
      </c>
      <c r="F150" s="12">
        <v>1</v>
      </c>
      <c r="G150" s="6" t="s">
        <v>683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104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679</v>
      </c>
      <c r="F151" s="12">
        <v>1</v>
      </c>
      <c r="G151" s="6" t="s">
        <v>684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104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679</v>
      </c>
      <c r="F152" s="12">
        <v>1</v>
      </c>
      <c r="G152" s="6" t="s">
        <v>684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104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679</v>
      </c>
      <c r="F153" s="12">
        <v>1</v>
      </c>
      <c r="G153" s="6" t="s">
        <v>684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104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679</v>
      </c>
      <c r="F154" s="12">
        <v>1</v>
      </c>
      <c r="G154" s="6" t="s">
        <v>684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104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AA22" sqref="AA22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630</v>
      </c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564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565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565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565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565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564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564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594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570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570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570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570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570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570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570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570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571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572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571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573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571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574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571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571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571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571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571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571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571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571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571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571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571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571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571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575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571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576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571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577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590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586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590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586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590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586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590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586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590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586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590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586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590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586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590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586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590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586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590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586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590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586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590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586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590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586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590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586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590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586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590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586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702</v>
      </c>
    </row>
    <row r="167" spans="1:28" ht="20.100000000000001" hidden="1" customHeight="1" x14ac:dyDescent="0.25">
      <c r="A167" s="51">
        <v>2353</v>
      </c>
      <c r="B167" s="51">
        <v>18</v>
      </c>
      <c r="C167" s="51" t="s">
        <v>590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586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702</v>
      </c>
    </row>
    <row r="168" spans="1:28" ht="20.100000000000001" hidden="1" customHeight="1" x14ac:dyDescent="0.25">
      <c r="A168" s="51">
        <v>2353</v>
      </c>
      <c r="B168" s="51">
        <v>19</v>
      </c>
      <c r="C168" s="51" t="s">
        <v>590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586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702</v>
      </c>
    </row>
    <row r="169" spans="1:28" ht="20.100000000000001" hidden="1" customHeight="1" x14ac:dyDescent="0.25">
      <c r="A169" s="51">
        <v>2353</v>
      </c>
      <c r="B169" s="51">
        <v>20</v>
      </c>
      <c r="C169" s="51" t="s">
        <v>590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586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702</v>
      </c>
    </row>
    <row r="170" spans="1:28" ht="20.100000000000001" hidden="1" customHeight="1" x14ac:dyDescent="0.25">
      <c r="A170" s="51">
        <v>2353</v>
      </c>
      <c r="B170" s="51">
        <v>21</v>
      </c>
      <c r="C170" s="51" t="s">
        <v>590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586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702</v>
      </c>
    </row>
    <row r="171" spans="1:28" ht="20.100000000000001" hidden="1" customHeight="1" x14ac:dyDescent="0.25">
      <c r="A171" s="51">
        <v>2353</v>
      </c>
      <c r="B171" s="51">
        <v>22</v>
      </c>
      <c r="C171" s="51" t="s">
        <v>590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586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702</v>
      </c>
    </row>
    <row r="172" spans="1:28" ht="20.100000000000001" hidden="1" customHeight="1" x14ac:dyDescent="0.25">
      <c r="A172" s="51">
        <v>2353</v>
      </c>
      <c r="B172" s="51">
        <v>23</v>
      </c>
      <c r="C172" s="51" t="s">
        <v>590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586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590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586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590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586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590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586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590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586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590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586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590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586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590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586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590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586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590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586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590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586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590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586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590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586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590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586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590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586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590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586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590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586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590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586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590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586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590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586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590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586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590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586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590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586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590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586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590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586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590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586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590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586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590</v>
      </c>
      <c r="D199" s="111">
        <v>6792</v>
      </c>
      <c r="E199" s="51" t="s">
        <v>255</v>
      </c>
      <c r="F199" s="51">
        <v>1</v>
      </c>
      <c r="G199" s="83" t="s">
        <v>587</v>
      </c>
      <c r="H199" s="51" t="s">
        <v>63</v>
      </c>
      <c r="I199" s="51" t="s">
        <v>63</v>
      </c>
      <c r="J199" s="51" t="s">
        <v>63</v>
      </c>
      <c r="K199" s="51" t="s">
        <v>586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590</v>
      </c>
      <c r="D200" s="111">
        <v>6793</v>
      </c>
      <c r="E200" s="51" t="s">
        <v>255</v>
      </c>
      <c r="F200" s="51">
        <v>1</v>
      </c>
      <c r="G200" s="83" t="s">
        <v>587</v>
      </c>
      <c r="H200" s="51" t="s">
        <v>63</v>
      </c>
      <c r="I200" s="51" t="s">
        <v>63</v>
      </c>
      <c r="J200" s="51" t="s">
        <v>63</v>
      </c>
      <c r="K200" s="51" t="s">
        <v>586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590</v>
      </c>
      <c r="D201" s="111">
        <v>6794</v>
      </c>
      <c r="E201" s="51" t="s">
        <v>255</v>
      </c>
      <c r="F201" s="51">
        <v>1</v>
      </c>
      <c r="G201" s="83" t="s">
        <v>587</v>
      </c>
      <c r="H201" s="51" t="s">
        <v>63</v>
      </c>
      <c r="I201" s="51" t="s">
        <v>63</v>
      </c>
      <c r="J201" s="51" t="s">
        <v>63</v>
      </c>
      <c r="K201" s="51" t="s">
        <v>586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590</v>
      </c>
      <c r="D202" s="111">
        <v>6795</v>
      </c>
      <c r="E202" s="51" t="s">
        <v>255</v>
      </c>
      <c r="F202" s="51">
        <v>1</v>
      </c>
      <c r="G202" s="83" t="s">
        <v>587</v>
      </c>
      <c r="H202" s="51" t="s">
        <v>63</v>
      </c>
      <c r="I202" s="51" t="s">
        <v>63</v>
      </c>
      <c r="J202" s="51" t="s">
        <v>63</v>
      </c>
      <c r="K202" s="51" t="s">
        <v>586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590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586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590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586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590</v>
      </c>
      <c r="D205" s="111">
        <v>6798</v>
      </c>
      <c r="E205" s="51" t="s">
        <v>255</v>
      </c>
      <c r="F205" s="51">
        <v>1</v>
      </c>
      <c r="G205" s="83" t="s">
        <v>587</v>
      </c>
      <c r="H205" s="51" t="s">
        <v>63</v>
      </c>
      <c r="I205" s="51" t="s">
        <v>63</v>
      </c>
      <c r="J205" s="51" t="s">
        <v>63</v>
      </c>
      <c r="K205" s="51" t="s">
        <v>586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590</v>
      </c>
      <c r="D206" s="111">
        <v>6799</v>
      </c>
      <c r="E206" s="51" t="s">
        <v>255</v>
      </c>
      <c r="F206" s="51">
        <v>1</v>
      </c>
      <c r="G206" s="83" t="s">
        <v>587</v>
      </c>
      <c r="H206" s="51" t="s">
        <v>63</v>
      </c>
      <c r="I206" s="51" t="s">
        <v>63</v>
      </c>
      <c r="J206" s="51" t="s">
        <v>63</v>
      </c>
      <c r="K206" s="51" t="s">
        <v>586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590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586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590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586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590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586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590</v>
      </c>
      <c r="D210" s="111">
        <v>6803</v>
      </c>
      <c r="E210" s="51" t="s">
        <v>255</v>
      </c>
      <c r="F210" s="51">
        <v>1</v>
      </c>
      <c r="G210" s="83" t="s">
        <v>588</v>
      </c>
      <c r="H210" s="51" t="s">
        <v>63</v>
      </c>
      <c r="I210" s="51" t="s">
        <v>63</v>
      </c>
      <c r="J210" s="51" t="s">
        <v>63</v>
      </c>
      <c r="K210" s="51" t="s">
        <v>586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590</v>
      </c>
      <c r="D211" s="111">
        <v>6804</v>
      </c>
      <c r="E211" s="51" t="s">
        <v>255</v>
      </c>
      <c r="F211" s="51">
        <v>1</v>
      </c>
      <c r="G211" s="83" t="s">
        <v>588</v>
      </c>
      <c r="H211" s="51" t="s">
        <v>63</v>
      </c>
      <c r="I211" s="51" t="s">
        <v>63</v>
      </c>
      <c r="J211" s="51" t="s">
        <v>63</v>
      </c>
      <c r="K211" s="51" t="s">
        <v>586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590</v>
      </c>
      <c r="D212" s="111">
        <v>6805</v>
      </c>
      <c r="E212" s="51" t="s">
        <v>255</v>
      </c>
      <c r="F212" s="51">
        <v>1</v>
      </c>
      <c r="G212" s="83" t="s">
        <v>588</v>
      </c>
      <c r="H212" s="51" t="s">
        <v>63</v>
      </c>
      <c r="I212" s="51" t="s">
        <v>63</v>
      </c>
      <c r="J212" s="51" t="s">
        <v>63</v>
      </c>
      <c r="K212" s="51" t="s">
        <v>586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590</v>
      </c>
      <c r="D213" s="111">
        <v>6806</v>
      </c>
      <c r="E213" s="51" t="s">
        <v>255</v>
      </c>
      <c r="F213" s="51">
        <v>1</v>
      </c>
      <c r="G213" s="83" t="s">
        <v>588</v>
      </c>
      <c r="H213" s="51" t="s">
        <v>63</v>
      </c>
      <c r="I213" s="51" t="s">
        <v>63</v>
      </c>
      <c r="J213" s="51" t="s">
        <v>63</v>
      </c>
      <c r="K213" s="51" t="s">
        <v>586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590</v>
      </c>
      <c r="D214" s="111">
        <v>6808</v>
      </c>
      <c r="E214" s="51" t="s">
        <v>255</v>
      </c>
      <c r="F214" s="51">
        <v>1</v>
      </c>
      <c r="G214" s="83" t="s">
        <v>589</v>
      </c>
      <c r="H214" s="51" t="s">
        <v>63</v>
      </c>
      <c r="I214" s="51" t="s">
        <v>63</v>
      </c>
      <c r="J214" s="51" t="s">
        <v>63</v>
      </c>
      <c r="K214" s="51" t="s">
        <v>586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590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586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590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586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590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586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590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586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590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586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678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590</v>
      </c>
      <c r="D220" s="111">
        <v>6817</v>
      </c>
      <c r="E220" s="51" t="s">
        <v>255</v>
      </c>
      <c r="F220" s="51">
        <v>1</v>
      </c>
      <c r="G220" s="83" t="s">
        <v>587</v>
      </c>
      <c r="H220" s="51" t="s">
        <v>63</v>
      </c>
      <c r="I220" s="51" t="s">
        <v>63</v>
      </c>
      <c r="J220" s="51" t="s">
        <v>63</v>
      </c>
      <c r="K220" s="51" t="s">
        <v>586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590</v>
      </c>
      <c r="D221" s="111">
        <v>6818</v>
      </c>
      <c r="E221" s="51" t="s">
        <v>255</v>
      </c>
      <c r="F221" s="51">
        <v>1</v>
      </c>
      <c r="G221" s="83" t="s">
        <v>587</v>
      </c>
      <c r="H221" s="51" t="s">
        <v>63</v>
      </c>
      <c r="I221" s="51" t="s">
        <v>63</v>
      </c>
      <c r="J221" s="51" t="s">
        <v>63</v>
      </c>
      <c r="K221" s="51" t="s">
        <v>586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590</v>
      </c>
      <c r="D222" s="111">
        <v>6819</v>
      </c>
      <c r="E222" s="51" t="s">
        <v>255</v>
      </c>
      <c r="F222" s="51">
        <v>1</v>
      </c>
      <c r="G222" s="83" t="s">
        <v>587</v>
      </c>
      <c r="H222" s="51" t="s">
        <v>63</v>
      </c>
      <c r="I222" s="51" t="s">
        <v>63</v>
      </c>
      <c r="J222" s="51" t="s">
        <v>63</v>
      </c>
      <c r="K222" s="51" t="s">
        <v>586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590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586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603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590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586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603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590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586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568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636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568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637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568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638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568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639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568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640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568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641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568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642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568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643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568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644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568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645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568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646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568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647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568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648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568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649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568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650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568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651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568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652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568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653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hidden="1" customHeight="1" x14ac:dyDescent="0.25">
      <c r="A244" s="51">
        <v>1055</v>
      </c>
      <c r="B244" s="51" t="s">
        <v>63</v>
      </c>
      <c r="C244" s="51" t="s">
        <v>679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hidden="1" customHeight="1" x14ac:dyDescent="0.25">
      <c r="A245" s="51">
        <v>1055</v>
      </c>
      <c r="B245" s="51" t="s">
        <v>63</v>
      </c>
      <c r="C245" s="51" t="s">
        <v>679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685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hidden="1" customHeight="1" x14ac:dyDescent="0.25">
      <c r="A246" s="51">
        <v>1055</v>
      </c>
      <c r="B246" s="51" t="s">
        <v>63</v>
      </c>
      <c r="C246" s="51" t="s">
        <v>679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686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688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hidden="1" customHeight="1" x14ac:dyDescent="0.25">
      <c r="A247" s="51">
        <v>1055</v>
      </c>
      <c r="B247" s="51" t="s">
        <v>63</v>
      </c>
      <c r="C247" s="51" t="s">
        <v>679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hidden="1" customHeight="1" x14ac:dyDescent="0.25">
      <c r="A248" s="51">
        <v>1055</v>
      </c>
      <c r="B248" s="51" t="s">
        <v>63</v>
      </c>
      <c r="C248" s="51" t="s">
        <v>679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hidden="1" customHeight="1" x14ac:dyDescent="0.25">
      <c r="A249" s="51">
        <v>1055</v>
      </c>
      <c r="B249" s="51" t="s">
        <v>63</v>
      </c>
      <c r="C249" s="51" t="s">
        <v>679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685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hidden="1" customHeight="1" x14ac:dyDescent="0.25">
      <c r="A250" s="51">
        <v>1055</v>
      </c>
      <c r="B250" s="51" t="s">
        <v>63</v>
      </c>
      <c r="C250" s="51" t="s">
        <v>679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687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688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hidden="1" customHeight="1" x14ac:dyDescent="0.25">
      <c r="A251" s="51">
        <v>1055</v>
      </c>
      <c r="B251" s="51" t="s">
        <v>63</v>
      </c>
      <c r="C251" s="51" t="s">
        <v>679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hidden="1" customHeight="1" x14ac:dyDescent="0.25">
      <c r="A252" s="51">
        <v>1055</v>
      </c>
      <c r="B252" s="51" t="s">
        <v>63</v>
      </c>
      <c r="C252" s="51" t="s">
        <v>679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hidden="1" customHeight="1" x14ac:dyDescent="0.25">
      <c r="A253" s="51">
        <v>1055</v>
      </c>
      <c r="B253" s="51" t="s">
        <v>63</v>
      </c>
      <c r="C253" s="51" t="s">
        <v>679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685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hidden="1" customHeight="1" x14ac:dyDescent="0.25">
      <c r="A254" s="51">
        <v>1055</v>
      </c>
      <c r="B254" s="51" t="s">
        <v>63</v>
      </c>
      <c r="C254" s="51" t="s">
        <v>679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hidden="1" customHeight="1" x14ac:dyDescent="0.25">
      <c r="A255" s="51">
        <v>1055</v>
      </c>
      <c r="B255" s="51" t="s">
        <v>63</v>
      </c>
      <c r="C255" s="51" t="s">
        <v>679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hidden="1" customHeight="1" x14ac:dyDescent="0.25">
      <c r="A256" s="51">
        <v>1055</v>
      </c>
      <c r="B256" s="51" t="s">
        <v>63</v>
      </c>
      <c r="C256" s="51" t="s">
        <v>679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685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hidden="1" customHeight="1" x14ac:dyDescent="0.25">
      <c r="A257" s="51">
        <v>1055</v>
      </c>
      <c r="B257" s="51" t="s">
        <v>63</v>
      </c>
      <c r="C257" s="51" t="s">
        <v>679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hidden="1" customHeight="1" x14ac:dyDescent="0.25">
      <c r="A258" s="51">
        <v>1055</v>
      </c>
      <c r="B258" s="51" t="s">
        <v>63</v>
      </c>
      <c r="C258" s="51" t="s">
        <v>679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hidden="1" customHeight="1" x14ac:dyDescent="0.25">
      <c r="A259" s="51">
        <v>1055</v>
      </c>
      <c r="B259" s="51" t="s">
        <v>63</v>
      </c>
      <c r="C259" s="51" t="s">
        <v>679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685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hidden="1" customHeight="1" x14ac:dyDescent="0.25">
      <c r="A260" s="51">
        <v>1055</v>
      </c>
      <c r="B260" s="51" t="s">
        <v>63</v>
      </c>
      <c r="C260" s="51" t="s">
        <v>679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hidden="1" customHeight="1" x14ac:dyDescent="0.25">
      <c r="A261" s="51">
        <v>1055</v>
      </c>
      <c r="B261" s="51" t="s">
        <v>63</v>
      </c>
      <c r="C261" s="51" t="s">
        <v>679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hidden="1" customHeight="1" x14ac:dyDescent="0.25">
      <c r="A262" s="51">
        <v>1055</v>
      </c>
      <c r="B262" s="51" t="s">
        <v>63</v>
      </c>
      <c r="C262" s="51" t="s">
        <v>679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685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hidden="1" customHeight="1" x14ac:dyDescent="0.25">
      <c r="A263" s="51">
        <v>1055</v>
      </c>
      <c r="B263" s="51" t="s">
        <v>63</v>
      </c>
      <c r="C263" s="51" t="s">
        <v>679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zoomScale="90" zoomScaleNormal="90" workbookViewId="0">
      <selection activeCell="Q179" sqref="Q179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677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593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570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567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570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567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570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567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570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570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570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570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570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571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572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571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573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571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574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571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571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571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571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571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579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571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571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571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571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571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571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571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571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575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571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576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571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577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578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613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56</v>
      </c>
      <c r="L119" s="51" t="s">
        <v>614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198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613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56</v>
      </c>
      <c r="L120" s="51" t="s">
        <v>615</v>
      </c>
      <c r="M120" s="51" t="s">
        <v>469</v>
      </c>
      <c r="N120" s="51" t="s">
        <v>621</v>
      </c>
      <c r="O120" s="51" t="s">
        <v>220</v>
      </c>
      <c r="P120" s="51" t="s">
        <v>622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198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613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56</v>
      </c>
      <c r="L121" s="51" t="s">
        <v>616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198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613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56</v>
      </c>
      <c r="L122" s="51" t="s">
        <v>617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198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613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56</v>
      </c>
      <c r="L123" s="51" t="s">
        <v>618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198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613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56</v>
      </c>
      <c r="L124" s="51" t="s">
        <v>619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198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613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56</v>
      </c>
      <c r="L125" s="51" t="s">
        <v>620</v>
      </c>
      <c r="M125" s="51" t="s">
        <v>469</v>
      </c>
      <c r="N125" s="51" t="s">
        <v>621</v>
      </c>
      <c r="O125" s="51" t="s">
        <v>220</v>
      </c>
      <c r="P125" s="51" t="s">
        <v>622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198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631</v>
      </c>
      <c r="D126" s="51" t="s">
        <v>632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568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636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568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637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568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638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568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639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568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640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568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641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568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642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568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643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568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644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568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645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568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654</v>
      </c>
      <c r="J137" s="51" t="s">
        <v>58</v>
      </c>
      <c r="K137" s="51" t="s">
        <v>58</v>
      </c>
      <c r="L137" s="51" t="s">
        <v>646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568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647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568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648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568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649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568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650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568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651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568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652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568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653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675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673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674</v>
      </c>
    </row>
    <row r="146" spans="1:23" ht="20.100000000000001" hidden="1" customHeight="1" x14ac:dyDescent="0.25">
      <c r="A146" s="51">
        <v>1055</v>
      </c>
      <c r="B146" s="51" t="s">
        <v>63</v>
      </c>
      <c r="C146" s="51" t="s">
        <v>679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hidden="1" customHeight="1" x14ac:dyDescent="0.25">
      <c r="A147" s="51">
        <v>1055</v>
      </c>
      <c r="B147" s="51" t="s">
        <v>63</v>
      </c>
      <c r="C147" s="51" t="s">
        <v>679</v>
      </c>
      <c r="D147" s="51" t="s">
        <v>378</v>
      </c>
      <c r="E147" s="51">
        <v>1</v>
      </c>
      <c r="F147" s="51">
        <v>2000</v>
      </c>
      <c r="G147" s="51" t="s">
        <v>685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hidden="1" customHeight="1" x14ac:dyDescent="0.25">
      <c r="A148" s="51">
        <v>1055</v>
      </c>
      <c r="B148" s="51" t="s">
        <v>63</v>
      </c>
      <c r="C148" s="51" t="s">
        <v>679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686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hidden="1" customHeight="1" x14ac:dyDescent="0.25">
      <c r="A149" s="51">
        <v>1055</v>
      </c>
      <c r="B149" s="51" t="s">
        <v>63</v>
      </c>
      <c r="C149" s="51" t="s">
        <v>679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hidden="1" customHeight="1" x14ac:dyDescent="0.25">
      <c r="A150" s="51">
        <v>1055</v>
      </c>
      <c r="B150" s="51" t="s">
        <v>63</v>
      </c>
      <c r="C150" s="51" t="s">
        <v>679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hidden="1" customHeight="1" x14ac:dyDescent="0.25">
      <c r="A151" s="51">
        <v>1055</v>
      </c>
      <c r="B151" s="51" t="s">
        <v>63</v>
      </c>
      <c r="C151" s="51" t="s">
        <v>679</v>
      </c>
      <c r="D151" s="51" t="s">
        <v>378</v>
      </c>
      <c r="E151" s="51">
        <v>1</v>
      </c>
      <c r="F151" s="51">
        <v>1700</v>
      </c>
      <c r="G151" s="51" t="s">
        <v>685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hidden="1" customHeight="1" x14ac:dyDescent="0.25">
      <c r="A152" s="51">
        <v>1055</v>
      </c>
      <c r="B152" s="51" t="s">
        <v>63</v>
      </c>
      <c r="C152" s="51" t="s">
        <v>679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687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hidden="1" customHeight="1" x14ac:dyDescent="0.25">
      <c r="A153" s="51">
        <v>1055</v>
      </c>
      <c r="B153" s="51" t="s">
        <v>63</v>
      </c>
      <c r="C153" s="51" t="s">
        <v>679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hidden="1" customHeight="1" x14ac:dyDescent="0.25">
      <c r="A154" s="51">
        <v>1055</v>
      </c>
      <c r="B154" s="51" t="s">
        <v>63</v>
      </c>
      <c r="C154" s="51" t="s">
        <v>679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hidden="1" customHeight="1" x14ac:dyDescent="0.25">
      <c r="A155" s="51">
        <v>1055</v>
      </c>
      <c r="B155" s="51" t="s">
        <v>63</v>
      </c>
      <c r="C155" s="51" t="s">
        <v>679</v>
      </c>
      <c r="D155" s="51" t="s">
        <v>378</v>
      </c>
      <c r="E155" s="51">
        <v>1</v>
      </c>
      <c r="F155" s="51">
        <v>1700</v>
      </c>
      <c r="G155" s="51" t="s">
        <v>685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hidden="1" customHeight="1" x14ac:dyDescent="0.25">
      <c r="A156" s="51">
        <v>1055</v>
      </c>
      <c r="B156" s="51" t="s">
        <v>63</v>
      </c>
      <c r="C156" s="51" t="s">
        <v>679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hidden="1" customHeight="1" x14ac:dyDescent="0.25">
      <c r="A157" s="51">
        <v>1055</v>
      </c>
      <c r="B157" s="51" t="s">
        <v>63</v>
      </c>
      <c r="C157" s="51" t="s">
        <v>679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hidden="1" customHeight="1" x14ac:dyDescent="0.25">
      <c r="A158" s="51">
        <v>1055</v>
      </c>
      <c r="B158" s="51" t="s">
        <v>63</v>
      </c>
      <c r="C158" s="51" t="s">
        <v>679</v>
      </c>
      <c r="D158" s="51" t="s">
        <v>378</v>
      </c>
      <c r="E158" s="51">
        <v>1</v>
      </c>
      <c r="F158" s="51">
        <v>1700</v>
      </c>
      <c r="G158" s="51" t="s">
        <v>685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hidden="1" customHeight="1" x14ac:dyDescent="0.25">
      <c r="A159" s="51">
        <v>1055</v>
      </c>
      <c r="B159" s="51" t="s">
        <v>63</v>
      </c>
      <c r="C159" s="51" t="s">
        <v>679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hidden="1" customHeight="1" x14ac:dyDescent="0.25">
      <c r="A160" s="51">
        <v>1055</v>
      </c>
      <c r="B160" s="51" t="s">
        <v>63</v>
      </c>
      <c r="C160" s="51" t="s">
        <v>679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hidden="1" customHeight="1" x14ac:dyDescent="0.25">
      <c r="A161" s="51">
        <v>1055</v>
      </c>
      <c r="B161" s="51" t="s">
        <v>63</v>
      </c>
      <c r="C161" s="51" t="s">
        <v>679</v>
      </c>
      <c r="D161" s="51" t="s">
        <v>378</v>
      </c>
      <c r="E161" s="51">
        <v>1</v>
      </c>
      <c r="F161" s="51">
        <v>1700</v>
      </c>
      <c r="G161" s="51" t="s">
        <v>685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hidden="1" customHeight="1" x14ac:dyDescent="0.25">
      <c r="A162" s="51">
        <v>1055</v>
      </c>
      <c r="B162" s="51" t="s">
        <v>63</v>
      </c>
      <c r="C162" s="51" t="s">
        <v>679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hidden="1" customHeight="1" x14ac:dyDescent="0.25">
      <c r="A163" s="51">
        <v>1055</v>
      </c>
      <c r="B163" s="51" t="s">
        <v>63</v>
      </c>
      <c r="C163" s="51" t="s">
        <v>679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hidden="1" customHeight="1" x14ac:dyDescent="0.25">
      <c r="A164" s="51">
        <v>1055</v>
      </c>
      <c r="B164" s="51" t="s">
        <v>63</v>
      </c>
      <c r="C164" s="51" t="s">
        <v>679</v>
      </c>
      <c r="D164" s="51" t="s">
        <v>378</v>
      </c>
      <c r="E164" s="51">
        <v>1</v>
      </c>
      <c r="F164" s="51">
        <v>2000</v>
      </c>
      <c r="G164" s="51" t="s">
        <v>685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hidden="1" customHeight="1" x14ac:dyDescent="0.25">
      <c r="A165" s="51">
        <v>1055</v>
      </c>
      <c r="B165" s="51" t="s">
        <v>63</v>
      </c>
      <c r="C165" s="51" t="s">
        <v>679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hidden="1" customHeight="1" x14ac:dyDescent="0.25">
      <c r="A166" s="78">
        <v>2371</v>
      </c>
      <c r="B166" s="51" t="s">
        <v>63</v>
      </c>
      <c r="C166" s="51" t="s">
        <v>679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hidden="1" customHeight="1" x14ac:dyDescent="0.25">
      <c r="A167" s="78">
        <v>2371</v>
      </c>
      <c r="B167" s="51" t="s">
        <v>63</v>
      </c>
      <c r="C167" s="51" t="s">
        <v>679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J37" sqref="J3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610</v>
      </c>
      <c r="I1" s="19" t="s">
        <v>606</v>
      </c>
      <c r="J1" s="19" t="s">
        <v>609</v>
      </c>
      <c r="K1" s="19" t="s">
        <v>607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605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605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605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608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605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608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605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605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608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605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608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605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608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605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608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605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608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605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608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605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608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604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608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605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605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608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605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608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605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608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604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608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605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605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608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605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608</v>
      </c>
      <c r="O22" s="47" t="s">
        <v>612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605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605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608</v>
      </c>
      <c r="O24" s="47" t="s">
        <v>612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605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605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605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604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608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604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608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604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608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604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608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605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605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605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605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605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604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604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604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604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604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605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605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605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605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605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605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605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605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605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604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605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605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605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605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605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605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605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605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604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611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611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2026-08-04T13:57:48Z</dcterms:modified>
</cp:coreProperties>
</file>