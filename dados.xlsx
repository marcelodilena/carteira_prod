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F50E5A75-4D9A-4B1F-84FF-D3F6343924B6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BAGACEIRAS!$A$1:$AD$115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<sst xmlns="http://schemas.openxmlformats.org/spreadsheetml/2006/main" count="13715" uniqueCount="679">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</sst>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199" dataDxfId="198">
  <autoFilter ref="A1:AD120" xr:uid="{0B979512-8F08-4F92-A755-B1320B33B48D}"/>
  <tableColumns count="30">
    <tableColumn id="1" xr3:uid="{2AE87B23-57FB-4D7F-8BFD-D65EC0053BA3}" name="PV" dataDxfId="197"/>
    <tableColumn id="2" xr3:uid="{81052488-0765-4420-B185-DA73AE55FD88}" name="Item" dataDxfId="196"/>
    <tableColumn id="3" xr3:uid="{0E7DB960-0044-4341-ADB4-2A033B27B993}" name="OS/Peças" dataDxfId="195"/>
    <tableColumn id="4" xr3:uid="{B0F20CBE-FFF4-445B-B0BF-7A9C6A140189}" name="Seq." dataDxfId="194"/>
    <tableColumn id="5" xr3:uid="{D1656E30-4AB0-4CD0-BF13-6D5A49C6E4A0}" name="Cliente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11" xr3:uid="{357F67DE-6B6F-4353-906F-4FBB26ED7226}" name="Pz Fundido_x000a_Real" dataDxfId="189"/>
    <tableColumn id="12" xr3:uid="{5CF37CA2-8EC2-4A06-8A50-1305C1129D14}" name="Prazo_x000a_Entrega" dataDxfId="188"/>
    <tableColumn id="36" xr3:uid="{903E641C-0F4A-465E-9B87-4C77A3724350}" name="Pz Entrega_x000a_Real" dataDxfId="187"/>
    <tableColumn id="14" xr3:uid="{49E3A48F-4FBA-45ED-9BE5-0D3F2C039F64}" name="Dias_x000a_Falta2" dataDxfId="186">
      <calculatedColumnFormula>Tabela1[[#This Row],[Prazo
Entrega]]-TODAY()</calculatedColumnFormula>
    </tableColumn>
    <tableColumn id="24" xr3:uid="{FE82CCB3-C196-4A10-9CDF-EC3AAB610284}" name="Indicador" dataDxfId="185">
      <calculatedColumnFormula>IF(L2&lt;0,"ATRASADO",IF(L2&lt;=15,"ATENÇÃO","NO PRAZO"))</calculatedColumnFormula>
    </tableColumn>
    <tableColumn id="22" xr3:uid="{8BBF8940-A612-415C-B30B-5BED69C42E59}" name="CONDIÇÃO" dataDxfId="184"/>
    <tableColumn id="35" xr3:uid="{DF0F32C7-2632-41CB-B20E-BE67D32DDFF8}" name="Desenho_x000a_Previsão" dataDxfId="183"/>
    <tableColumn id="33" xr3:uid="{B0C0F319-983E-42D8-8584-16523AED9BC7}" name="Des." dataDxfId="182"/>
    <tableColumn id="32" xr3:uid="{BB84EAAB-24E7-433E-8DE8-B7705F525D65}" name="OP1" dataDxfId="181"/>
    <tableColumn id="30" xr3:uid="{EFE986D2-325F-4223-A6FC-89AFC0782517}" name="OP2" dataDxfId="180"/>
    <tableColumn id="29" xr3:uid="{806CC413-43AC-4EDE-9413-A2852780B283}" name="OP3" dataDxfId="179"/>
    <tableColumn id="28" xr3:uid="{669E3B74-6C47-4551-B95C-DE764412CB09}" name="OP4" dataDxfId="178"/>
    <tableColumn id="27" xr3:uid="{33B1427B-026C-4955-BEDC-C39ECFB35542}" name="OP5" dataDxfId="177"/>
    <tableColumn id="34" xr3:uid="{2004DA6B-65E8-4CFF-8DD6-03937C8E23A7}" name="OP6" dataDxfId="176"/>
    <tableColumn id="25" xr3:uid="{94AD153B-B1BE-422C-9B64-A3F125946AE5}" name="OP7" dataDxfId="175"/>
    <tableColumn id="23" xr3:uid="{6FFD36BA-4C85-4732-ACA9-BC9D46F4C26B}" name="Status Us." dataDxfId="174">
      <calculatedColumnFormula>IF(I2="","AG. FUNDIDO",IF(Q2="AG","AG. USINAGEM","EM USINAGEM"))</calculatedColumnFormula>
    </tableColumn>
    <tableColumn id="26" xr3:uid="{DF8CD1DA-6F25-4291-9F78-DB8D5E9AF463}" name="Obs." dataDxfId="173"/>
    <tableColumn id="15" xr3:uid="{8F53CFFE-8E1C-41F5-9090-488AE701829C}" name="Plainar_x000a_Facear" dataDxfId="172"/>
    <tableColumn id="16" xr3:uid="{EB12A620-BA24-453B-B639-A28F83CF7950}" name="Serrar2" dataDxfId="171"/>
    <tableColumn id="17" xr3:uid="{46D65A07-940A-4560-AFE5-056D37171937}" name="Solda_x000a_Dura2" dataDxfId="170"/>
    <tableColumn id="18" xr3:uid="{97823986-0C6D-4D6F-9BEE-2E43C2286AB2}" name="Encaixe /_x000a_Furação" dataDxfId="169"/>
    <tableColumn id="19" xr3:uid="{6F1924AE-480F-421A-BD70-FA16D1D4E641}" name="Acabam./_x000a_Inspeção" dataDxfId="16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67" dataDxfId="166">
  <autoFilter ref="A1:W214" xr:uid="{71E71FAB-CF6D-4765-90BA-ABDE8C3299DB}"/>
  <tableColumns count="23">
    <tableColumn id="1" xr3:uid="{8F000DF9-1B1A-450A-B138-9EDBA7F17698}" name="PV" dataDxfId="165"/>
    <tableColumn id="2" xr3:uid="{4269DD7F-E557-42AF-949B-69AB74B45D7E}" name="Item" dataDxfId="164"/>
    <tableColumn id="3" xr3:uid="{B8E3D127-9007-43BC-9B71-611446984BAE}" name="OS/_x000a_Peça" dataDxfId="163"/>
    <tableColumn id="4" xr3:uid="{8A9FBC4E-431D-4132-B7C4-86DD1CC31C1D}" name="Seq." dataDxfId="162"/>
    <tableColumn id="5" xr3:uid="{E43CCBA4-A724-44DA-9BFB-2AD45322EC54}" name="Cliente" dataDxfId="161"/>
    <tableColumn id="8" xr3:uid="{39F09B1D-71EC-461C-93C5-C5FCECCA0EC0}" name="Descrição" dataDxfId="160"/>
    <tableColumn id="9" xr3:uid="{0CC8781A-4370-473C-AD18-F562622EB79C}" name="Qtde." dataDxfId="159"/>
    <tableColumn id="10" xr3:uid="{8FC48674-090B-441A-B05D-5E7E4AB5177C}" name="Prazo_x000a_Fundido" dataDxfId="158"/>
    <tableColumn id="12" xr3:uid="{F410DF31-AFC5-4525-B8D3-A2AB464611B3}" name="Pz Fundido_x000a_Real" dataDxfId="157"/>
    <tableColumn id="13" xr3:uid="{7330A8B8-B0FE-4571-921F-35503842576A}" name="Prazo_x000a_Entrega" dataDxfId="156"/>
    <tableColumn id="23" xr3:uid="{050BF892-6E0A-4C1A-85E3-06353D54D7AC}" name="Pz Entrega_x000a_Real" dataDxfId="155"/>
    <tableColumn id="22" xr3:uid="{07396B9E-F2A0-47CC-B1C1-8D6A8D782E82}" name="Desenho_x000a_Previsão" dataDxfId="154"/>
    <tableColumn id="14" xr3:uid="{98904960-EE6F-4F44-87C3-8646B8C2D461}" name="Des." dataDxfId="153"/>
    <tableColumn id="15" xr3:uid="{4C38D84D-3A40-493A-A007-3826C38C0F9D}" name="Dias_x000a_Falta2" dataDxfId="152">
      <calculatedColumnFormula>Tabela3[[#This Row],[Prazo
Entrega]]-TODAY()</calculatedColumnFormula>
    </tableColumn>
    <tableColumn id="16" xr3:uid="{431C9D70-8530-4071-911B-7AAC65DE848C}" name="Indicador" dataDxfId="151">
      <calculatedColumnFormula>IF(N2&lt;0,"ATRASADO",IF(N2&lt;=15,"ATENÇÃO","NO PRAZO"))</calculatedColumnFormula>
    </tableColumn>
    <tableColumn id="19" xr3:uid="{A127FC22-0D53-4D0F-B783-28394B3FD90C}" name="CONDIÇÃO" dataDxfId="150"/>
    <tableColumn id="17" xr3:uid="{C7F76CF8-5A2A-4921-A3C5-76F960930981}" name="OP1" dataDxfId="149"/>
    <tableColumn id="11" xr3:uid="{39173775-3C78-4FE9-BDCF-83499538BE89}" name="OP2" dataDxfId="148"/>
    <tableColumn id="7" xr3:uid="{F3976AE8-D66C-4536-AE65-B0A7AE46E4B7}" name="OP3" dataDxfId="147"/>
    <tableColumn id="6" xr3:uid="{A70D2F75-F894-4AF7-B60D-3007B9A62CEA}" name="OP4" dataDxfId="146"/>
    <tableColumn id="24" xr3:uid="{A3AFB759-0D7A-44E1-888F-4B5B0EB8A822}" name="OP5" dataDxfId="145"/>
    <tableColumn id="20" xr3:uid="{F610A49E-78E2-480E-B901-6B99A41E5174}" name="Status Usinagem" dataDxfId="144"/>
    <tableColumn id="21" xr3:uid="{FA7288EB-0143-4C36-8591-BF7231A8226E}" name="Observação" dataDxfId="1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42" dataDxfId="141">
  <autoFilter ref="A1:Y56" xr:uid="{2AC5416C-4E1B-4478-8A2A-B698870CAB96}"/>
  <tableColumns count="25">
    <tableColumn id="1" xr3:uid="{9A983B4E-3365-4153-9B40-D7FE26E8B98F}" name="PV " dataDxfId="140"/>
    <tableColumn id="2" xr3:uid="{4F16CD54-AAD4-4149-8D48-CC3FFEA93AA5}" name="Item" dataDxfId="139"/>
    <tableColumn id="3" xr3:uid="{27DB1DBC-B9DA-4067-9696-8CA5ACAAA450}" name="OS/_x000a_Peça" dataDxfId="138"/>
    <tableColumn id="4" xr3:uid="{02C5E283-8ABF-44F8-B3B8-C3F186B4DF63}" name="Seq." dataDxfId="137"/>
    <tableColumn id="5" xr3:uid="{B1051CBE-EA72-4A43-8721-8756F3E2C9C9}" name="Cliente" dataDxfId="136"/>
    <tableColumn id="8" xr3:uid="{9EBF401A-1F29-4CB3-BFA3-F2B326242AB0}" name="Descrição" dataDxfId="135"/>
    <tableColumn id="14" xr3:uid="{85D3397C-7F95-49C7-BFFB-35012CA3B716}" name="Qtd." dataDxfId="134"/>
    <tableColumn id="9" xr3:uid="{0D04583C-577A-446B-9773-A173C5C1C166}" name="Data Prev._x000a_Fundido" dataDxfId="133"/>
    <tableColumn id="10" xr3:uid="{935D3899-0C12-4408-89DF-490A507F79BA}" name="Data Real_x000a_Fundido" dataDxfId="132"/>
    <tableColumn id="11" xr3:uid="{0F06941F-293B-4C15-9764-BB3495C5D3BD}" name="Data Prev._x000a_Entrega" dataDxfId="131"/>
    <tableColumn id="12" xr3:uid="{92FF2511-5498-45BF-9B68-94DBEA588C5A}" name="Data Real_x000a_Entrega" dataDxfId="130"/>
    <tableColumn id="25" xr3:uid="{98545C7E-9674-485C-A07D-715E8945B00E}" name="Falta_x000a_Dias" dataDxfId="129">
      <calculatedColumnFormula>Tabela13[[#This Row],[Data Prev.
Entrega]]-TODAY()</calculatedColumnFormula>
    </tableColumn>
    <tableColumn id="27" xr3:uid="{4EB63243-AA79-4695-93C8-CEA977B11387}" name="Indicador" dataDxfId="128">
      <calculatedColumnFormula>IF(L2&lt;0,"ATRASADO",IF(L2&lt;=15,"ATENÇÃO","NO PRAZO"))</calculatedColumnFormula>
    </tableColumn>
    <tableColumn id="15" xr3:uid="{7AB992C1-F70E-4469-85BB-EBB7763B2038}" name="Condição" dataDxfId="127"/>
    <tableColumn id="24" xr3:uid="{B5965349-4BC8-4DF7-9EB4-857B6D471E8A}" name="Desenho_x000a_Previsão" dataDxfId="126"/>
    <tableColumn id="13" xr3:uid="{FD827F61-5F7F-4B65-8A60-B59D23455B46}" name="Des." dataDxfId="125"/>
    <tableColumn id="16" xr3:uid="{3D186A5F-076F-4232-B21C-37E58E5373B2}" name="OP1" dataDxfId="124"/>
    <tableColumn id="17" xr3:uid="{6EEDF11E-F341-4B3E-8CD2-5595785C3427}" name="OP2" dataDxfId="123"/>
    <tableColumn id="26" xr3:uid="{286BF833-DF55-496A-BA42-E4A8CD9042A8}" name="OP3" dataDxfId="122"/>
    <tableColumn id="18" xr3:uid="{A84EFCF4-218F-4B17-8F46-8D5412141429}" name="OP4" dataDxfId="121"/>
    <tableColumn id="19" xr3:uid="{EBD50149-594D-440E-BFBB-E73ACAF7B6F8}" name="OP5" dataDxfId="120"/>
    <tableColumn id="20" xr3:uid="{91BE30ED-20C1-4F30-9041-45A50CCA04F0}" name="OP6" dataDxfId="119"/>
    <tableColumn id="21" xr3:uid="{A1A12DF6-FC3D-4466-8284-DBD00DEAF994}" name="OP7" dataDxfId="118"/>
    <tableColumn id="22" xr3:uid="{436F202D-DCF4-4376-A550-2541153BD99F}" name="Status Usinagem" dataDxfId="117">
      <calculatedColumnFormula>IF(I2="","AG. FUNDIDO",IF(W2="OK","LIBERADA","EM USINAGEM"))</calculatedColumnFormula>
    </tableColumn>
    <tableColumn id="23" xr3:uid="{F71E5739-8B79-47B3-9A24-E2E4D1DD46E6}" name="Observação" dataDxfId="1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1" totalsRowShown="0" headerRowDxfId="115" dataDxfId="114">
  <autoFilter ref="A1:U91" xr:uid="{4BA44271-44C6-408A-A6A6-B543ACC82025}"/>
  <tableColumns count="21">
    <tableColumn id="1" xr3:uid="{59A78859-607B-43B6-A1C1-8FD9058D131E}" name="PV" dataDxfId="113"/>
    <tableColumn id="2" xr3:uid="{5AC3CDB0-EECF-4366-AABB-10D4632E5647}" name="Item" dataDxfId="112"/>
    <tableColumn id="3" xr3:uid="{CA90DF44-B521-495F-A8BF-53A3271A5DAF}" name="Cliente" dataDxfId="111"/>
    <tableColumn id="4" xr3:uid="{12AD5BC7-853C-41A0-AF2A-10508DE122E6}" name="Descrição" dataDxfId="110"/>
    <tableColumn id="5" xr3:uid="{04BE35C7-D026-451E-8D4A-708772E0EEA0}" name="Qtde." dataDxfId="109"/>
    <tableColumn id="6" xr3:uid="{A8C5072F-7F3F-44B2-9E08-0B2B05394BBD}" name="Bit" dataDxfId="108"/>
    <tableColumn id="21" xr3:uid="{CA10AF60-179E-4208-9164-EC57F967A475}" name="Terno" dataDxfId="107"/>
    <tableColumn id="7" xr3:uid="{817D5A28-820D-426F-9B7B-6D7C33A33750}" name="Desenho_x000a_Previsão" dataDxfId="106"/>
    <tableColumn id="8" xr3:uid="{2AD27BA2-0CC6-4648-8F39-70EA6F2DCA28}" name="Des." dataDxfId="105"/>
    <tableColumn id="9" xr3:uid="{AD513A49-4F2F-4FD4-BABD-5E91B76CDAAC}" name="Prazo_x000a_Entrega" dataDxfId="104"/>
    <tableColumn id="10" xr3:uid="{DDFA283B-37B1-4509-9A90-96F168A6EA1A}" name="OP1" dataDxfId="103"/>
    <tableColumn id="11" xr3:uid="{7E5D6482-94D4-4961-A07A-AA83431642CA}" name="OP2" dataDxfId="102"/>
    <tableColumn id="12" xr3:uid="{3C73DB98-7E09-4F7D-99A4-F49C8EFED7C1}" name="OP3" dataDxfId="101"/>
    <tableColumn id="13" xr3:uid="{C9B276C1-EAA2-44D3-BC63-09DEABE1333C}" name="OP4" dataDxfId="100"/>
    <tableColumn id="14" xr3:uid="{701CD035-8F78-4DD2-ADB3-14616A43EDDD}" name="OP5" dataDxfId="99"/>
    <tableColumn id="15" xr3:uid="{FEC9B4B9-312E-4D84-9BEC-71B7DBB01E5B}" name="OP6" dataDxfId="98"/>
    <tableColumn id="16" xr3:uid="{43FA3F4C-88C2-41D3-860E-2222B637DA98}" name="OP7" dataDxfId="97"/>
    <tableColumn id="17" xr3:uid="{25BFED7E-9400-4EBB-9B25-F0519E3A306F}" name="OP8" dataDxfId="96"/>
    <tableColumn id="18" xr3:uid="{5536059E-6F8D-4810-A678-B0DF23A1ECE4}" name="OP9" dataDxfId="95"/>
    <tableColumn id="19" xr3:uid="{03C085CC-9EDE-476B-8644-A15B2377E8CA}" name="Status" dataDxfId="94"/>
    <tableColumn id="20" xr3:uid="{3944B797-D6B2-47B5-A9F2-815EB3A25DE8}" name="Observação" dataDxfId="9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92" dataDxfId="91">
  <autoFilter ref="A1:R147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90"/>
    <tableColumn id="2" xr3:uid="{B14AE1B6-8C05-4725-BF42-3DBDB37AA4E3}" name="item" dataDxfId="89"/>
    <tableColumn id="3" xr3:uid="{24FE1002-C88A-4623-8882-5F391ECAB319}" name="OS/Peças" dataDxfId="88"/>
    <tableColumn id="4" xr3:uid="{4ED6249C-2003-4F3F-AE5A-67316434275E}" name="Seq." dataDxfId="87"/>
    <tableColumn id="5" xr3:uid="{6CE5B2E1-F32C-4D32-93F0-A17C05267ADB}" name="Cliente" dataDxfId="86"/>
    <tableColumn id="6" xr3:uid="{605F51C8-79D3-407B-8642-02F131952C62}" name="Qtd." dataDxfId="85"/>
    <tableColumn id="9" xr3:uid="{5366226E-7F3B-42E4-AC0C-86C659505CC8}" name="Descrição" dataDxfId="84"/>
    <tableColumn id="10" xr3:uid="{B0D229C5-5F5A-4951-A0B4-FEA62AEFBB36}" name="Prazo_x000a_Fundido" dataDxfId="83"/>
    <tableColumn id="11" xr3:uid="{8AE09F18-EB17-4537-8FBD-24671292144B}" name="Pz Fundido_x000a_Real" dataDxfId="82"/>
    <tableColumn id="12" xr3:uid="{965E0234-7E4B-482D-8943-132C1520AD21}" name="Prazo_x000a_Entrega" dataDxfId="81"/>
    <tableColumn id="13" xr3:uid="{D70BE32E-86AF-4C0F-893D-AC939E731683}" name="Pz Entrega_x000a_Real" dataDxfId="80"/>
    <tableColumn id="15" xr3:uid="{2FE637E5-62E2-4AE9-AE5A-BC264DC93D4F}" name="Falta_x000a_Dias" dataDxfId="79">
      <calculatedColumnFormula>Tabela4[[#This Row],[Prazo
Entrega]]-TODAY()</calculatedColumnFormula>
    </tableColumn>
    <tableColumn id="14" xr3:uid="{23AEF4D3-817F-4A15-AFBA-EC837E4BE1AE}" name="Indicador" dataDxfId="78">
      <calculatedColumnFormula>IF(L2&lt;0,"ATRASADO",IF(L2&lt;=15,"ATENÇÃO","NO PRAZO"))</calculatedColumnFormula>
    </tableColumn>
    <tableColumn id="16" xr3:uid="{78F55B7C-8E60-49C5-B1F7-B023E76BDA6E}" name="Condição" dataDxfId="77"/>
    <tableColumn id="20" xr3:uid="{A889C1FB-2FE0-407A-B849-FEB9F2CA4F96}" name="Desenho_x000a_Previsão" dataDxfId="76"/>
    <tableColumn id="19" xr3:uid="{FB1E21D0-A118-422F-AA5B-F56FFBA7B5E4}" name="Des." dataDxfId="75"/>
    <tableColumn id="17" xr3:uid="{C14325D6-C653-45B3-B85F-6AF107A71546}" name="Status" dataDxfId="74"/>
    <tableColumn id="18" xr3:uid="{C6F7CA6A-B8B3-4E22-B3E8-05FFB1A03AB6}" name="Observação" dataDxfId="73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43" totalsRowShown="0" headerRowDxfId="72" dataDxfId="71">
  <autoFilter ref="A1:AB243" xr:uid="{08F50CE1-35A6-4ABA-9594-79B9C39908E8}">
    <filterColumn colId="2">
      <filters>
        <filter val="CCM"/>
      </filters>
    </filterColumn>
  </autoFilter>
  <tableColumns count="28">
    <tableColumn id="1" xr3:uid="{C25E2119-68FD-4765-BAFB-8CC2FA75E790}" name="PV" dataDxfId="70"/>
    <tableColumn id="2" xr3:uid="{39E67E43-7C76-4E6C-9319-15A91DE1C08C}" name="Item" dataDxfId="69"/>
    <tableColumn id="4" xr3:uid="{5B6759FC-B832-438E-B60C-770FAF7723FA}" name="Cliente" dataDxfId="68"/>
    <tableColumn id="5" xr3:uid="{20CFBF4C-4BD9-4F05-86D4-8A4AFFC243B2}" name="_x000a_O.S./Peça" dataDxfId="67"/>
    <tableColumn id="6" xr3:uid="{3994BD48-BFFD-46D2-9740-EDD282F2590D}" name="Descrição" dataDxfId="66"/>
    <tableColumn id="7" xr3:uid="{261AA518-FC82-431F-8839-D26554B59355}" name="Qtde." dataDxfId="65"/>
    <tableColumn id="24" xr3:uid="{0C566A21-B9D9-4AD7-A8B3-328E480EA286}" name="Bit" dataDxfId="64"/>
    <tableColumn id="17" xr3:uid="{7631FA30-8167-4961-B0E8-981A96ADEF58}" name="Tipo" dataDxfId="63"/>
    <tableColumn id="3" xr3:uid="{4F794446-D6E6-4C06-B881-9408CC542675}" name="Pos." dataDxfId="62"/>
    <tableColumn id="26" xr3:uid="{C41F63A6-DC4C-42FE-A13B-3E56F237270D}" name="Terno" dataDxfId="61"/>
    <tableColumn id="16" xr3:uid="{FF0A908E-E8EE-4CA0-96FA-38C032BFEFDE}" name="Forma" dataDxfId="60"/>
    <tableColumn id="12" xr3:uid="{C314135B-6E96-4285-97CB-3F7155419270}" name="Nº Eixo" dataDxfId="59"/>
    <tableColumn id="9" xr3:uid="{DE0283F8-D4F6-449C-A9CA-7DBCB898DFD9}" name="Prazo_x000a_Fund" dataDxfId="58"/>
    <tableColumn id="10" xr3:uid="{663D9716-4C25-4ACC-A105-E9E7A474BCE6}" name="Prazo_x000a_Fund Real" dataDxfId="57"/>
    <tableColumn id="11" xr3:uid="{6EF58C27-546C-4B57-B05D-BB07C2046388}" name="Prazo_x000a_Entrega_x000a_Camisa" dataDxfId="56"/>
    <tableColumn id="13" xr3:uid="{506EC589-7ED2-4A3B-BED8-6CA8F57277E1}" name="Desenho_x000a_Previsão" dataDxfId="55"/>
    <tableColumn id="14" xr3:uid="{A31AB572-7F13-4A5C-A42E-7E7A20433BDA}" name="Des." dataDxfId="54"/>
    <tableColumn id="33" xr3:uid="{9D21190D-5788-4F29-AED2-63644BCE6C32}" name="OP1" dataDxfId="53"/>
    <tableColumn id="30" xr3:uid="{6C8FD4D3-300E-4009-A264-D6FBC780DE60}" name="OP2" dataDxfId="52"/>
    <tableColumn id="28" xr3:uid="{533BCCB9-B72A-4E3A-BE20-626EE2E49D83}" name="OP3" dataDxfId="51"/>
    <tableColumn id="27" xr3:uid="{58435D6B-01D7-44DD-9B21-62EB23C9AA4F}" name="OP4" dataDxfId="50"/>
    <tableColumn id="25" xr3:uid="{B00B175A-D2BA-4783-8EBD-A000C46B6055}" name="OP5" dataDxfId="49"/>
    <tableColumn id="20" xr3:uid="{1C48207C-2D30-42CB-BD4E-0C9B569C9BCB}" name="OP6" dataDxfId="48"/>
    <tableColumn id="35" xr3:uid="{5857075F-D742-43D2-AD1F-F2BB8219D8E7}" name="OP7" dataDxfId="47"/>
    <tableColumn id="15" xr3:uid="{46F62312-EE93-4C00-9352-8A9BF48479C9}" name="OP8" dataDxfId="46"/>
    <tableColumn id="8" xr3:uid="{81AAED83-3114-4366-BECD-21F933A26FE9}" name="OP9" dataDxfId="45"/>
    <tableColumn id="18" xr3:uid="{F5387D14-C7D5-4022-901B-04E5D65304C7}" name="Status_x000a_Camisa" dataDxfId="44"/>
    <tableColumn id="19" xr3:uid="{A08285BC-8B0E-4492-A6AF-090B851B036D}" name="Observação" dataDxfId="4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45" totalsRowShown="0" headerRowDxfId="224" dataDxfId="223">
  <autoFilter ref="A1:W145" xr:uid="{08F50CE1-35A6-4ABA-9594-79B9C39908E8}">
    <filterColumn colId="2">
      <filters>
        <filter val="Atvos Santa Luzia"/>
      </filters>
    </filterColumn>
  </autoFilter>
  <tableColumns count="23">
    <tableColumn id="2" xr3:uid="{FC1EB755-1B51-4973-AF64-F8D88603C831}" name="PV" dataDxfId="222"/>
    <tableColumn id="3" xr3:uid="{C1512D5D-E928-4CC2-9A29-8484494EA1A7}" name="Item" dataDxfId="221"/>
    <tableColumn id="4" xr3:uid="{DD6014DD-F2DC-47D0-A44B-A9397730BE4E}" name="Cliente" dataDxfId="220"/>
    <tableColumn id="6" xr3:uid="{59911696-06D3-45A5-970B-2AD22F609E28}" name="Descrição" dataDxfId="219"/>
    <tableColumn id="7" xr3:uid="{8F359B2A-1452-4DD5-8078-A592FF1FAEDA}" name="Qtde." dataDxfId="218"/>
    <tableColumn id="24" xr3:uid="{6ACDF30B-4FA5-46F2-B973-769AFF1A7ED5}" name="Bit" dataDxfId="217"/>
    <tableColumn id="9" xr3:uid="{E800A3D3-0303-4259-A58F-C223C4C1BA42}" name="Pos." dataDxfId="216"/>
    <tableColumn id="26" xr3:uid="{CA14875A-A13A-4CA2-81ED-1A988AD78208}" name="Terno" dataDxfId="215"/>
    <tableColumn id="11" xr3:uid="{2AE87132-0DBA-40D2-AB92-CEAC0877A62E}" name="Prazo_x000a_Entrega_x000a_Eixo" dataDxfId="214"/>
    <tableColumn id="13" xr3:uid="{75F62D18-9AFA-4320-9551-17D7D3F48733}" name="Desenho_x000a_Previsão" dataDxfId="213"/>
    <tableColumn id="14" xr3:uid="{0E91F17A-D1CD-4B1F-B5BA-F593FF862042}" name="Des." dataDxfId="212"/>
    <tableColumn id="1" xr3:uid="{94AA572C-41FE-43EA-AB0E-69CD585A6CEF}" name="Nº Eixo" dataDxfId="211"/>
    <tableColumn id="33" xr3:uid="{49915B29-1E2A-403B-BB52-E050204325AB}" name="OP1" dataDxfId="210"/>
    <tableColumn id="30" xr3:uid="{918DBD98-C28A-4CAB-8273-DEB81CE88B05}" name="OP2" dataDxfId="209"/>
    <tableColumn id="28" xr3:uid="{F99FDFD5-3B70-48B1-93CD-89C55B3CE706}" name="OP3" dataDxfId="208"/>
    <tableColumn id="27" xr3:uid="{3B6FF2E7-14DF-4DBF-B5AB-5AC8D2BE1CDD}" name="OP4" dataDxfId="207"/>
    <tableColumn id="25" xr3:uid="{0837249B-09C0-43AA-A6F1-42C6831ED1C4}" name="OP5" dataDxfId="206"/>
    <tableColumn id="20" xr3:uid="{9AB76328-313A-4CD8-9CB1-5AB1453CAE9E}" name="OP6" dataDxfId="205"/>
    <tableColumn id="35" xr3:uid="{B32C0B30-5F3F-42B0-8DFF-98B0B8FB2893}" name="OP7" dataDxfId="204"/>
    <tableColumn id="15" xr3:uid="{AF3E8433-61CF-422E-9FA2-91C9BA8DC757}" name="OP8" dataDxfId="203"/>
    <tableColumn id="8" xr3:uid="{A6F4F508-1C53-4E9B-9746-79444D0123BB}" name="OP9" dataDxfId="202"/>
    <tableColumn id="23" xr3:uid="{4DFCA09F-8E46-42D4-9163-40353BAA4ACE}" name="Status Usinagem" dataDxfId="201"/>
    <tableColumn id="19" xr3:uid="{E3D32BDE-09FA-4F17-8CE6-8B2139F9BB8A}" name="Observação" dataDxfId="20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topLeftCell="F1" zoomScaleNormal="100" zoomScaleSheetLayoutView="100" workbookViewId="0">
      <selection activeCell="P13" sqref="P13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-24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11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11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-17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-17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-17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-24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-24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-24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-24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-17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-17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-17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-10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-17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-24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-24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-24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-17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-10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-3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-3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-27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-27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-27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-27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-27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-27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-3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-24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-17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-10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-17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-10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-17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11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-3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4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4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4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4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4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4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-3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4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-3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4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-3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-3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4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4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4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4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11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11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11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11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11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-3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-3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-3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-3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-3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-3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-3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11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11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18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18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18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18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18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18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22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22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22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-2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58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-2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29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29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58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73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73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73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73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73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73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44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44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44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44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44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119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119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119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119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119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119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119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119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119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119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119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119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119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119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119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88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88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88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88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88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149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149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149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149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149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149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workbookViewId="0">
      <selection activeCell="F25" sqref="F25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11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11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11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11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11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29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29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29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29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29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29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29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29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29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29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29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29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39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39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39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39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39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39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39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39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39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39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39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39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39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39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39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49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49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49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49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49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49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49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49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49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49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49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49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49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49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49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29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29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29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59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59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59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59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59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59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59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59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59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88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88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88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88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88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88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88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88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88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88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88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88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88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88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88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88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88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88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88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88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88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88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88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88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88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88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88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88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88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88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88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88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88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88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88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88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88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88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88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88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-17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-17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-17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-17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-17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-4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301</v>
      </c>
      <c r="W137" s="8" t="s">
        <v>592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11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11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-4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301</v>
      </c>
      <c r="W140" s="8" t="s">
        <v>591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-4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301</v>
      </c>
      <c r="W141" s="8" t="s">
        <v>591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11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11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-4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-4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-4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-4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-4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-4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-4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-4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11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-4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301</v>
      </c>
      <c r="W153" s="8" t="s">
        <v>592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-4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301</v>
      </c>
      <c r="W154" s="8" t="s">
        <v>592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11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11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4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488</v>
      </c>
      <c r="R157" s="96" t="s">
        <v>489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4</v>
      </c>
      <c r="O158" s="8" t="str">
        <f t="shared" ca="1" si="7"/>
        <v>ATENÇÃO</v>
      </c>
      <c r="P158" s="8" t="s">
        <v>69</v>
      </c>
      <c r="Q158" s="96" t="s">
        <v>488</v>
      </c>
      <c r="R158" s="96" t="s">
        <v>489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4</v>
      </c>
      <c r="O159" s="8" t="str">
        <f t="shared" ca="1" si="7"/>
        <v>ATENÇÃO</v>
      </c>
      <c r="P159" s="8" t="s">
        <v>69</v>
      </c>
      <c r="Q159" s="96" t="s">
        <v>488</v>
      </c>
      <c r="R159" s="96" t="s">
        <v>489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4</v>
      </c>
      <c r="O160" s="8" t="str">
        <f t="shared" ca="1" si="7"/>
        <v>ATENÇÃO</v>
      </c>
      <c r="P160" s="8" t="s">
        <v>69</v>
      </c>
      <c r="Q160" s="96" t="s">
        <v>488</v>
      </c>
      <c r="R160" s="96" t="s">
        <v>489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4</v>
      </c>
      <c r="O161" s="8" t="str">
        <f t="shared" ca="1" si="7"/>
        <v>ATENÇÃO</v>
      </c>
      <c r="P161" s="8" t="s">
        <v>69</v>
      </c>
      <c r="Q161" s="96" t="s">
        <v>488</v>
      </c>
      <c r="R161" s="96" t="s">
        <v>489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4</v>
      </c>
      <c r="O162" s="8" t="str">
        <f t="shared" ca="1" si="7"/>
        <v>ATENÇÃO</v>
      </c>
      <c r="P162" s="8" t="s">
        <v>69</v>
      </c>
      <c r="Q162" s="96" t="s">
        <v>488</v>
      </c>
      <c r="R162" s="96" t="s">
        <v>489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4</v>
      </c>
      <c r="O163" s="8" t="str">
        <f t="shared" ca="1" si="7"/>
        <v>ATENÇÃO</v>
      </c>
      <c r="P163" s="8" t="s">
        <v>69</v>
      </c>
      <c r="Q163" s="96" t="s">
        <v>488</v>
      </c>
      <c r="R163" s="96" t="s">
        <v>489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11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11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11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11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149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149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149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149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149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149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149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149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149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149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149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149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149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149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149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149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149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149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149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149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149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149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149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149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149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149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149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149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149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149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149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x14ac:dyDescent="0.25">
      <c r="A199" s="8">
        <v>2367</v>
      </c>
      <c r="B199" s="8">
        <v>1</v>
      </c>
      <c r="C199" s="8" t="s">
        <v>598</v>
      </c>
      <c r="D199" s="8" t="s">
        <v>63</v>
      </c>
      <c r="E199" s="8" t="s">
        <v>595</v>
      </c>
      <c r="F199" s="114" t="s">
        <v>596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3</v>
      </c>
      <c r="O199" s="8" t="str">
        <f ca="1">IF(N199&lt;0,"ATRASADO",IF(N199&lt;=15,"ATENÇÃO","NO PRAZO"))</f>
        <v>ATENÇÃO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592</v>
      </c>
    </row>
    <row r="200" spans="1:23" x14ac:dyDescent="0.25">
      <c r="A200" s="8">
        <v>2367</v>
      </c>
      <c r="B200" s="8">
        <v>2</v>
      </c>
      <c r="C200" s="8" t="s">
        <v>598</v>
      </c>
      <c r="D200" s="8" t="s">
        <v>63</v>
      </c>
      <c r="E200" s="8" t="s">
        <v>595</v>
      </c>
      <c r="F200" s="114" t="s">
        <v>596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3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592</v>
      </c>
    </row>
    <row r="201" spans="1:23" x14ac:dyDescent="0.25">
      <c r="A201" s="8">
        <v>2367</v>
      </c>
      <c r="B201" s="8">
        <v>3</v>
      </c>
      <c r="C201" s="8" t="s">
        <v>598</v>
      </c>
      <c r="D201" s="8" t="s">
        <v>63</v>
      </c>
      <c r="E201" s="8" t="s">
        <v>595</v>
      </c>
      <c r="F201" s="114" t="s">
        <v>596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3</v>
      </c>
      <c r="O201" s="8" t="str">
        <f t="shared" ca="1" si="10"/>
        <v>ATENÇÃO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592</v>
      </c>
    </row>
    <row r="202" spans="1:23" x14ac:dyDescent="0.25">
      <c r="A202" s="8">
        <v>2367</v>
      </c>
      <c r="B202" s="8">
        <v>4</v>
      </c>
      <c r="C202" s="8" t="s">
        <v>598</v>
      </c>
      <c r="D202" s="8" t="s">
        <v>63</v>
      </c>
      <c r="E202" s="8" t="s">
        <v>595</v>
      </c>
      <c r="F202" s="114" t="s">
        <v>597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3</v>
      </c>
      <c r="O202" s="8" t="str">
        <f t="shared" ca="1" si="10"/>
        <v>ATENÇÃO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592</v>
      </c>
    </row>
    <row r="203" spans="1:23" x14ac:dyDescent="0.25">
      <c r="A203" s="8">
        <v>2367</v>
      </c>
      <c r="B203" s="8">
        <v>5</v>
      </c>
      <c r="C203" s="8" t="s">
        <v>598</v>
      </c>
      <c r="D203" s="8" t="s">
        <v>63</v>
      </c>
      <c r="E203" s="8" t="s">
        <v>595</v>
      </c>
      <c r="F203" s="114" t="s">
        <v>597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3</v>
      </c>
      <c r="O203" s="8" t="str">
        <f t="shared" ca="1" si="10"/>
        <v>ATENÇÃO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592</v>
      </c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599</v>
      </c>
      <c r="F204" s="115" t="s">
        <v>600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0</v>
      </c>
      <c r="O204" s="8" t="str">
        <f ca="1">IF(N204&lt;0,"ATRASADO",IF(N204&lt;=15,"ATENÇÃO","NO PRAZO"))</f>
        <v>ATENÇÃO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599</v>
      </c>
      <c r="F205" s="115" t="s">
        <v>600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0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599</v>
      </c>
      <c r="F206" s="115" t="s">
        <v>600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0</v>
      </c>
      <c r="O206" s="8" t="str">
        <f t="shared" ca="1" si="11"/>
        <v>ATENÇÃO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599</v>
      </c>
      <c r="F207" s="115" t="s">
        <v>601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 t="s">
        <v>56</v>
      </c>
      <c r="M207" s="10" t="s">
        <v>56</v>
      </c>
      <c r="N207" s="10">
        <f ca="1">Tabela3[[#This Row],[Prazo
Entrega]]-TODAY()</f>
        <v>0</v>
      </c>
      <c r="O207" s="8" t="str">
        <f t="shared" ca="1" si="11"/>
        <v>ATENÇÃO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599</v>
      </c>
      <c r="F208" s="115" t="s">
        <v>601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 t="s">
        <v>56</v>
      </c>
      <c r="M208" s="10" t="s">
        <v>56</v>
      </c>
      <c r="N208" s="10">
        <f ca="1">Tabela3[[#This Row],[Prazo
Entrega]]-TODAY()</f>
        <v>0</v>
      </c>
      <c r="O208" s="8" t="str">
        <f t="shared" ca="1" si="11"/>
        <v>ATENÇÃO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599</v>
      </c>
      <c r="F209" s="115" t="s">
        <v>601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 t="s">
        <v>56</v>
      </c>
      <c r="M209" s="10" t="s">
        <v>56</v>
      </c>
      <c r="N209" s="10">
        <f ca="1">Tabela3[[#This Row],[Prazo
Entrega]]-TODAY()</f>
        <v>0</v>
      </c>
      <c r="O209" s="8" t="str">
        <f t="shared" ca="1" si="11"/>
        <v>ATENÇÃO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599</v>
      </c>
      <c r="F210" s="115" t="s">
        <v>602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0</v>
      </c>
      <c r="O210" s="8" t="str">
        <f t="shared" ca="1" si="11"/>
        <v>ATENÇÃO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599</v>
      </c>
      <c r="F211" s="115" t="s">
        <v>602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0</v>
      </c>
      <c r="O211" s="8" t="str">
        <f t="shared" ca="1" si="11"/>
        <v>ATENÇÃO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599</v>
      </c>
      <c r="F212" s="115" t="s">
        <v>602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0</v>
      </c>
      <c r="O212" s="8" t="str">
        <f t="shared" ca="1" si="11"/>
        <v>ATENÇÃO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599</v>
      </c>
      <c r="F213" s="115" t="s">
        <v>602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0</v>
      </c>
      <c r="O213" s="8" t="str">
        <f t="shared" ca="1" si="11"/>
        <v>ATENÇÃO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599</v>
      </c>
      <c r="F214" s="115" t="s">
        <v>602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0</v>
      </c>
      <c r="O214" s="8" t="str">
        <f t="shared" ca="1" si="11"/>
        <v>ATENÇÃO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B57" sqref="B57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32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32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2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2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2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58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2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29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29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29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29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29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58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58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58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43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43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43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43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43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43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43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43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43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137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137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137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49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49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49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137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137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137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137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58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58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58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58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92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92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92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92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92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92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92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92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92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92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92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92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149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149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149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149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149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1"/>
  <sheetViews>
    <sheetView topLeftCell="A54" workbookViewId="0">
      <selection activeCell="J91" sqref="J91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571</v>
      </c>
      <c r="D58" s="81" t="s">
        <v>569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571</v>
      </c>
      <c r="D59" s="81" t="s">
        <v>569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571</v>
      </c>
      <c r="D60" s="81" t="s">
        <v>580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571</v>
      </c>
      <c r="D61" s="81" t="s">
        <v>581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571</v>
      </c>
      <c r="D62" s="81" t="s">
        <v>582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571</v>
      </c>
      <c r="D63" s="81" t="s">
        <v>583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571</v>
      </c>
      <c r="D64" s="81" t="s">
        <v>584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571</v>
      </c>
      <c r="D65" s="81" t="s">
        <v>585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623</v>
      </c>
      <c r="E66" s="81">
        <v>1</v>
      </c>
      <c r="F66" s="81" t="s">
        <v>588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629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627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624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629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628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625</v>
      </c>
      <c r="E68" s="81">
        <v>1</v>
      </c>
      <c r="F68" s="81" t="s">
        <v>588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608</v>
      </c>
      <c r="U68" s="81" t="s">
        <v>626</v>
      </c>
    </row>
    <row r="69" spans="1:21" x14ac:dyDescent="0.25">
      <c r="A69" s="85">
        <v>1040</v>
      </c>
      <c r="B69" s="85" t="s">
        <v>63</v>
      </c>
      <c r="C69" s="81" t="s">
        <v>568</v>
      </c>
      <c r="D69" s="81" t="s">
        <v>569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568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568</v>
      </c>
      <c r="D71" s="81" t="s">
        <v>633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568</v>
      </c>
      <c r="D72" s="81" t="s">
        <v>635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568</v>
      </c>
      <c r="D73" s="81" t="s">
        <v>634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568</v>
      </c>
      <c r="D74" s="51" t="s">
        <v>655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568</v>
      </c>
      <c r="D75" s="51" t="s">
        <v>656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568</v>
      </c>
      <c r="D76" s="51" t="s">
        <v>657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568</v>
      </c>
      <c r="D77" s="51" t="s">
        <v>658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568</v>
      </c>
      <c r="D78" s="51" t="s">
        <v>659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568</v>
      </c>
      <c r="D79" s="51" t="s">
        <v>660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568</v>
      </c>
      <c r="D80" s="51" t="s">
        <v>661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568</v>
      </c>
      <c r="D81" s="51" t="s">
        <v>662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568</v>
      </c>
      <c r="D82" s="51" t="s">
        <v>663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568</v>
      </c>
      <c r="D83" s="51" t="s">
        <v>664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568</v>
      </c>
      <c r="D84" s="51" t="s">
        <v>665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568</v>
      </c>
      <c r="D85" s="51" t="s">
        <v>666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568</v>
      </c>
      <c r="D86" s="51" t="s">
        <v>667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568</v>
      </c>
      <c r="D87" s="51" t="s">
        <v>668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568</v>
      </c>
      <c r="D88" s="51" t="s">
        <v>669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568</v>
      </c>
      <c r="D89" s="51" t="s">
        <v>670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568</v>
      </c>
      <c r="D90" s="51" t="s">
        <v>671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568</v>
      </c>
      <c r="D91" s="51" t="s">
        <v>672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G139" sqref="G13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17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17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17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17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17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17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17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17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-59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139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566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139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566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139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566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139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139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139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44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44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139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139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139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139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139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139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139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139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139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139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139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139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139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139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139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139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139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139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139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139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139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139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139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139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139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139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139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139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139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139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139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139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139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139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571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-34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119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119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119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119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119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119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119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119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119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119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119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119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119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119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119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119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119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119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119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119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119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119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119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119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119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119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119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119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119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119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119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119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119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119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119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-34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134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134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134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134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134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134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134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134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570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60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570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60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570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60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570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60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570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60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570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60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571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119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571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119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571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119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571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119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571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119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571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119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571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119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571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119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571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119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571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119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571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119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571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119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571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119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571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119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571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119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571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119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571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119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571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119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571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119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571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119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568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149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568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149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568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149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568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149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568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149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568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149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568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149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568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149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568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149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568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149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568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149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568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149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568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149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568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149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568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149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568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149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91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91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91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91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91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91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91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91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abSelected="1" topLeftCell="B1" zoomScale="90" zoomScaleNormal="90" workbookViewId="0">
      <selection activeCell="S218" sqref="S218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630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564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565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565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565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565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564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564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594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570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570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570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570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570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570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570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570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571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572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571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573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571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574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571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571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571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571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571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571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571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571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571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571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571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571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571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575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571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576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571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577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customHeight="1" x14ac:dyDescent="0.25">
      <c r="A151" s="51">
        <v>2353</v>
      </c>
      <c r="B151" s="51">
        <v>2</v>
      </c>
      <c r="C151" s="51" t="s">
        <v>590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586</v>
      </c>
      <c r="L151" s="51" t="s">
        <v>63</v>
      </c>
      <c r="M151" s="107">
        <v>46254</v>
      </c>
      <c r="N151" s="51"/>
      <c r="O151" s="112">
        <v>46254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customHeight="1" x14ac:dyDescent="0.25">
      <c r="A152" s="51">
        <v>2353</v>
      </c>
      <c r="B152" s="51">
        <v>3</v>
      </c>
      <c r="C152" s="51" t="s">
        <v>590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586</v>
      </c>
      <c r="L152" s="51" t="s">
        <v>63</v>
      </c>
      <c r="M152" s="107">
        <v>46254</v>
      </c>
      <c r="N152" s="51"/>
      <c r="O152" s="112">
        <v>46254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customHeight="1" x14ac:dyDescent="0.25">
      <c r="A153" s="51">
        <v>2353</v>
      </c>
      <c r="B153" s="51">
        <v>4</v>
      </c>
      <c r="C153" s="51" t="s">
        <v>590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586</v>
      </c>
      <c r="L153" s="51" t="s">
        <v>63</v>
      </c>
      <c r="M153" s="107">
        <v>46254</v>
      </c>
      <c r="N153" s="51"/>
      <c r="O153" s="112">
        <v>46254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customHeight="1" x14ac:dyDescent="0.25">
      <c r="A154" s="51">
        <v>2353</v>
      </c>
      <c r="B154" s="51">
        <v>5</v>
      </c>
      <c r="C154" s="51" t="s">
        <v>590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586</v>
      </c>
      <c r="L154" s="51" t="s">
        <v>63</v>
      </c>
      <c r="M154" s="107">
        <v>46254</v>
      </c>
      <c r="N154" s="51"/>
      <c r="O154" s="112">
        <v>46254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customHeight="1" x14ac:dyDescent="0.25">
      <c r="A155" s="51">
        <v>2353</v>
      </c>
      <c r="B155" s="51">
        <v>6</v>
      </c>
      <c r="C155" s="51" t="s">
        <v>590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586</v>
      </c>
      <c r="L155" s="51" t="s">
        <v>63</v>
      </c>
      <c r="M155" s="107">
        <v>46254</v>
      </c>
      <c r="N155" s="51"/>
      <c r="O155" s="112">
        <v>46254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customHeight="1" x14ac:dyDescent="0.25">
      <c r="A156" s="51">
        <v>2353</v>
      </c>
      <c r="B156" s="51">
        <v>7</v>
      </c>
      <c r="C156" s="51" t="s">
        <v>590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586</v>
      </c>
      <c r="L156" s="51" t="s">
        <v>63</v>
      </c>
      <c r="M156" s="107">
        <v>46254</v>
      </c>
      <c r="N156" s="51"/>
      <c r="O156" s="112">
        <v>46254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customHeight="1" x14ac:dyDescent="0.25">
      <c r="A157" s="51">
        <v>2353</v>
      </c>
      <c r="B157" s="51">
        <v>8</v>
      </c>
      <c r="C157" s="51" t="s">
        <v>590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586</v>
      </c>
      <c r="L157" s="51" t="s">
        <v>63</v>
      </c>
      <c r="M157" s="107">
        <v>46254</v>
      </c>
      <c r="N157" s="51"/>
      <c r="O157" s="112">
        <v>46254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customHeight="1" x14ac:dyDescent="0.25">
      <c r="A158" s="51">
        <v>2353</v>
      </c>
      <c r="B158" s="51">
        <v>9</v>
      </c>
      <c r="C158" s="51" t="s">
        <v>590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586</v>
      </c>
      <c r="L158" s="51" t="s">
        <v>63</v>
      </c>
      <c r="M158" s="107">
        <v>46254</v>
      </c>
      <c r="N158" s="51"/>
      <c r="O158" s="112">
        <v>46254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customHeight="1" x14ac:dyDescent="0.25">
      <c r="A159" s="51">
        <v>2353</v>
      </c>
      <c r="B159" s="51">
        <v>10</v>
      </c>
      <c r="C159" s="51" t="s">
        <v>590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586</v>
      </c>
      <c r="L159" s="51" t="s">
        <v>63</v>
      </c>
      <c r="M159" s="107">
        <v>46254</v>
      </c>
      <c r="N159" s="51"/>
      <c r="O159" s="112">
        <v>46254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customHeight="1" x14ac:dyDescent="0.25">
      <c r="A160" s="51">
        <v>2353</v>
      </c>
      <c r="B160" s="51">
        <v>11</v>
      </c>
      <c r="C160" s="51" t="s">
        <v>590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586</v>
      </c>
      <c r="L160" s="51" t="s">
        <v>63</v>
      </c>
      <c r="M160" s="107">
        <v>46254</v>
      </c>
      <c r="N160" s="51"/>
      <c r="O160" s="112">
        <v>46254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customHeight="1" x14ac:dyDescent="0.25">
      <c r="A161" s="51">
        <v>2353</v>
      </c>
      <c r="B161" s="51">
        <v>12</v>
      </c>
      <c r="C161" s="51" t="s">
        <v>590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586</v>
      </c>
      <c r="L161" s="51" t="s">
        <v>63</v>
      </c>
      <c r="M161" s="107">
        <v>46254</v>
      </c>
      <c r="N161" s="51"/>
      <c r="O161" s="112">
        <v>46254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customHeight="1" x14ac:dyDescent="0.25">
      <c r="A162" s="51">
        <v>2353</v>
      </c>
      <c r="B162" s="51">
        <v>13</v>
      </c>
      <c r="C162" s="51" t="s">
        <v>590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586</v>
      </c>
      <c r="L162" s="51" t="s">
        <v>63</v>
      </c>
      <c r="M162" s="107">
        <v>46254</v>
      </c>
      <c r="N162" s="51"/>
      <c r="O162" s="112">
        <v>46254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customHeight="1" x14ac:dyDescent="0.25">
      <c r="A163" s="51">
        <v>2353</v>
      </c>
      <c r="B163" s="51">
        <v>14</v>
      </c>
      <c r="C163" s="51" t="s">
        <v>590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586</v>
      </c>
      <c r="L163" s="51" t="s">
        <v>63</v>
      </c>
      <c r="M163" s="107">
        <v>46254</v>
      </c>
      <c r="N163" s="51"/>
      <c r="O163" s="112">
        <v>46254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customHeight="1" x14ac:dyDescent="0.25">
      <c r="A164" s="51">
        <v>2353</v>
      </c>
      <c r="B164" s="51">
        <v>15</v>
      </c>
      <c r="C164" s="51" t="s">
        <v>590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586</v>
      </c>
      <c r="L164" s="51" t="s">
        <v>63</v>
      </c>
      <c r="M164" s="107">
        <v>46254</v>
      </c>
      <c r="N164" s="51"/>
      <c r="O164" s="112">
        <v>46254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customHeight="1" x14ac:dyDescent="0.25">
      <c r="A165" s="51">
        <v>2353</v>
      </c>
      <c r="B165" s="51">
        <v>16</v>
      </c>
      <c r="C165" s="51" t="s">
        <v>590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586</v>
      </c>
      <c r="L165" s="51" t="s">
        <v>63</v>
      </c>
      <c r="M165" s="107">
        <v>46254</v>
      </c>
      <c r="N165" s="51"/>
      <c r="O165" s="112">
        <v>46254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customHeight="1" x14ac:dyDescent="0.25">
      <c r="A166" s="51">
        <v>2353</v>
      </c>
      <c r="B166" s="51">
        <v>17</v>
      </c>
      <c r="C166" s="51" t="s">
        <v>590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586</v>
      </c>
      <c r="L166" s="51" t="s">
        <v>63</v>
      </c>
      <c r="M166" s="107">
        <v>46254</v>
      </c>
      <c r="N166" s="51"/>
      <c r="O166" s="112">
        <v>46254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customHeight="1" x14ac:dyDescent="0.25">
      <c r="A167" s="51">
        <v>2353</v>
      </c>
      <c r="B167" s="51">
        <v>18</v>
      </c>
      <c r="C167" s="51" t="s">
        <v>590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586</v>
      </c>
      <c r="L167" s="51" t="s">
        <v>63</v>
      </c>
      <c r="M167" s="107">
        <v>46254</v>
      </c>
      <c r="N167" s="51"/>
      <c r="O167" s="112">
        <v>46254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customHeight="1" x14ac:dyDescent="0.25">
      <c r="A168" s="51">
        <v>2353</v>
      </c>
      <c r="B168" s="51">
        <v>19</v>
      </c>
      <c r="C168" s="51" t="s">
        <v>590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586</v>
      </c>
      <c r="L168" s="51" t="s">
        <v>63</v>
      </c>
      <c r="M168" s="107">
        <v>46254</v>
      </c>
      <c r="N168" s="51"/>
      <c r="O168" s="112">
        <v>46254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customHeight="1" x14ac:dyDescent="0.25">
      <c r="A169" s="51">
        <v>2353</v>
      </c>
      <c r="B169" s="51">
        <v>20</v>
      </c>
      <c r="C169" s="51" t="s">
        <v>590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586</v>
      </c>
      <c r="L169" s="51" t="s">
        <v>63</v>
      </c>
      <c r="M169" s="107">
        <v>46254</v>
      </c>
      <c r="N169" s="51"/>
      <c r="O169" s="112">
        <v>46254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customHeight="1" x14ac:dyDescent="0.25">
      <c r="A170" s="51">
        <v>2353</v>
      </c>
      <c r="B170" s="51">
        <v>21</v>
      </c>
      <c r="C170" s="51" t="s">
        <v>590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586</v>
      </c>
      <c r="L170" s="51" t="s">
        <v>63</v>
      </c>
      <c r="M170" s="107">
        <v>46254</v>
      </c>
      <c r="N170" s="51"/>
      <c r="O170" s="112">
        <v>46254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customHeight="1" x14ac:dyDescent="0.25">
      <c r="A171" s="51">
        <v>2353</v>
      </c>
      <c r="B171" s="51">
        <v>22</v>
      </c>
      <c r="C171" s="51" t="s">
        <v>590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586</v>
      </c>
      <c r="L171" s="51" t="s">
        <v>63</v>
      </c>
      <c r="M171" s="107">
        <v>46254</v>
      </c>
      <c r="N171" s="51"/>
      <c r="O171" s="112">
        <v>46254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customHeight="1" x14ac:dyDescent="0.25">
      <c r="A172" s="51">
        <v>2353</v>
      </c>
      <c r="B172" s="51">
        <v>23</v>
      </c>
      <c r="C172" s="51" t="s">
        <v>590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586</v>
      </c>
      <c r="L172" s="51" t="s">
        <v>63</v>
      </c>
      <c r="M172" s="107">
        <v>46254</v>
      </c>
      <c r="N172" s="51"/>
      <c r="O172" s="112">
        <v>46254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customHeight="1" x14ac:dyDescent="0.25">
      <c r="A173" s="51">
        <v>2353</v>
      </c>
      <c r="B173" s="51">
        <v>24</v>
      </c>
      <c r="C173" s="51" t="s">
        <v>590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586</v>
      </c>
      <c r="L173" s="51" t="s">
        <v>63</v>
      </c>
      <c r="M173" s="107">
        <v>46254</v>
      </c>
      <c r="N173" s="51"/>
      <c r="O173" s="112">
        <v>46254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customHeight="1" x14ac:dyDescent="0.25">
      <c r="A174" s="51">
        <v>2353</v>
      </c>
      <c r="B174" s="51">
        <v>25</v>
      </c>
      <c r="C174" s="51" t="s">
        <v>590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586</v>
      </c>
      <c r="L174" s="51" t="s">
        <v>63</v>
      </c>
      <c r="M174" s="107">
        <v>46254</v>
      </c>
      <c r="N174" s="51"/>
      <c r="O174" s="112">
        <v>46254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customHeight="1" x14ac:dyDescent="0.25">
      <c r="A175" s="51">
        <v>2353</v>
      </c>
      <c r="B175" s="51">
        <v>26</v>
      </c>
      <c r="C175" s="51" t="s">
        <v>590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586</v>
      </c>
      <c r="L175" s="51" t="s">
        <v>63</v>
      </c>
      <c r="M175" s="107">
        <v>46254</v>
      </c>
      <c r="N175" s="51"/>
      <c r="O175" s="112">
        <v>46254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customHeight="1" x14ac:dyDescent="0.25">
      <c r="A176" s="51">
        <v>2353</v>
      </c>
      <c r="B176" s="51">
        <v>27</v>
      </c>
      <c r="C176" s="51" t="s">
        <v>590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586</v>
      </c>
      <c r="L176" s="51" t="s">
        <v>63</v>
      </c>
      <c r="M176" s="107">
        <v>46254</v>
      </c>
      <c r="N176" s="51"/>
      <c r="O176" s="112">
        <v>46254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customHeight="1" x14ac:dyDescent="0.25">
      <c r="A177" s="51">
        <v>2353</v>
      </c>
      <c r="B177" s="51">
        <v>28</v>
      </c>
      <c r="C177" s="51" t="s">
        <v>590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586</v>
      </c>
      <c r="L177" s="51" t="s">
        <v>63</v>
      </c>
      <c r="M177" s="107">
        <v>46254</v>
      </c>
      <c r="N177" s="51"/>
      <c r="O177" s="112">
        <v>46254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customHeight="1" x14ac:dyDescent="0.25">
      <c r="A178" s="51">
        <v>2353</v>
      </c>
      <c r="B178" s="51">
        <v>29</v>
      </c>
      <c r="C178" s="51" t="s">
        <v>590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586</v>
      </c>
      <c r="L178" s="51" t="s">
        <v>63</v>
      </c>
      <c r="M178" s="107">
        <v>46254</v>
      </c>
      <c r="N178" s="51"/>
      <c r="O178" s="112">
        <v>46254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customHeight="1" x14ac:dyDescent="0.25">
      <c r="A179" s="51">
        <v>2353</v>
      </c>
      <c r="B179" s="51">
        <v>30</v>
      </c>
      <c r="C179" s="51" t="s">
        <v>590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586</v>
      </c>
      <c r="L179" s="51" t="s">
        <v>63</v>
      </c>
      <c r="M179" s="107">
        <v>46254</v>
      </c>
      <c r="N179" s="51"/>
      <c r="O179" s="112">
        <v>46254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customHeight="1" x14ac:dyDescent="0.25">
      <c r="A180" s="51">
        <v>2353</v>
      </c>
      <c r="B180" s="51">
        <v>31</v>
      </c>
      <c r="C180" s="51" t="s">
        <v>590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586</v>
      </c>
      <c r="L180" s="51" t="s">
        <v>63</v>
      </c>
      <c r="M180" s="107">
        <v>46254</v>
      </c>
      <c r="N180" s="51"/>
      <c r="O180" s="112">
        <v>46254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customHeight="1" x14ac:dyDescent="0.25">
      <c r="A181" s="51">
        <v>2353</v>
      </c>
      <c r="B181" s="51">
        <v>32</v>
      </c>
      <c r="C181" s="51" t="s">
        <v>590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586</v>
      </c>
      <c r="L181" s="51" t="s">
        <v>63</v>
      </c>
      <c r="M181" s="107">
        <v>46254</v>
      </c>
      <c r="N181" s="51"/>
      <c r="O181" s="112">
        <v>46254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customHeight="1" x14ac:dyDescent="0.25">
      <c r="A182" s="51">
        <v>2353</v>
      </c>
      <c r="B182" s="51">
        <v>33</v>
      </c>
      <c r="C182" s="51" t="s">
        <v>590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586</v>
      </c>
      <c r="L182" s="51" t="s">
        <v>63</v>
      </c>
      <c r="M182" s="107">
        <v>46254</v>
      </c>
      <c r="N182" s="51"/>
      <c r="O182" s="112">
        <v>46254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customHeight="1" x14ac:dyDescent="0.25">
      <c r="A183" s="51">
        <v>2353</v>
      </c>
      <c r="B183" s="51">
        <v>34</v>
      </c>
      <c r="C183" s="51" t="s">
        <v>590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586</v>
      </c>
      <c r="L183" s="51" t="s">
        <v>63</v>
      </c>
      <c r="M183" s="107">
        <v>46254</v>
      </c>
      <c r="N183" s="51"/>
      <c r="O183" s="112">
        <v>46254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customHeight="1" x14ac:dyDescent="0.25">
      <c r="A184" s="51">
        <v>2353</v>
      </c>
      <c r="B184" s="51">
        <v>35</v>
      </c>
      <c r="C184" s="51" t="s">
        <v>590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586</v>
      </c>
      <c r="L184" s="51" t="s">
        <v>63</v>
      </c>
      <c r="M184" s="107">
        <v>46254</v>
      </c>
      <c r="N184" s="51"/>
      <c r="O184" s="112">
        <v>46254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customHeight="1" x14ac:dyDescent="0.25">
      <c r="A185" s="51">
        <v>2353</v>
      </c>
      <c r="B185" s="51">
        <v>36</v>
      </c>
      <c r="C185" s="51" t="s">
        <v>590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586</v>
      </c>
      <c r="L185" s="51" t="s">
        <v>63</v>
      </c>
      <c r="M185" s="107">
        <v>46254</v>
      </c>
      <c r="N185" s="51"/>
      <c r="O185" s="112">
        <v>46254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customHeight="1" x14ac:dyDescent="0.25">
      <c r="A186" s="51">
        <v>2353</v>
      </c>
      <c r="B186" s="51">
        <v>37</v>
      </c>
      <c r="C186" s="51" t="s">
        <v>590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586</v>
      </c>
      <c r="L186" s="51" t="s">
        <v>63</v>
      </c>
      <c r="M186" s="107">
        <v>46254</v>
      </c>
      <c r="N186" s="51"/>
      <c r="O186" s="112">
        <v>46254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customHeight="1" x14ac:dyDescent="0.25">
      <c r="A187" s="51">
        <v>2353</v>
      </c>
      <c r="B187" s="51">
        <v>38</v>
      </c>
      <c r="C187" s="51" t="s">
        <v>590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586</v>
      </c>
      <c r="L187" s="51" t="s">
        <v>63</v>
      </c>
      <c r="M187" s="107">
        <v>46254</v>
      </c>
      <c r="N187" s="51"/>
      <c r="O187" s="112">
        <v>46254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customHeight="1" x14ac:dyDescent="0.25">
      <c r="A188" s="51">
        <v>2353</v>
      </c>
      <c r="B188" s="51">
        <v>39</v>
      </c>
      <c r="C188" s="51" t="s">
        <v>590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586</v>
      </c>
      <c r="L188" s="51" t="s">
        <v>63</v>
      </c>
      <c r="M188" s="107">
        <v>46254</v>
      </c>
      <c r="N188" s="51"/>
      <c r="O188" s="112">
        <v>46254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customHeight="1" x14ac:dyDescent="0.25">
      <c r="A189" s="51">
        <v>2353</v>
      </c>
      <c r="B189" s="51">
        <v>40</v>
      </c>
      <c r="C189" s="51" t="s">
        <v>590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586</v>
      </c>
      <c r="L189" s="51" t="s">
        <v>63</v>
      </c>
      <c r="M189" s="107">
        <v>46254</v>
      </c>
      <c r="N189" s="51"/>
      <c r="O189" s="112">
        <v>46254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customHeight="1" x14ac:dyDescent="0.25">
      <c r="A190" s="51">
        <v>2353</v>
      </c>
      <c r="B190" s="51">
        <v>41</v>
      </c>
      <c r="C190" s="51" t="s">
        <v>590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586</v>
      </c>
      <c r="L190" s="51" t="s">
        <v>63</v>
      </c>
      <c r="M190" s="107">
        <v>46254</v>
      </c>
      <c r="N190" s="51"/>
      <c r="O190" s="112">
        <v>46254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customHeight="1" x14ac:dyDescent="0.25">
      <c r="A191" s="51">
        <v>2353</v>
      </c>
      <c r="B191" s="51">
        <v>42</v>
      </c>
      <c r="C191" s="51" t="s">
        <v>590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586</v>
      </c>
      <c r="L191" s="51" t="s">
        <v>63</v>
      </c>
      <c r="M191" s="107">
        <v>46254</v>
      </c>
      <c r="N191" s="51"/>
      <c r="O191" s="112">
        <v>46254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customHeight="1" x14ac:dyDescent="0.25">
      <c r="A192" s="51">
        <v>2353</v>
      </c>
      <c r="B192" s="51">
        <v>43</v>
      </c>
      <c r="C192" s="51" t="s">
        <v>590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586</v>
      </c>
      <c r="L192" s="51" t="s">
        <v>63</v>
      </c>
      <c r="M192" s="107">
        <v>46254</v>
      </c>
      <c r="N192" s="51"/>
      <c r="O192" s="112">
        <v>46254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customHeight="1" x14ac:dyDescent="0.25">
      <c r="A193" s="51">
        <v>2353</v>
      </c>
      <c r="B193" s="51">
        <v>44</v>
      </c>
      <c r="C193" s="51" t="s">
        <v>590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586</v>
      </c>
      <c r="L193" s="51" t="s">
        <v>63</v>
      </c>
      <c r="M193" s="107">
        <v>46254</v>
      </c>
      <c r="N193" s="51"/>
      <c r="O193" s="112">
        <v>46254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customHeight="1" x14ac:dyDescent="0.25">
      <c r="A194" s="51">
        <v>2353</v>
      </c>
      <c r="B194" s="51">
        <v>45</v>
      </c>
      <c r="C194" s="51" t="s">
        <v>590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586</v>
      </c>
      <c r="L194" s="51" t="s">
        <v>63</v>
      </c>
      <c r="M194" s="107">
        <v>46254</v>
      </c>
      <c r="N194" s="51"/>
      <c r="O194" s="112">
        <v>46254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customHeight="1" x14ac:dyDescent="0.25">
      <c r="A195" s="51">
        <v>2353</v>
      </c>
      <c r="B195" s="51">
        <v>46</v>
      </c>
      <c r="C195" s="51" t="s">
        <v>590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586</v>
      </c>
      <c r="L195" s="51" t="s">
        <v>63</v>
      </c>
      <c r="M195" s="107">
        <v>46254</v>
      </c>
      <c r="N195" s="51"/>
      <c r="O195" s="112">
        <v>46254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customHeight="1" x14ac:dyDescent="0.25">
      <c r="A196" s="51">
        <v>2253</v>
      </c>
      <c r="B196" s="51">
        <v>1</v>
      </c>
      <c r="C196" s="51" t="s">
        <v>590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586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customHeight="1" x14ac:dyDescent="0.25">
      <c r="A197" s="51">
        <v>2253</v>
      </c>
      <c r="B197" s="51">
        <v>2</v>
      </c>
      <c r="C197" s="51" t="s">
        <v>590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586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customHeight="1" x14ac:dyDescent="0.25">
      <c r="A198" s="51">
        <v>2253</v>
      </c>
      <c r="B198" s="51">
        <v>3</v>
      </c>
      <c r="C198" s="51" t="s">
        <v>590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586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customHeight="1" x14ac:dyDescent="0.25">
      <c r="A199" s="51">
        <v>2253</v>
      </c>
      <c r="B199" s="51">
        <v>4</v>
      </c>
      <c r="C199" s="51" t="s">
        <v>590</v>
      </c>
      <c r="D199" s="111">
        <v>6792</v>
      </c>
      <c r="E199" s="51" t="s">
        <v>255</v>
      </c>
      <c r="F199" s="51">
        <v>1</v>
      </c>
      <c r="G199" s="83" t="s">
        <v>587</v>
      </c>
      <c r="H199" s="51" t="s">
        <v>63</v>
      </c>
      <c r="I199" s="51" t="s">
        <v>63</v>
      </c>
      <c r="J199" s="51" t="s">
        <v>63</v>
      </c>
      <c r="K199" s="51" t="s">
        <v>586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customHeight="1" x14ac:dyDescent="0.25">
      <c r="A200" s="51">
        <v>2253</v>
      </c>
      <c r="B200" s="51">
        <v>5</v>
      </c>
      <c r="C200" s="51" t="s">
        <v>590</v>
      </c>
      <c r="D200" s="111">
        <v>6793</v>
      </c>
      <c r="E200" s="51" t="s">
        <v>255</v>
      </c>
      <c r="F200" s="51">
        <v>1</v>
      </c>
      <c r="G200" s="83" t="s">
        <v>587</v>
      </c>
      <c r="H200" s="51" t="s">
        <v>63</v>
      </c>
      <c r="I200" s="51" t="s">
        <v>63</v>
      </c>
      <c r="J200" s="51" t="s">
        <v>63</v>
      </c>
      <c r="K200" s="51" t="s">
        <v>586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customHeight="1" x14ac:dyDescent="0.25">
      <c r="A201" s="51">
        <v>2253</v>
      </c>
      <c r="B201" s="51">
        <v>6</v>
      </c>
      <c r="C201" s="51" t="s">
        <v>590</v>
      </c>
      <c r="D201" s="111">
        <v>6794</v>
      </c>
      <c r="E201" s="51" t="s">
        <v>255</v>
      </c>
      <c r="F201" s="51">
        <v>1</v>
      </c>
      <c r="G201" s="83" t="s">
        <v>587</v>
      </c>
      <c r="H201" s="51" t="s">
        <v>63</v>
      </c>
      <c r="I201" s="51" t="s">
        <v>63</v>
      </c>
      <c r="J201" s="51" t="s">
        <v>63</v>
      </c>
      <c r="K201" s="51" t="s">
        <v>586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customHeight="1" x14ac:dyDescent="0.25">
      <c r="A202" s="51">
        <v>2253</v>
      </c>
      <c r="B202" s="51">
        <v>7</v>
      </c>
      <c r="C202" s="51" t="s">
        <v>590</v>
      </c>
      <c r="D202" s="111">
        <v>6795</v>
      </c>
      <c r="E202" s="51" t="s">
        <v>255</v>
      </c>
      <c r="F202" s="51">
        <v>1</v>
      </c>
      <c r="G202" s="83" t="s">
        <v>587</v>
      </c>
      <c r="H202" s="51" t="s">
        <v>63</v>
      </c>
      <c r="I202" s="51" t="s">
        <v>63</v>
      </c>
      <c r="J202" s="51" t="s">
        <v>63</v>
      </c>
      <c r="K202" s="51" t="s">
        <v>586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customHeight="1" x14ac:dyDescent="0.25">
      <c r="A203" s="51">
        <v>2253</v>
      </c>
      <c r="B203" s="51">
        <v>8</v>
      </c>
      <c r="C203" s="51" t="s">
        <v>590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586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customHeight="1" x14ac:dyDescent="0.25">
      <c r="A204" s="51">
        <v>2253</v>
      </c>
      <c r="B204" s="51">
        <v>9</v>
      </c>
      <c r="C204" s="51" t="s">
        <v>590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586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customHeight="1" x14ac:dyDescent="0.25">
      <c r="A205" s="51">
        <v>2253</v>
      </c>
      <c r="B205" s="51">
        <v>10</v>
      </c>
      <c r="C205" s="51" t="s">
        <v>590</v>
      </c>
      <c r="D205" s="111">
        <v>6798</v>
      </c>
      <c r="E205" s="51" t="s">
        <v>255</v>
      </c>
      <c r="F205" s="51">
        <v>1</v>
      </c>
      <c r="G205" s="83" t="s">
        <v>587</v>
      </c>
      <c r="H205" s="51" t="s">
        <v>63</v>
      </c>
      <c r="I205" s="51" t="s">
        <v>63</v>
      </c>
      <c r="J205" s="51" t="s">
        <v>63</v>
      </c>
      <c r="K205" s="51" t="s">
        <v>586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customHeight="1" x14ac:dyDescent="0.25">
      <c r="A206" s="51">
        <v>2253</v>
      </c>
      <c r="B206" s="51">
        <v>11</v>
      </c>
      <c r="C206" s="51" t="s">
        <v>590</v>
      </c>
      <c r="D206" s="111">
        <v>6799</v>
      </c>
      <c r="E206" s="51" t="s">
        <v>255</v>
      </c>
      <c r="F206" s="51">
        <v>1</v>
      </c>
      <c r="G206" s="83" t="s">
        <v>587</v>
      </c>
      <c r="H206" s="51" t="s">
        <v>63</v>
      </c>
      <c r="I206" s="51" t="s">
        <v>63</v>
      </c>
      <c r="J206" s="51" t="s">
        <v>63</v>
      </c>
      <c r="K206" s="51" t="s">
        <v>586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customHeight="1" x14ac:dyDescent="0.25">
      <c r="A207" s="51">
        <v>2253</v>
      </c>
      <c r="B207" s="51">
        <v>12</v>
      </c>
      <c r="C207" s="51" t="s">
        <v>590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586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customHeight="1" x14ac:dyDescent="0.25">
      <c r="A208" s="51">
        <v>2253</v>
      </c>
      <c r="B208" s="51">
        <v>13</v>
      </c>
      <c r="C208" s="51" t="s">
        <v>590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586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customHeight="1" x14ac:dyDescent="0.25">
      <c r="A209" s="51">
        <v>2253</v>
      </c>
      <c r="B209" s="51">
        <v>14</v>
      </c>
      <c r="C209" s="51" t="s">
        <v>590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586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customHeight="1" x14ac:dyDescent="0.25">
      <c r="A210" s="51">
        <v>2253</v>
      </c>
      <c r="B210" s="51">
        <v>15</v>
      </c>
      <c r="C210" s="51" t="s">
        <v>590</v>
      </c>
      <c r="D210" s="111">
        <v>6803</v>
      </c>
      <c r="E210" s="51" t="s">
        <v>255</v>
      </c>
      <c r="F210" s="51">
        <v>1</v>
      </c>
      <c r="G210" s="83" t="s">
        <v>588</v>
      </c>
      <c r="H210" s="51" t="s">
        <v>63</v>
      </c>
      <c r="I210" s="51" t="s">
        <v>63</v>
      </c>
      <c r="J210" s="51" t="s">
        <v>63</v>
      </c>
      <c r="K210" s="51" t="s">
        <v>586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customHeight="1" x14ac:dyDescent="0.25">
      <c r="A211" s="51">
        <v>2253</v>
      </c>
      <c r="B211" s="51">
        <v>16</v>
      </c>
      <c r="C211" s="51" t="s">
        <v>590</v>
      </c>
      <c r="D211" s="111">
        <v>6804</v>
      </c>
      <c r="E211" s="51" t="s">
        <v>255</v>
      </c>
      <c r="F211" s="51">
        <v>1</v>
      </c>
      <c r="G211" s="83" t="s">
        <v>588</v>
      </c>
      <c r="H211" s="51" t="s">
        <v>63</v>
      </c>
      <c r="I211" s="51" t="s">
        <v>63</v>
      </c>
      <c r="J211" s="51" t="s">
        <v>63</v>
      </c>
      <c r="K211" s="51" t="s">
        <v>586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customHeight="1" x14ac:dyDescent="0.25">
      <c r="A212" s="51">
        <v>2253</v>
      </c>
      <c r="B212" s="51">
        <v>17</v>
      </c>
      <c r="C212" s="51" t="s">
        <v>590</v>
      </c>
      <c r="D212" s="111">
        <v>6805</v>
      </c>
      <c r="E212" s="51" t="s">
        <v>255</v>
      </c>
      <c r="F212" s="51">
        <v>1</v>
      </c>
      <c r="G212" s="83" t="s">
        <v>588</v>
      </c>
      <c r="H212" s="51" t="s">
        <v>63</v>
      </c>
      <c r="I212" s="51" t="s">
        <v>63</v>
      </c>
      <c r="J212" s="51" t="s">
        <v>63</v>
      </c>
      <c r="K212" s="51" t="s">
        <v>586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customHeight="1" x14ac:dyDescent="0.25">
      <c r="A213" s="51">
        <v>2253</v>
      </c>
      <c r="B213" s="51">
        <v>18</v>
      </c>
      <c r="C213" s="51" t="s">
        <v>590</v>
      </c>
      <c r="D213" s="111">
        <v>6806</v>
      </c>
      <c r="E213" s="51" t="s">
        <v>255</v>
      </c>
      <c r="F213" s="51">
        <v>1</v>
      </c>
      <c r="G213" s="83" t="s">
        <v>588</v>
      </c>
      <c r="H213" s="51" t="s">
        <v>63</v>
      </c>
      <c r="I213" s="51" t="s">
        <v>63</v>
      </c>
      <c r="J213" s="51" t="s">
        <v>63</v>
      </c>
      <c r="K213" s="51" t="s">
        <v>586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customHeight="1" x14ac:dyDescent="0.25">
      <c r="A214" s="51">
        <v>2253</v>
      </c>
      <c r="B214" s="51">
        <v>20</v>
      </c>
      <c r="C214" s="51" t="s">
        <v>590</v>
      </c>
      <c r="D214" s="111">
        <v>6808</v>
      </c>
      <c r="E214" s="51" t="s">
        <v>255</v>
      </c>
      <c r="F214" s="51">
        <v>1</v>
      </c>
      <c r="G214" s="83" t="s">
        <v>589</v>
      </c>
      <c r="H214" s="51" t="s">
        <v>63</v>
      </c>
      <c r="I214" s="51" t="s">
        <v>63</v>
      </c>
      <c r="J214" s="51" t="s">
        <v>63</v>
      </c>
      <c r="K214" s="51" t="s">
        <v>586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customHeight="1" x14ac:dyDescent="0.25">
      <c r="A215" s="51">
        <v>2253</v>
      </c>
      <c r="B215" s="51">
        <v>21</v>
      </c>
      <c r="C215" s="51" t="s">
        <v>590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586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customHeight="1" x14ac:dyDescent="0.25">
      <c r="A216" s="51">
        <v>2253</v>
      </c>
      <c r="B216" s="51">
        <v>22</v>
      </c>
      <c r="C216" s="51" t="s">
        <v>590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586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customHeight="1" x14ac:dyDescent="0.25">
      <c r="A217" s="51">
        <v>2253</v>
      </c>
      <c r="B217" s="51">
        <v>23</v>
      </c>
      <c r="C217" s="51" t="s">
        <v>590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586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customHeight="1" x14ac:dyDescent="0.25">
      <c r="A218" s="51">
        <v>2253</v>
      </c>
      <c r="B218" s="51">
        <v>24</v>
      </c>
      <c r="C218" s="51" t="s">
        <v>590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586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customHeight="1" x14ac:dyDescent="0.25">
      <c r="A219" s="51">
        <v>2253</v>
      </c>
      <c r="B219" s="51">
        <v>25</v>
      </c>
      <c r="C219" s="51" t="s">
        <v>590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586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678</v>
      </c>
    </row>
    <row r="220" spans="1:28" ht="20.100000000000001" customHeight="1" x14ac:dyDescent="0.25">
      <c r="A220" s="51">
        <v>2253</v>
      </c>
      <c r="B220" s="51">
        <v>26</v>
      </c>
      <c r="C220" s="51" t="s">
        <v>590</v>
      </c>
      <c r="D220" s="111">
        <v>6817</v>
      </c>
      <c r="E220" s="51" t="s">
        <v>255</v>
      </c>
      <c r="F220" s="51">
        <v>1</v>
      </c>
      <c r="G220" s="83" t="s">
        <v>587</v>
      </c>
      <c r="H220" s="51" t="s">
        <v>63</v>
      </c>
      <c r="I220" s="51" t="s">
        <v>63</v>
      </c>
      <c r="J220" s="51" t="s">
        <v>63</v>
      </c>
      <c r="K220" s="51" t="s">
        <v>586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customHeight="1" x14ac:dyDescent="0.25">
      <c r="A221" s="51">
        <v>2253</v>
      </c>
      <c r="B221" s="51">
        <v>5</v>
      </c>
      <c r="C221" s="51" t="s">
        <v>590</v>
      </c>
      <c r="D221" s="111">
        <v>6818</v>
      </c>
      <c r="E221" s="51" t="s">
        <v>255</v>
      </c>
      <c r="F221" s="51">
        <v>1</v>
      </c>
      <c r="G221" s="83" t="s">
        <v>587</v>
      </c>
      <c r="H221" s="51" t="s">
        <v>63</v>
      </c>
      <c r="I221" s="51" t="s">
        <v>63</v>
      </c>
      <c r="J221" s="51" t="s">
        <v>63</v>
      </c>
      <c r="K221" s="51" t="s">
        <v>586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customHeight="1" x14ac:dyDescent="0.25">
      <c r="A222" s="51">
        <v>2253</v>
      </c>
      <c r="B222" s="51">
        <v>26</v>
      </c>
      <c r="C222" s="51" t="s">
        <v>590</v>
      </c>
      <c r="D222" s="111">
        <v>6819</v>
      </c>
      <c r="E222" s="51" t="s">
        <v>255</v>
      </c>
      <c r="F222" s="51">
        <v>1</v>
      </c>
      <c r="G222" s="83" t="s">
        <v>587</v>
      </c>
      <c r="H222" s="51" t="s">
        <v>63</v>
      </c>
      <c r="I222" s="51" t="s">
        <v>63</v>
      </c>
      <c r="J222" s="51" t="s">
        <v>63</v>
      </c>
      <c r="K222" s="51" t="s">
        <v>586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customHeight="1" x14ac:dyDescent="0.25">
      <c r="A223" s="51">
        <v>2353</v>
      </c>
      <c r="B223" s="51">
        <v>47</v>
      </c>
      <c r="C223" s="51" t="s">
        <v>590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586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603</v>
      </c>
    </row>
    <row r="224" spans="1:28" ht="20.100000000000001" customHeight="1" x14ac:dyDescent="0.25">
      <c r="A224" s="51">
        <v>2353</v>
      </c>
      <c r="B224" s="51">
        <v>48</v>
      </c>
      <c r="C224" s="51" t="s">
        <v>590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586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603</v>
      </c>
    </row>
    <row r="225" spans="1:28" ht="20.100000000000001" customHeight="1" x14ac:dyDescent="0.25">
      <c r="A225" s="51">
        <v>2353</v>
      </c>
      <c r="B225" s="51">
        <v>49</v>
      </c>
      <c r="C225" s="51" t="s">
        <v>590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586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568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636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568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637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568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638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568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639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568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640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568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641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568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642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568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643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568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644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568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645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568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646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568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647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568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648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568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649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568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650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568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651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568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652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568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653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customHeight="1" x14ac:dyDescent="0.25"/>
    <row r="245" spans="1:28" ht="20.100000000000001" customHeight="1" x14ac:dyDescent="0.25"/>
    <row r="246" spans="1:28" ht="20.100000000000001" customHeight="1" x14ac:dyDescent="0.25"/>
    <row r="247" spans="1:28" ht="20.100000000000001" customHeight="1" x14ac:dyDescent="0.25"/>
    <row r="248" spans="1:28" ht="20.100000000000001" customHeight="1" x14ac:dyDescent="0.25"/>
    <row r="249" spans="1:28" ht="20.100000000000001" customHeight="1" x14ac:dyDescent="0.25"/>
    <row r="250" spans="1:28" ht="20.100000000000001" customHeight="1" x14ac:dyDescent="0.25"/>
    <row r="251" spans="1:28" ht="20.100000000000001" customHeight="1" x14ac:dyDescent="0.25"/>
    <row r="252" spans="1:28" ht="20.100000000000001" customHeight="1" x14ac:dyDescent="0.25"/>
    <row r="253" spans="1:28" ht="20.100000000000001" customHeight="1" x14ac:dyDescent="0.25"/>
    <row r="254" spans="1:28" ht="20.100000000000001" customHeight="1" x14ac:dyDescent="0.25"/>
    <row r="255" spans="1:28" ht="20.100000000000001" customHeight="1" x14ac:dyDescent="0.25"/>
    <row r="256" spans="1:28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W20" sqref="W20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677</v>
      </c>
    </row>
    <row r="20" spans="1:23" ht="20.10000000000000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hidden="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hidden="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hidden="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hidden="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hidden="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hidden="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hidden="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hidden="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hidden="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hidden="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hidden="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hidden="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hidden="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hidden="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1" t="s">
        <v>462</v>
      </c>
      <c r="N79" s="51" t="s">
        <v>370</v>
      </c>
      <c r="O79" s="51"/>
      <c r="P79" s="51"/>
      <c r="Q79" s="51"/>
      <c r="R79" s="51"/>
      <c r="S79" s="51"/>
      <c r="T79" s="51"/>
      <c r="U79" s="51"/>
      <c r="V79" s="51" t="s">
        <v>198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445</v>
      </c>
      <c r="W92" s="51" t="s">
        <v>593</v>
      </c>
    </row>
    <row r="93" spans="1:23" ht="20.100000000000001" hidden="1" customHeight="1" x14ac:dyDescent="0.25">
      <c r="A93" s="78">
        <v>2347</v>
      </c>
      <c r="B93" s="78" t="s">
        <v>63</v>
      </c>
      <c r="C93" s="51" t="s">
        <v>570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567</v>
      </c>
    </row>
    <row r="94" spans="1:23" ht="20.100000000000001" hidden="1" customHeight="1" x14ac:dyDescent="0.25">
      <c r="A94" s="78">
        <v>2347</v>
      </c>
      <c r="B94" s="78" t="s">
        <v>63</v>
      </c>
      <c r="C94" s="51" t="s">
        <v>570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567</v>
      </c>
    </row>
    <row r="95" spans="1:23" ht="20.100000000000001" hidden="1" customHeight="1" x14ac:dyDescent="0.25">
      <c r="A95" s="78">
        <v>2347</v>
      </c>
      <c r="B95" s="78" t="s">
        <v>63</v>
      </c>
      <c r="C95" s="51" t="s">
        <v>570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567</v>
      </c>
    </row>
    <row r="96" spans="1:23" ht="20.100000000000001" hidden="1" customHeight="1" x14ac:dyDescent="0.25">
      <c r="A96" s="78">
        <v>1040</v>
      </c>
      <c r="B96" s="78" t="s">
        <v>63</v>
      </c>
      <c r="C96" s="51" t="s">
        <v>570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hidden="1" customHeight="1" x14ac:dyDescent="0.25">
      <c r="A97" s="78">
        <v>1040</v>
      </c>
      <c r="B97" s="78" t="s">
        <v>63</v>
      </c>
      <c r="C97" s="51" t="s">
        <v>570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hidden="1" customHeight="1" x14ac:dyDescent="0.25">
      <c r="A98" s="78">
        <v>1040</v>
      </c>
      <c r="B98" s="78" t="s">
        <v>63</v>
      </c>
      <c r="C98" s="51" t="s">
        <v>570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hidden="1" customHeight="1" x14ac:dyDescent="0.25">
      <c r="A99" s="78">
        <v>1040</v>
      </c>
      <c r="B99" s="78" t="s">
        <v>63</v>
      </c>
      <c r="C99" s="51" t="s">
        <v>570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hidden="1" customHeight="1" x14ac:dyDescent="0.25">
      <c r="A100" s="78">
        <v>1040</v>
      </c>
      <c r="B100" s="78" t="s">
        <v>63</v>
      </c>
      <c r="C100" s="51" t="s">
        <v>570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571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572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571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573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571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574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571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571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571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571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571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579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571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571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571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571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571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571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571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571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575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571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576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571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577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578</v>
      </c>
    </row>
    <row r="119" spans="1:23" ht="20.100000000000001" hidden="1" customHeight="1" x14ac:dyDescent="0.25">
      <c r="A119" s="78">
        <v>1053</v>
      </c>
      <c r="B119" s="78" t="s">
        <v>63</v>
      </c>
      <c r="C119" s="51" t="s">
        <v>613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58</v>
      </c>
      <c r="L119" s="51" t="s">
        <v>614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481</v>
      </c>
      <c r="W119" s="51"/>
    </row>
    <row r="120" spans="1:23" ht="20.100000000000001" hidden="1" customHeight="1" x14ac:dyDescent="0.25">
      <c r="A120" s="78">
        <v>1053</v>
      </c>
      <c r="B120" s="78" t="s">
        <v>63</v>
      </c>
      <c r="C120" s="51" t="s">
        <v>613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58</v>
      </c>
      <c r="L120" s="51" t="s">
        <v>615</v>
      </c>
      <c r="M120" s="51" t="s">
        <v>469</v>
      </c>
      <c r="N120" s="51" t="s">
        <v>621</v>
      </c>
      <c r="O120" s="51" t="s">
        <v>220</v>
      </c>
      <c r="P120" s="51" t="s">
        <v>622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481</v>
      </c>
      <c r="W120" s="51"/>
    </row>
    <row r="121" spans="1:23" ht="20.100000000000001" hidden="1" customHeight="1" x14ac:dyDescent="0.25">
      <c r="A121" s="78">
        <v>1053</v>
      </c>
      <c r="B121" s="78" t="s">
        <v>63</v>
      </c>
      <c r="C121" s="51" t="s">
        <v>613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58</v>
      </c>
      <c r="L121" s="51" t="s">
        <v>616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481</v>
      </c>
      <c r="W121" s="51"/>
    </row>
    <row r="122" spans="1:23" ht="20.100000000000001" hidden="1" customHeight="1" x14ac:dyDescent="0.25">
      <c r="A122" s="78">
        <v>1053</v>
      </c>
      <c r="B122" s="78" t="s">
        <v>63</v>
      </c>
      <c r="C122" s="51" t="s">
        <v>613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58</v>
      </c>
      <c r="L122" s="51" t="s">
        <v>617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481</v>
      </c>
      <c r="W122" s="51"/>
    </row>
    <row r="123" spans="1:23" ht="20.100000000000001" hidden="1" customHeight="1" x14ac:dyDescent="0.25">
      <c r="A123" s="78">
        <v>1053</v>
      </c>
      <c r="B123" s="78" t="s">
        <v>63</v>
      </c>
      <c r="C123" s="51" t="s">
        <v>613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58</v>
      </c>
      <c r="L123" s="51" t="s">
        <v>618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481</v>
      </c>
      <c r="W123" s="51"/>
    </row>
    <row r="124" spans="1:23" ht="20.100000000000001" hidden="1" customHeight="1" x14ac:dyDescent="0.25">
      <c r="A124" s="78">
        <v>1053</v>
      </c>
      <c r="B124" s="78" t="s">
        <v>63</v>
      </c>
      <c r="C124" s="51" t="s">
        <v>613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58</v>
      </c>
      <c r="L124" s="51" t="s">
        <v>619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481</v>
      </c>
      <c r="W124" s="51"/>
    </row>
    <row r="125" spans="1:23" ht="20.100000000000001" hidden="1" customHeight="1" x14ac:dyDescent="0.25">
      <c r="A125" s="78">
        <v>1053</v>
      </c>
      <c r="B125" s="78" t="s">
        <v>63</v>
      </c>
      <c r="C125" s="51" t="s">
        <v>613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58</v>
      </c>
      <c r="L125" s="51" t="s">
        <v>620</v>
      </c>
      <c r="M125" s="51" t="s">
        <v>469</v>
      </c>
      <c r="N125" s="51" t="s">
        <v>621</v>
      </c>
      <c r="O125" s="51" t="s">
        <v>220</v>
      </c>
      <c r="P125" s="51" t="s">
        <v>622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481</v>
      </c>
      <c r="W125" s="51"/>
    </row>
    <row r="126" spans="1:23" ht="20.100000000000001" hidden="1" customHeight="1" x14ac:dyDescent="0.25">
      <c r="A126" s="78">
        <v>924</v>
      </c>
      <c r="B126" s="78" t="s">
        <v>63</v>
      </c>
      <c r="C126" s="51" t="s">
        <v>631</v>
      </c>
      <c r="D126" s="51" t="s">
        <v>632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hidden="1" customHeight="1" x14ac:dyDescent="0.25">
      <c r="A127" s="78">
        <v>1043</v>
      </c>
      <c r="B127" s="78" t="s">
        <v>63</v>
      </c>
      <c r="C127" s="51" t="s">
        <v>568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636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hidden="1" customHeight="1" x14ac:dyDescent="0.25">
      <c r="A128" s="78">
        <v>1043</v>
      </c>
      <c r="B128" s="78" t="s">
        <v>63</v>
      </c>
      <c r="C128" s="51" t="s">
        <v>568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637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hidden="1" customHeight="1" x14ac:dyDescent="0.25">
      <c r="A129" s="78">
        <v>1043</v>
      </c>
      <c r="B129" s="78" t="s">
        <v>63</v>
      </c>
      <c r="C129" s="51" t="s">
        <v>568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638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hidden="1" customHeight="1" x14ac:dyDescent="0.25">
      <c r="A130" s="78">
        <v>1043</v>
      </c>
      <c r="B130" s="78" t="s">
        <v>63</v>
      </c>
      <c r="C130" s="51" t="s">
        <v>568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639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hidden="1" customHeight="1" x14ac:dyDescent="0.25">
      <c r="A131" s="78">
        <v>1043</v>
      </c>
      <c r="B131" s="78" t="s">
        <v>63</v>
      </c>
      <c r="C131" s="51" t="s">
        <v>568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640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hidden="1" customHeight="1" x14ac:dyDescent="0.25">
      <c r="A132" s="78">
        <v>1043</v>
      </c>
      <c r="B132" s="78" t="s">
        <v>63</v>
      </c>
      <c r="C132" s="51" t="s">
        <v>568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641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hidden="1" customHeight="1" x14ac:dyDescent="0.25">
      <c r="A133" s="78">
        <v>1043</v>
      </c>
      <c r="B133" s="78" t="s">
        <v>63</v>
      </c>
      <c r="C133" s="51" t="s">
        <v>568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642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hidden="1" customHeight="1" x14ac:dyDescent="0.25">
      <c r="A134" s="78">
        <v>1043</v>
      </c>
      <c r="B134" s="78" t="s">
        <v>63</v>
      </c>
      <c r="C134" s="51" t="s">
        <v>568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643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hidden="1" customHeight="1" x14ac:dyDescent="0.25">
      <c r="A135" s="78">
        <v>1043</v>
      </c>
      <c r="B135" s="78" t="s">
        <v>63</v>
      </c>
      <c r="C135" s="51" t="s">
        <v>568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644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hidden="1" customHeight="1" x14ac:dyDescent="0.25">
      <c r="A136" s="78">
        <v>1043</v>
      </c>
      <c r="B136" s="78" t="s">
        <v>63</v>
      </c>
      <c r="C136" s="51" t="s">
        <v>568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645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hidden="1" customHeight="1" x14ac:dyDescent="0.25">
      <c r="A137" s="78">
        <v>1043</v>
      </c>
      <c r="B137" s="78" t="s">
        <v>63</v>
      </c>
      <c r="C137" s="51" t="s">
        <v>568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654</v>
      </c>
      <c r="J137" s="51" t="s">
        <v>58</v>
      </c>
      <c r="K137" s="51" t="s">
        <v>58</v>
      </c>
      <c r="L137" s="51" t="s">
        <v>646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hidden="1" customHeight="1" x14ac:dyDescent="0.25">
      <c r="A138" s="78">
        <v>1043</v>
      </c>
      <c r="B138" s="78" t="s">
        <v>63</v>
      </c>
      <c r="C138" s="51" t="s">
        <v>568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647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hidden="1" customHeight="1" x14ac:dyDescent="0.25">
      <c r="A139" s="78">
        <v>1043</v>
      </c>
      <c r="B139" s="78" t="s">
        <v>63</v>
      </c>
      <c r="C139" s="51" t="s">
        <v>568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648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hidden="1" customHeight="1" x14ac:dyDescent="0.25">
      <c r="A140" s="78">
        <v>1043</v>
      </c>
      <c r="B140" s="78" t="s">
        <v>63</v>
      </c>
      <c r="C140" s="51" t="s">
        <v>568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649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hidden="1" customHeight="1" x14ac:dyDescent="0.25">
      <c r="A141" s="78">
        <v>1043</v>
      </c>
      <c r="B141" s="78" t="s">
        <v>63</v>
      </c>
      <c r="C141" s="51" t="s">
        <v>568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650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hidden="1" customHeight="1" x14ac:dyDescent="0.25">
      <c r="A142" s="78">
        <v>1043</v>
      </c>
      <c r="B142" s="78" t="s">
        <v>63</v>
      </c>
      <c r="C142" s="51" t="s">
        <v>568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651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hidden="1" customHeight="1" x14ac:dyDescent="0.25">
      <c r="A143" s="78">
        <v>1043</v>
      </c>
      <c r="B143" s="78" t="s">
        <v>63</v>
      </c>
      <c r="C143" s="51" t="s">
        <v>568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652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hidden="1" customHeight="1" x14ac:dyDescent="0.25">
      <c r="A144" s="78">
        <v>1043</v>
      </c>
      <c r="B144" s="78" t="s">
        <v>63</v>
      </c>
      <c r="C144" s="51" t="s">
        <v>568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653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hidden="1" customHeight="1" x14ac:dyDescent="0.25">
      <c r="A145" s="78">
        <v>1047</v>
      </c>
      <c r="B145" s="78" t="s">
        <v>63</v>
      </c>
      <c r="C145" s="51" t="s">
        <v>267</v>
      </c>
      <c r="D145" s="51" t="s">
        <v>675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673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674</v>
      </c>
    </row>
    <row r="146" spans="1:23" ht="20.100000000000001" customHeight="1" x14ac:dyDescent="0.25"/>
    <row r="147" spans="1:23" ht="20.100000000000001" customHeight="1" x14ac:dyDescent="0.25"/>
    <row r="148" spans="1:23" ht="20.100000000000001" customHeight="1" x14ac:dyDescent="0.25"/>
    <row r="149" spans="1:23" ht="20.100000000000001" customHeight="1" x14ac:dyDescent="0.25"/>
    <row r="150" spans="1:23" ht="20.100000000000001" customHeight="1" x14ac:dyDescent="0.25"/>
    <row r="151" spans="1:23" ht="20.100000000000001" customHeight="1" x14ac:dyDescent="0.25"/>
    <row r="152" spans="1:23" ht="20.100000000000001" customHeight="1" x14ac:dyDescent="0.25"/>
    <row r="153" spans="1:23" ht="20.100000000000001" customHeight="1" x14ac:dyDescent="0.25"/>
    <row r="154" spans="1:23" ht="20.100000000000001" customHeight="1" x14ac:dyDescent="0.25"/>
    <row r="155" spans="1:23" ht="20.100000000000001" customHeight="1" x14ac:dyDescent="0.25"/>
    <row r="156" spans="1:23" ht="20.100000000000001" customHeight="1" x14ac:dyDescent="0.25"/>
    <row r="157" spans="1:23" ht="20.100000000000001" customHeight="1" x14ac:dyDescent="0.25"/>
    <row r="158" spans="1:23" ht="20.100000000000001" customHeight="1" x14ac:dyDescent="0.25"/>
    <row r="159" spans="1:23" ht="20.100000000000001" customHeight="1" x14ac:dyDescent="0.25"/>
    <row r="160" spans="1:23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O60"/>
  <sheetViews>
    <sheetView view="pageBreakPreview" zoomScaleNormal="100" zoomScaleSheetLayoutView="100" workbookViewId="0">
      <selection activeCell="H48" sqref="H48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610</v>
      </c>
      <c r="I1" s="19" t="s">
        <v>606</v>
      </c>
      <c r="J1" s="19" t="s">
        <v>609</v>
      </c>
      <c r="K1" s="19" t="s">
        <v>607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605</v>
      </c>
      <c r="H2" s="22">
        <v>46220</v>
      </c>
      <c r="I2" s="22"/>
      <c r="J2" s="22">
        <v>46592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605</v>
      </c>
      <c r="H3" s="22">
        <v>46220</v>
      </c>
      <c r="I3" s="22"/>
      <c r="J3" s="22">
        <v>46592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hidden="1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605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608</v>
      </c>
      <c r="O4" s="47"/>
    </row>
    <row r="5" spans="1:15" hidden="1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605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608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605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hidden="1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605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608</v>
      </c>
      <c r="O7" s="47"/>
    </row>
    <row r="8" spans="1:15" hidden="1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605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608</v>
      </c>
      <c r="O8" s="47"/>
    </row>
    <row r="9" spans="1:15" hidden="1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605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608</v>
      </c>
      <c r="O9" s="47"/>
    </row>
    <row r="10" spans="1:15" hidden="1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605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608</v>
      </c>
      <c r="O10" s="47"/>
    </row>
    <row r="11" spans="1:15" hidden="1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605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608</v>
      </c>
      <c r="O11" s="47"/>
    </row>
    <row r="12" spans="1:15" hidden="1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605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608</v>
      </c>
      <c r="O12" s="47"/>
    </row>
    <row r="13" spans="1:15" hidden="1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605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608</v>
      </c>
      <c r="O13" s="47"/>
    </row>
    <row r="14" spans="1:15" hidden="1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604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608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605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hidden="1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605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608</v>
      </c>
      <c r="O16" s="47"/>
    </row>
    <row r="17" spans="1:15" hidden="1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605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608</v>
      </c>
      <c r="O17" s="47"/>
    </row>
    <row r="18" spans="1:15" hidden="1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605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608</v>
      </c>
      <c r="O18" s="47"/>
    </row>
    <row r="19" spans="1:15" hidden="1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604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608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605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hidden="1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605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608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605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608</v>
      </c>
      <c r="O22" s="47" t="s">
        <v>612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605</v>
      </c>
      <c r="H23" s="22">
        <v>46578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605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608</v>
      </c>
      <c r="O24" s="47" t="s">
        <v>612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605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605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605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hidden="1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604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608</v>
      </c>
      <c r="O28" s="47"/>
    </row>
    <row r="29" spans="1:15" hidden="1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604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608</v>
      </c>
      <c r="O29" s="47"/>
    </row>
    <row r="30" spans="1:15" hidden="1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604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608</v>
      </c>
      <c r="O30" s="47"/>
    </row>
    <row r="31" spans="1:15" hidden="1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604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608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605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605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605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605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605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604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604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604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604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604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605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605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605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605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605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605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605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605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605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604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605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605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605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605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605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605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605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605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604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>
    <filterColumn colId="13">
      <filters>
        <filter val="AG. FUNDIDO"/>
        <filter val="AG. USINAGEM"/>
        <filter val="EM USINAGEM"/>
      </filters>
    </filterColumn>
  </autoFilter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611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611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2026-08-03T17:14:57Z</dcterms:modified>
</cp:coreProperties>
</file>