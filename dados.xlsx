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6E8A3DC-C881-4837-AC90-E2D34851FAE0}" xr6:coauthVersionLast="47" xr6:coauthVersionMax="47" xr10:uidLastSave="{00000000-0000-0000-0000-000000000000}"/>
  <bookViews>
    <workbookView xWindow="-120" yWindow="-120" windowWidth="29040" windowHeight="15720" activeTab="7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<sst xmlns="http://schemas.openxmlformats.org/spreadsheetml/2006/main" count="6833" uniqueCount="423">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</sst>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0">
      <filters>
        <filter val="2203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178" dataDxfId="177">
  <autoFilter ref="A1:V163" xr:uid="{71E71FAB-CF6D-4765-90BA-ABDE8C3299DB}">
    <filterColumn colId="4">
      <filters>
        <filter val="MS Internacional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B1" zoomScaleNormal="100" zoomScaleSheetLayoutView="100" workbookViewId="0">
      <selection activeCell="E46" sqref="E46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3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10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77</v>
      </c>
      <c r="Y3" s="10" t="s">
        <v>69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10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69</v>
      </c>
      <c r="Z4" s="10" t="s">
        <v>69</v>
      </c>
      <c r="AA4" s="10" t="s">
        <v>69</v>
      </c>
      <c r="AB4" s="10" t="s">
        <v>72</v>
      </c>
      <c r="AC4" s="10" t="s">
        <v>258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10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10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10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3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3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3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3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10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77</v>
      </c>
      <c r="Y12" s="10" t="s">
        <v>69</v>
      </c>
      <c r="Z12" s="10" t="s">
        <v>85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10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10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10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3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3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3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17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85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10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85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17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17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0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85</v>
      </c>
      <c r="AA24" s="10" t="s">
        <v>69</v>
      </c>
      <c r="AB24" s="10" t="s">
        <v>69</v>
      </c>
      <c r="AC24" s="10" t="s">
        <v>101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0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85</v>
      </c>
      <c r="AA25" s="10" t="s">
        <v>69</v>
      </c>
      <c r="AB25" s="10" t="s">
        <v>69</v>
      </c>
      <c r="AC25" s="10" t="s">
        <v>101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0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85</v>
      </c>
      <c r="AA26" s="10" t="s">
        <v>69</v>
      </c>
      <c r="AB26" s="10" t="s">
        <v>69</v>
      </c>
      <c r="AC26" s="10" t="s">
        <v>101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0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85</v>
      </c>
      <c r="AA27" s="10" t="s">
        <v>69</v>
      </c>
      <c r="AB27" s="10" t="s">
        <v>69</v>
      </c>
      <c r="AC27" s="10" t="s">
        <v>101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0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85</v>
      </c>
      <c r="AA28" s="10" t="s">
        <v>69</v>
      </c>
      <c r="AB28" s="10" t="s">
        <v>69</v>
      </c>
      <c r="AC28" s="10" t="s">
        <v>101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0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85</v>
      </c>
      <c r="AA29" s="10" t="s">
        <v>69</v>
      </c>
      <c r="AB29" s="10" t="s">
        <v>69</v>
      </c>
      <c r="AC29" s="10" t="s">
        <v>101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17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3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17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17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17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85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17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17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17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24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24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24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24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24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24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24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24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24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24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85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31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31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31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31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31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31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31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31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31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31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38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38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24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24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24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24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24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24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24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38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38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45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45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45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45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45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45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49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49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49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25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85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25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56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56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85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100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100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100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100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100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100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71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71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71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71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71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146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146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146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146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146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146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146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146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146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146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146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146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146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146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146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115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115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115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115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workbookViewId="0">
      <selection activeCell="F157" sqref="F15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23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23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23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23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23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56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56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56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56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56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56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56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56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56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56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56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56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66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66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66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66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66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66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66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66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66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66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66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66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66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66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66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76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76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76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76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76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76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76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76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76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76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76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76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76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76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76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56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56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56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86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86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86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86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86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86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86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86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86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115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115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115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115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115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115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115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115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115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115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115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115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115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115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115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115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115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115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115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115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115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115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115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115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115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115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115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115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115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115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115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115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115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115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115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115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115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115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115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115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10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10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10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10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10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23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38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38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23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23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38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38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23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23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23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23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23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23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23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23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38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23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23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38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38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9" t="s">
        <v>412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31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9" t="s">
        <v>412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31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9" t="s">
        <v>412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31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9" t="s">
        <v>412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31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9" t="s">
        <v>412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31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9" t="s">
        <v>412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31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9" t="s">
        <v>411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31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59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59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29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29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29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85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29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56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56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56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56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56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85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85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85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70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70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70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70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70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70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70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70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70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164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164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164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>
        <v>187095</v>
      </c>
      <c r="G29" s="14"/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76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>
        <v>187095</v>
      </c>
      <c r="G30" s="14"/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76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>
        <v>187095</v>
      </c>
      <c r="G31" s="14"/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76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164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164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164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164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85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85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85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85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44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44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44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44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44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44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44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44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-32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166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166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166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166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166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166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71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71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166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166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166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166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166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166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166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166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166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166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166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166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166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166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166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166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166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166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166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166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166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166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166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166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166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166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166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166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166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166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166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166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166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166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-7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146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146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146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146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146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146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146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146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146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146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146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146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146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146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146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146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146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146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146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146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146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146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146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146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146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146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146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146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146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146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146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146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146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146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146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-7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9" t="s">
        <v>398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161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9" t="s">
        <v>398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161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9" t="s">
        <v>399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161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9" t="s">
        <v>399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161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9" t="s">
        <v>400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161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9" t="s">
        <v>400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161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9" t="s">
        <v>401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161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9" t="s">
        <v>402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161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70">
        <v>2</v>
      </c>
      <c r="G98" s="14" t="s">
        <v>77</v>
      </c>
      <c r="H98" s="14" t="s">
        <v>77</v>
      </c>
      <c r="I98" s="69" t="s">
        <v>404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115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70">
        <v>2</v>
      </c>
      <c r="G99" s="14" t="s">
        <v>77</v>
      </c>
      <c r="H99" s="14" t="s">
        <v>77</v>
      </c>
      <c r="I99" s="69" t="s">
        <v>404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115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70">
        <v>2</v>
      </c>
      <c r="G100" s="14" t="s">
        <v>77</v>
      </c>
      <c r="H100" s="14" t="s">
        <v>77</v>
      </c>
      <c r="I100" s="69" t="s">
        <v>404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115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70">
        <v>1</v>
      </c>
      <c r="G101" s="14" t="s">
        <v>77</v>
      </c>
      <c r="H101" s="14" t="s">
        <v>77</v>
      </c>
      <c r="I101" s="69" t="s">
        <v>405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115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70">
        <v>1</v>
      </c>
      <c r="G102" s="14" t="s">
        <v>77</v>
      </c>
      <c r="H102" s="14" t="s">
        <v>77</v>
      </c>
      <c r="I102" s="69" t="s">
        <v>405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115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406</v>
      </c>
      <c r="F103" s="70">
        <v>8</v>
      </c>
      <c r="G103" s="14" t="s">
        <v>77</v>
      </c>
      <c r="H103" s="14" t="s">
        <v>77</v>
      </c>
      <c r="I103" s="69" t="s">
        <v>403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115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1">
        <v>6</v>
      </c>
      <c r="C104" s="72" t="s">
        <v>77</v>
      </c>
      <c r="D104" s="72" t="s">
        <v>77</v>
      </c>
      <c r="E104" s="73" t="s">
        <v>152</v>
      </c>
      <c r="F104" s="74">
        <v>1</v>
      </c>
      <c r="G104" s="14" t="s">
        <v>77</v>
      </c>
      <c r="H104" s="14" t="s">
        <v>77</v>
      </c>
      <c r="I104" s="75" t="s">
        <v>409</v>
      </c>
      <c r="J104" s="16" t="s">
        <v>77</v>
      </c>
      <c r="K104" s="16" t="s">
        <v>77</v>
      </c>
      <c r="L104" s="76">
        <v>46356</v>
      </c>
      <c r="M104" s="77"/>
      <c r="N104" s="78">
        <f ca="1">Tabela4[[#This Row],[Prazo
Entrega]]-TODAY()</f>
        <v>146</v>
      </c>
      <c r="O104" s="77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1">
        <v>7</v>
      </c>
      <c r="C105" s="72" t="s">
        <v>77</v>
      </c>
      <c r="D105" s="72" t="s">
        <v>77</v>
      </c>
      <c r="E105" s="73" t="s">
        <v>152</v>
      </c>
      <c r="F105" s="74">
        <v>1</v>
      </c>
      <c r="G105" s="14" t="s">
        <v>77</v>
      </c>
      <c r="H105" s="14" t="s">
        <v>77</v>
      </c>
      <c r="I105" s="75" t="s">
        <v>409</v>
      </c>
      <c r="J105" s="16" t="s">
        <v>77</v>
      </c>
      <c r="K105" s="16" t="s">
        <v>77</v>
      </c>
      <c r="L105" s="76">
        <v>46356</v>
      </c>
      <c r="M105" s="77"/>
      <c r="N105" s="78">
        <f ca="1">Tabela4[[#This Row],[Prazo
Entrega]]-TODAY()</f>
        <v>146</v>
      </c>
      <c r="O105" s="77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1">
        <v>8</v>
      </c>
      <c r="C106" s="72" t="s">
        <v>77</v>
      </c>
      <c r="D106" s="72" t="s">
        <v>77</v>
      </c>
      <c r="E106" s="73" t="s">
        <v>152</v>
      </c>
      <c r="F106" s="74">
        <v>1</v>
      </c>
      <c r="G106" s="14" t="s">
        <v>77</v>
      </c>
      <c r="H106" s="14" t="s">
        <v>77</v>
      </c>
      <c r="I106" s="75" t="s">
        <v>409</v>
      </c>
      <c r="J106" s="16" t="s">
        <v>77</v>
      </c>
      <c r="K106" s="16" t="s">
        <v>77</v>
      </c>
      <c r="L106" s="76">
        <v>46356</v>
      </c>
      <c r="M106" s="77"/>
      <c r="N106" s="78">
        <f ca="1">Tabela4[[#This Row],[Prazo
Entrega]]-TODAY()</f>
        <v>146</v>
      </c>
      <c r="O106" s="77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1">
        <v>9</v>
      </c>
      <c r="C107" s="72" t="s">
        <v>77</v>
      </c>
      <c r="D107" s="72" t="s">
        <v>77</v>
      </c>
      <c r="E107" s="73" t="s">
        <v>152</v>
      </c>
      <c r="F107" s="74">
        <v>1</v>
      </c>
      <c r="G107" s="14" t="s">
        <v>77</v>
      </c>
      <c r="H107" s="14" t="s">
        <v>77</v>
      </c>
      <c r="I107" s="75" t="s">
        <v>409</v>
      </c>
      <c r="J107" s="16" t="s">
        <v>77</v>
      </c>
      <c r="K107" s="16" t="s">
        <v>77</v>
      </c>
      <c r="L107" s="76">
        <v>46356</v>
      </c>
      <c r="M107" s="77"/>
      <c r="N107" s="78">
        <f ca="1">Tabela4[[#This Row],[Prazo
Entrega]]-TODAY()</f>
        <v>146</v>
      </c>
      <c r="O107" s="77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1">
        <v>10</v>
      </c>
      <c r="C108" s="72">
        <v>27633</v>
      </c>
      <c r="D108" s="72">
        <v>8</v>
      </c>
      <c r="E108" s="73" t="s">
        <v>152</v>
      </c>
      <c r="F108" s="74">
        <v>1</v>
      </c>
      <c r="G108" s="14">
        <v>1343012</v>
      </c>
      <c r="H108" s="14"/>
      <c r="I108" s="75" t="s">
        <v>410</v>
      </c>
      <c r="J108" s="76">
        <v>46235</v>
      </c>
      <c r="K108" s="77"/>
      <c r="L108" s="76">
        <v>46386</v>
      </c>
      <c r="M108" s="77"/>
      <c r="N108" s="78">
        <f ca="1">Tabela4[[#This Row],[Prazo
Entrega]]-TODAY()</f>
        <v>176</v>
      </c>
      <c r="O108" s="77" t="str">
        <f t="shared" ca="1" si="14"/>
        <v>NO PRAZO</v>
      </c>
      <c r="P108" s="16" t="s">
        <v>77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1">
        <v>11</v>
      </c>
      <c r="C109" s="72">
        <v>27633</v>
      </c>
      <c r="D109" s="72">
        <v>9</v>
      </c>
      <c r="E109" s="73" t="s">
        <v>152</v>
      </c>
      <c r="F109" s="74">
        <v>1</v>
      </c>
      <c r="G109" s="14">
        <v>1343012</v>
      </c>
      <c r="H109" s="14"/>
      <c r="I109" s="75" t="s">
        <v>410</v>
      </c>
      <c r="J109" s="76">
        <v>46235</v>
      </c>
      <c r="K109" s="77"/>
      <c r="L109" s="76">
        <v>46386</v>
      </c>
      <c r="M109" s="77"/>
      <c r="N109" s="78">
        <f ca="1">Tabela4[[#This Row],[Prazo
Entrega]]-TODAY()</f>
        <v>176</v>
      </c>
      <c r="O109" s="77" t="str">
        <f t="shared" ca="1" si="14"/>
        <v>NO PRAZO</v>
      </c>
      <c r="P109" s="16" t="s">
        <v>77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1">
        <v>12</v>
      </c>
      <c r="C110" s="72">
        <v>27633</v>
      </c>
      <c r="D110" s="72">
        <v>10</v>
      </c>
      <c r="E110" s="73" t="s">
        <v>152</v>
      </c>
      <c r="F110" s="74">
        <v>1</v>
      </c>
      <c r="G110" s="14">
        <v>1343012</v>
      </c>
      <c r="H110" s="14"/>
      <c r="I110" s="75" t="s">
        <v>410</v>
      </c>
      <c r="J110" s="76">
        <v>46235</v>
      </c>
      <c r="K110" s="77"/>
      <c r="L110" s="76">
        <v>46386</v>
      </c>
      <c r="M110" s="77"/>
      <c r="N110" s="78">
        <f ca="1">Tabela4[[#This Row],[Prazo
Entrega]]-TODAY()</f>
        <v>176</v>
      </c>
      <c r="O110" s="77" t="str">
        <f t="shared" ca="1" si="14"/>
        <v>NO PRAZO</v>
      </c>
      <c r="P110" s="16" t="s">
        <v>77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1">
        <v>13</v>
      </c>
      <c r="C111" s="72">
        <v>27633</v>
      </c>
      <c r="D111" s="72">
        <v>11</v>
      </c>
      <c r="E111" s="73" t="s">
        <v>152</v>
      </c>
      <c r="F111" s="74">
        <v>1</v>
      </c>
      <c r="G111" s="14">
        <v>1343012</v>
      </c>
      <c r="H111" s="14"/>
      <c r="I111" s="75" t="s">
        <v>410</v>
      </c>
      <c r="J111" s="76">
        <v>46235</v>
      </c>
      <c r="K111" s="77"/>
      <c r="L111" s="76">
        <v>46386</v>
      </c>
      <c r="M111" s="77"/>
      <c r="N111" s="78">
        <f ca="1">Tabela4[[#This Row],[Prazo
Entrega]]-TODAY()</f>
        <v>176</v>
      </c>
      <c r="O111" s="77" t="str">
        <f t="shared" ca="1" si="14"/>
        <v>NO PRAZO</v>
      </c>
      <c r="P111" s="16" t="s">
        <v>77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1">
        <v>14</v>
      </c>
      <c r="C112" s="72" t="s">
        <v>77</v>
      </c>
      <c r="D112" s="72" t="s">
        <v>77</v>
      </c>
      <c r="E112" s="73" t="s">
        <v>152</v>
      </c>
      <c r="F112" s="74">
        <v>1</v>
      </c>
      <c r="G112" s="14" t="s">
        <v>77</v>
      </c>
      <c r="H112" s="14" t="s">
        <v>77</v>
      </c>
      <c r="I112" s="75" t="s">
        <v>407</v>
      </c>
      <c r="J112" s="16" t="s">
        <v>77</v>
      </c>
      <c r="K112" s="16" t="s">
        <v>77</v>
      </c>
      <c r="L112" s="76">
        <v>46356</v>
      </c>
      <c r="M112" s="77"/>
      <c r="N112" s="78">
        <f ca="1">Tabela4[[#This Row],[Prazo
Entrega]]-TODAY()</f>
        <v>146</v>
      </c>
      <c r="O112" s="77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1">
        <v>15</v>
      </c>
      <c r="C113" s="72" t="s">
        <v>77</v>
      </c>
      <c r="D113" s="72" t="s">
        <v>77</v>
      </c>
      <c r="E113" s="73" t="s">
        <v>152</v>
      </c>
      <c r="F113" s="74">
        <v>1</v>
      </c>
      <c r="G113" s="14" t="s">
        <v>77</v>
      </c>
      <c r="H113" s="14" t="s">
        <v>77</v>
      </c>
      <c r="I113" s="75" t="s">
        <v>407</v>
      </c>
      <c r="J113" s="16" t="s">
        <v>77</v>
      </c>
      <c r="K113" s="16" t="s">
        <v>77</v>
      </c>
      <c r="L113" s="76">
        <v>46356</v>
      </c>
      <c r="M113" s="77"/>
      <c r="N113" s="78">
        <f ca="1">Tabela4[[#This Row],[Prazo
Entrega]]-TODAY()</f>
        <v>146</v>
      </c>
      <c r="O113" s="77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1">
        <v>16</v>
      </c>
      <c r="C114" s="72" t="s">
        <v>77</v>
      </c>
      <c r="D114" s="72" t="s">
        <v>77</v>
      </c>
      <c r="E114" s="73" t="s">
        <v>152</v>
      </c>
      <c r="F114" s="74">
        <v>1</v>
      </c>
      <c r="G114" s="14" t="s">
        <v>77</v>
      </c>
      <c r="H114" s="14" t="s">
        <v>77</v>
      </c>
      <c r="I114" s="75" t="s">
        <v>407</v>
      </c>
      <c r="J114" s="16" t="s">
        <v>77</v>
      </c>
      <c r="K114" s="16" t="s">
        <v>77</v>
      </c>
      <c r="L114" s="76">
        <v>46356</v>
      </c>
      <c r="M114" s="77"/>
      <c r="N114" s="78">
        <f ca="1">Tabela4[[#This Row],[Prazo
Entrega]]-TODAY()</f>
        <v>146</v>
      </c>
      <c r="O114" s="77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1">
        <v>17</v>
      </c>
      <c r="C115" s="72" t="s">
        <v>77</v>
      </c>
      <c r="D115" s="72" t="s">
        <v>77</v>
      </c>
      <c r="E115" s="73" t="s">
        <v>152</v>
      </c>
      <c r="F115" s="74">
        <v>1</v>
      </c>
      <c r="G115" s="14" t="s">
        <v>77</v>
      </c>
      <c r="H115" s="14" t="s">
        <v>77</v>
      </c>
      <c r="I115" s="75" t="s">
        <v>407</v>
      </c>
      <c r="J115" s="16" t="s">
        <v>77</v>
      </c>
      <c r="K115" s="16" t="s">
        <v>77</v>
      </c>
      <c r="L115" s="76">
        <v>46356</v>
      </c>
      <c r="M115" s="77"/>
      <c r="N115" s="78">
        <f ca="1">Tabela4[[#This Row],[Prazo
Entrega]]-TODAY()</f>
        <v>146</v>
      </c>
      <c r="O115" s="77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1">
        <v>18</v>
      </c>
      <c r="C116" s="72" t="s">
        <v>77</v>
      </c>
      <c r="D116" s="72" t="s">
        <v>77</v>
      </c>
      <c r="E116" s="73" t="s">
        <v>152</v>
      </c>
      <c r="F116" s="74">
        <v>1</v>
      </c>
      <c r="G116" s="14" t="s">
        <v>77</v>
      </c>
      <c r="H116" s="14" t="s">
        <v>77</v>
      </c>
      <c r="I116" s="75" t="s">
        <v>407</v>
      </c>
      <c r="J116" s="16" t="s">
        <v>77</v>
      </c>
      <c r="K116" s="16" t="s">
        <v>77</v>
      </c>
      <c r="L116" s="76">
        <v>46356</v>
      </c>
      <c r="M116" s="77"/>
      <c r="N116" s="78">
        <f ca="1">Tabela4[[#This Row],[Prazo
Entrega]]-TODAY()</f>
        <v>146</v>
      </c>
      <c r="O116" s="77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1">
        <v>19</v>
      </c>
      <c r="C117" s="72" t="s">
        <v>77</v>
      </c>
      <c r="D117" s="72" t="s">
        <v>77</v>
      </c>
      <c r="E117" s="73" t="s">
        <v>152</v>
      </c>
      <c r="F117" s="74">
        <v>1</v>
      </c>
      <c r="G117" s="14" t="s">
        <v>77</v>
      </c>
      <c r="H117" s="14" t="s">
        <v>77</v>
      </c>
      <c r="I117" s="75" t="s">
        <v>407</v>
      </c>
      <c r="J117" s="16" t="s">
        <v>77</v>
      </c>
      <c r="K117" s="16" t="s">
        <v>77</v>
      </c>
      <c r="L117" s="76">
        <v>46356</v>
      </c>
      <c r="M117" s="77"/>
      <c r="N117" s="78">
        <f ca="1">Tabela4[[#This Row],[Prazo
Entrega]]-TODAY()</f>
        <v>146</v>
      </c>
      <c r="O117" s="77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1">
        <v>20</v>
      </c>
      <c r="C118" s="72" t="s">
        <v>77</v>
      </c>
      <c r="D118" s="72" t="s">
        <v>77</v>
      </c>
      <c r="E118" s="73" t="s">
        <v>152</v>
      </c>
      <c r="F118" s="74">
        <v>1</v>
      </c>
      <c r="G118" s="14" t="s">
        <v>77</v>
      </c>
      <c r="H118" s="14" t="s">
        <v>77</v>
      </c>
      <c r="I118" s="75" t="s">
        <v>407</v>
      </c>
      <c r="J118" s="16" t="s">
        <v>77</v>
      </c>
      <c r="K118" s="16" t="s">
        <v>77</v>
      </c>
      <c r="L118" s="76">
        <v>46356</v>
      </c>
      <c r="M118" s="77"/>
      <c r="N118" s="78">
        <f ca="1">Tabela4[[#This Row],[Prazo
Entrega]]-TODAY()</f>
        <v>146</v>
      </c>
      <c r="O118" s="77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1">
        <v>21</v>
      </c>
      <c r="C119" s="72" t="s">
        <v>77</v>
      </c>
      <c r="D119" s="72" t="s">
        <v>77</v>
      </c>
      <c r="E119" s="73" t="s">
        <v>152</v>
      </c>
      <c r="F119" s="74">
        <v>1</v>
      </c>
      <c r="G119" s="14" t="s">
        <v>77</v>
      </c>
      <c r="H119" s="14" t="s">
        <v>77</v>
      </c>
      <c r="I119" s="75" t="s">
        <v>407</v>
      </c>
      <c r="J119" s="16" t="s">
        <v>77</v>
      </c>
      <c r="K119" s="16" t="s">
        <v>77</v>
      </c>
      <c r="L119" s="76">
        <v>46356</v>
      </c>
      <c r="M119" s="77"/>
      <c r="N119" s="78">
        <f ca="1">Tabela4[[#This Row],[Prazo
Entrega]]-TODAY()</f>
        <v>146</v>
      </c>
      <c r="O119" s="77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1">
        <v>23</v>
      </c>
      <c r="C120" s="72" t="s">
        <v>77</v>
      </c>
      <c r="D120" s="72" t="s">
        <v>77</v>
      </c>
      <c r="E120" s="73" t="s">
        <v>152</v>
      </c>
      <c r="F120" s="74">
        <v>1</v>
      </c>
      <c r="G120" s="14" t="s">
        <v>77</v>
      </c>
      <c r="H120" s="14" t="s">
        <v>77</v>
      </c>
      <c r="I120" s="75" t="s">
        <v>408</v>
      </c>
      <c r="J120" s="16" t="s">
        <v>77</v>
      </c>
      <c r="K120" s="16" t="s">
        <v>77</v>
      </c>
      <c r="L120" s="76">
        <v>46356</v>
      </c>
      <c r="M120" s="77"/>
      <c r="N120" s="78">
        <f ca="1">Tabela4[[#This Row],[Prazo
Entrega]]-TODAY()</f>
        <v>146</v>
      </c>
      <c r="O120" s="77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1">
        <v>24</v>
      </c>
      <c r="C121" s="72" t="s">
        <v>77</v>
      </c>
      <c r="D121" s="72" t="s">
        <v>77</v>
      </c>
      <c r="E121" s="73" t="s">
        <v>152</v>
      </c>
      <c r="F121" s="74">
        <v>1</v>
      </c>
      <c r="G121" s="14" t="s">
        <v>77</v>
      </c>
      <c r="H121" s="14" t="s">
        <v>77</v>
      </c>
      <c r="I121" s="75" t="s">
        <v>408</v>
      </c>
      <c r="J121" s="16" t="s">
        <v>77</v>
      </c>
      <c r="K121" s="16" t="s">
        <v>77</v>
      </c>
      <c r="L121" s="76">
        <v>46356</v>
      </c>
      <c r="M121" s="77"/>
      <c r="N121" s="78">
        <f ca="1">Tabela4[[#This Row],[Prazo
Entrega]]-TODAY()</f>
        <v>146</v>
      </c>
      <c r="O121" s="77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1">
        <v>25</v>
      </c>
      <c r="C122" s="72" t="s">
        <v>77</v>
      </c>
      <c r="D122" s="72" t="s">
        <v>77</v>
      </c>
      <c r="E122" s="73" t="s">
        <v>152</v>
      </c>
      <c r="F122" s="74">
        <v>1</v>
      </c>
      <c r="G122" s="14" t="s">
        <v>77</v>
      </c>
      <c r="H122" s="14" t="s">
        <v>77</v>
      </c>
      <c r="I122" s="75" t="s">
        <v>408</v>
      </c>
      <c r="J122" s="16" t="s">
        <v>77</v>
      </c>
      <c r="K122" s="16" t="s">
        <v>77</v>
      </c>
      <c r="L122" s="76">
        <v>46356</v>
      </c>
      <c r="M122" s="77"/>
      <c r="N122" s="78">
        <f ca="1">Tabela4[[#This Row],[Prazo
Entrega]]-TODAY()</f>
        <v>146</v>
      </c>
      <c r="O122" s="77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1">
        <v>26</v>
      </c>
      <c r="C123" s="72" t="s">
        <v>77</v>
      </c>
      <c r="D123" s="72" t="s">
        <v>77</v>
      </c>
      <c r="E123" s="73" t="s">
        <v>152</v>
      </c>
      <c r="F123" s="74">
        <v>1</v>
      </c>
      <c r="G123" s="14" t="s">
        <v>77</v>
      </c>
      <c r="H123" s="14" t="s">
        <v>77</v>
      </c>
      <c r="I123" s="75" t="s">
        <v>408</v>
      </c>
      <c r="J123" s="16" t="s">
        <v>77</v>
      </c>
      <c r="K123" s="16" t="s">
        <v>77</v>
      </c>
      <c r="L123" s="76">
        <v>46356</v>
      </c>
      <c r="M123" s="77"/>
      <c r="N123" s="78">
        <f ca="1">Tabela4[[#This Row],[Prazo
Entrega]]-TODAY()</f>
        <v>146</v>
      </c>
      <c r="O123" s="77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1" operator="containsText" text="pronto">
      <formula>NOT(ISERROR(SEARCH("pronto",A30)))</formula>
    </cfRule>
    <cfRule type="containsText" dxfId="40" priority="50" operator="containsText" text="encamisado">
      <formula>NOT(ISERROR(SEARCH("encamisado",A30)))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expression" dxfId="34" priority="31">
      <formula>$P45="s"</formula>
    </cfRule>
    <cfRule type="containsText" dxfId="33" priority="30" operator="containsText" text="pronto">
      <formula>NOT(ISERROR(SEARCH("pronto",C45)))</formula>
    </cfRule>
  </conditionalFormatting>
  <conditionalFormatting sqref="C55:C77">
    <cfRule type="containsText" dxfId="32" priority="26" operator="containsText" text="pronto">
      <formula>NOT(ISERROR(SEARCH("pronto",C55)))</formula>
    </cfRule>
    <cfRule type="expression" dxfId="31" priority="27">
      <formula>$P55="s"</formula>
    </cfRule>
    <cfRule type="containsText" dxfId="30" priority="25" operator="containsText" text="encamisado">
      <formula>NOT(ISERROR(SEARCH("encamisado",C55)))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expression" dxfId="28" priority="49">
      <formula>$P30="s"</formula>
    </cfRule>
    <cfRule type="containsText" dxfId="27" priority="48" operator="containsText" text="pronto">
      <formula>NOT(ISERROR(SEARCH("pronto",D30)))</formula>
    </cfRule>
  </conditionalFormatting>
  <conditionalFormatting sqref="D55:D77">
    <cfRule type="containsText" dxfId="26" priority="22" operator="containsText" text="pronto">
      <formula>NOT(ISERROR(SEARCH("pronto",D55)))</formula>
    </cfRule>
    <cfRule type="containsText" dxfId="25" priority="21" operator="containsText" text="encamisado">
      <formula>NOT(ISERROR(SEARCH("encamisado",D55)))</formula>
    </cfRule>
    <cfRule type="expression" dxfId="24" priority="23">
      <formula>$P55="s"</formula>
    </cfRule>
  </conditionalFormatting>
  <conditionalFormatting sqref="G59:G60 G67">
    <cfRule type="expression" dxfId="23" priority="12">
      <formula>$P59="s"</formula>
    </cfRule>
    <cfRule type="containsText" dxfId="22" priority="10" operator="containsText" text="pronto">
      <formula>NOT(ISERROR(SEARCH("pronto",G59)))</formula>
    </cfRule>
    <cfRule type="containsText" dxfId="21" priority="9" operator="containsText" text="encamisado">
      <formula>NOT(ISERROR(SEARCH("encamisado",G59)))</formula>
    </cfRule>
  </conditionalFormatting>
  <conditionalFormatting sqref="H58 H60 H62 H65:H66 H76">
    <cfRule type="containsText" dxfId="20" priority="14" operator="containsText" text="pronto">
      <formula>NOT(ISERROR(SEARCH("pronto",H58)))</formula>
    </cfRule>
    <cfRule type="expression" dxfId="19" priority="16">
      <formula>$P58="s"</formula>
    </cfRule>
    <cfRule type="containsText" dxfId="18" priority="13" operator="containsText" text="encamisado">
      <formula>NOT(ISERROR(SEARCH("encamisado",H58)))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expression" dxfId="16" priority="43">
      <formula>$P33="s"</formula>
    </cfRule>
    <cfRule type="containsText" dxfId="15" priority="42" operator="containsText" text="pronto">
      <formula>NOT(ISERROR(SEARCH("pronto",N33)))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expression" dxfId="13" priority="7">
      <formula>$P55="s"</formula>
    </cfRule>
    <cfRule type="containsText" dxfId="12" priority="6" operator="containsText" text="pronto">
      <formula>NOT(ISERROR(SEARCH("pronto",N55)))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2" operator="containsText" text="pronto">
      <formula>NOT(ISERROR(SEARCH("pronto",AB55)))</formula>
    </cfRule>
    <cfRule type="expression" dxfId="1" priority="3">
      <formula>$P55="s"</formula>
    </cfRule>
    <cfRule type="containsText" dxfId="0" priority="1" operator="containsText" text="encamisado">
      <formula>NOT(ISERROR(SEARCH("encamisado",AB55)))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tabSelected="1" view="pageBreakPreview" zoomScaleNormal="100" zoomScaleSheetLayoutView="100" workbookViewId="0">
      <selection activeCell="G9" sqref="G9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 t="s">
        <v>420</v>
      </c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 t="s">
        <v>420</v>
      </c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>
        <v>46205</v>
      </c>
      <c r="N4" s="25">
        <v>46209</v>
      </c>
      <c r="O4" s="25">
        <v>46206</v>
      </c>
      <c r="P4" s="25" t="s">
        <v>413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>
        <v>46209</v>
      </c>
      <c r="N5" s="25">
        <v>46210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46219</v>
      </c>
      <c r="H6" s="25">
        <v>46192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414</v>
      </c>
      <c r="Q6" s="23" t="s">
        <v>185</v>
      </c>
      <c r="R6" s="50" t="s">
        <v>416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413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413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413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413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413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413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46219</v>
      </c>
      <c r="H13" s="25">
        <v>46192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 t="s">
        <v>415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421</v>
      </c>
      <c r="D15" s="23" t="s">
        <v>77</v>
      </c>
      <c r="E15" s="24" t="s">
        <v>422</v>
      </c>
      <c r="F15" s="49">
        <v>1</v>
      </c>
      <c r="G15" s="25">
        <v>46216</v>
      </c>
      <c r="H15" s="25" t="s">
        <v>77</v>
      </c>
      <c r="I15" s="25" t="s">
        <v>77</v>
      </c>
      <c r="J15" s="25" t="s">
        <v>77</v>
      </c>
      <c r="K15" s="25" t="s">
        <v>77</v>
      </c>
      <c r="L15" s="27">
        <v>46202</v>
      </c>
      <c r="M15" s="27">
        <v>46202</v>
      </c>
      <c r="N15" s="27">
        <v>46216</v>
      </c>
      <c r="O15" s="27"/>
      <c r="P15" s="25" t="s">
        <v>232</v>
      </c>
      <c r="Q15" s="23" t="s">
        <v>188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208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67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209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413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210</v>
      </c>
      <c r="F18" s="49">
        <v>1</v>
      </c>
      <c r="G18" s="65">
        <v>46218</v>
      </c>
      <c r="H18" s="25">
        <v>46219</v>
      </c>
      <c r="I18" s="25"/>
      <c r="J18" s="68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211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66" t="s">
        <v>212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66" t="s">
        <v>213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66" t="s">
        <v>212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27567</v>
      </c>
      <c r="B25" s="23">
        <v>1</v>
      </c>
      <c r="C25" s="24" t="s">
        <v>417</v>
      </c>
      <c r="D25" s="23">
        <v>112036</v>
      </c>
      <c r="E25" s="24" t="s">
        <v>418</v>
      </c>
      <c r="F25" s="49">
        <v>1</v>
      </c>
      <c r="G25" s="25">
        <v>46237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419</v>
      </c>
      <c r="R25" s="50"/>
    </row>
    <row r="26" spans="1:18" x14ac:dyDescent="0.25">
      <c r="A26" s="23">
        <v>27575</v>
      </c>
      <c r="B26" s="23">
        <v>1</v>
      </c>
      <c r="C26" s="24" t="s">
        <v>179</v>
      </c>
      <c r="D26" s="23">
        <v>774016</v>
      </c>
      <c r="E26" s="24" t="s">
        <v>214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2</v>
      </c>
      <c r="C27" s="24" t="s">
        <v>179</v>
      </c>
      <c r="D27" s="23">
        <v>774016</v>
      </c>
      <c r="E27" s="24" t="s">
        <v>214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3</v>
      </c>
      <c r="C28" s="24" t="s">
        <v>179</v>
      </c>
      <c r="D28" s="23">
        <v>774017</v>
      </c>
      <c r="E28" s="24" t="s">
        <v>215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27575</v>
      </c>
      <c r="B29" s="23">
        <v>4</v>
      </c>
      <c r="C29" s="24" t="s">
        <v>179</v>
      </c>
      <c r="D29" s="23">
        <v>774017</v>
      </c>
      <c r="E29" s="24" t="s">
        <v>215</v>
      </c>
      <c r="F29" s="49">
        <v>1</v>
      </c>
      <c r="G29" s="25">
        <v>46239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190</v>
      </c>
      <c r="R29" s="50"/>
    </row>
    <row r="30" spans="1:18" x14ac:dyDescent="0.25">
      <c r="A30" s="23">
        <v>27524</v>
      </c>
      <c r="B30" s="23">
        <v>1</v>
      </c>
      <c r="C30" s="24" t="s">
        <v>174</v>
      </c>
      <c r="D30" s="23">
        <v>299528</v>
      </c>
      <c r="E30" s="24" t="s">
        <v>216</v>
      </c>
      <c r="F30" s="49">
        <v>1</v>
      </c>
      <c r="G30" s="25">
        <v>46245</v>
      </c>
      <c r="H30" s="25" t="s">
        <v>77</v>
      </c>
      <c r="I30" s="25" t="s">
        <v>77</v>
      </c>
      <c r="J30" s="25" t="s">
        <v>77</v>
      </c>
      <c r="K30" s="25" t="s">
        <v>77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188</v>
      </c>
      <c r="R30" s="50"/>
    </row>
    <row r="31" spans="1:18" x14ac:dyDescent="0.25">
      <c r="A31" s="23">
        <v>27587</v>
      </c>
      <c r="B31" s="23">
        <v>1</v>
      </c>
      <c r="C31" s="24" t="s">
        <v>183</v>
      </c>
      <c r="D31" s="23">
        <v>1608001</v>
      </c>
      <c r="E31" s="24" t="s">
        <v>217</v>
      </c>
      <c r="F31" s="49">
        <v>1</v>
      </c>
      <c r="G31" s="25">
        <v>46246</v>
      </c>
      <c r="H31" s="80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183</v>
      </c>
      <c r="D32" s="23">
        <v>1608002</v>
      </c>
      <c r="E32" s="24" t="s">
        <v>217</v>
      </c>
      <c r="F32" s="49">
        <v>1</v>
      </c>
      <c r="G32" s="25">
        <v>46246</v>
      </c>
      <c r="H32" s="80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183</v>
      </c>
      <c r="D33" s="23">
        <v>1608002</v>
      </c>
      <c r="E33" s="24" t="s">
        <v>217</v>
      </c>
      <c r="F33" s="49">
        <v>1</v>
      </c>
      <c r="G33" s="25">
        <v>46246</v>
      </c>
      <c r="H33" s="80">
        <v>46213</v>
      </c>
      <c r="I33" s="25"/>
      <c r="J33" s="25">
        <v>46226</v>
      </c>
      <c r="K33" s="25"/>
      <c r="L33" s="25" t="s">
        <v>77</v>
      </c>
      <c r="M33" s="25" t="s">
        <v>77</v>
      </c>
      <c r="N33" s="25" t="s">
        <v>77</v>
      </c>
      <c r="O33" s="25" t="s">
        <v>77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184</v>
      </c>
      <c r="D34" s="23">
        <v>1609001</v>
      </c>
      <c r="E34" s="24" t="s">
        <v>218</v>
      </c>
      <c r="F34" s="49">
        <v>1</v>
      </c>
      <c r="G34" s="25">
        <v>46253</v>
      </c>
      <c r="H34" s="80">
        <v>46213</v>
      </c>
      <c r="I34" s="27"/>
      <c r="J34" s="27">
        <v>46228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 t="s">
        <v>191</v>
      </c>
      <c r="R34" s="50"/>
    </row>
    <row r="35" spans="1:18" x14ac:dyDescent="0.25">
      <c r="A35" s="23">
        <v>27599</v>
      </c>
      <c r="B35" s="23">
        <v>1</v>
      </c>
      <c r="C35" s="48" t="s">
        <v>174</v>
      </c>
      <c r="D35" s="23">
        <v>299374</v>
      </c>
      <c r="E35" s="24" t="s">
        <v>219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77</v>
      </c>
      <c r="M35" s="26" t="s">
        <v>77</v>
      </c>
      <c r="N35" s="26" t="s">
        <v>77</v>
      </c>
      <c r="O35" s="26" t="s">
        <v>77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174</v>
      </c>
      <c r="D36" s="23">
        <v>299528</v>
      </c>
      <c r="E36" s="24" t="s">
        <v>216</v>
      </c>
      <c r="F36" s="49">
        <v>1</v>
      </c>
      <c r="G36" s="25">
        <v>46255</v>
      </c>
      <c r="H36" s="26" t="s">
        <v>77</v>
      </c>
      <c r="I36" s="26" t="s">
        <v>77</v>
      </c>
      <c r="J36" s="26" t="s">
        <v>77</v>
      </c>
      <c r="K36" s="26" t="s">
        <v>77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188</v>
      </c>
      <c r="R36" s="50"/>
    </row>
    <row r="37" spans="1:18" x14ac:dyDescent="0.25">
      <c r="A37" s="23">
        <v>27600</v>
      </c>
      <c r="B37" s="23">
        <v>1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46259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182</v>
      </c>
      <c r="D43" s="23" t="s">
        <v>77</v>
      </c>
      <c r="E43" s="24" t="s">
        <v>220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182</v>
      </c>
      <c r="D44" s="23" t="s">
        <v>77</v>
      </c>
      <c r="E44" s="24" t="s">
        <v>221</v>
      </c>
      <c r="F44" s="49">
        <v>1</v>
      </c>
      <c r="G44" s="25">
        <v>46269</v>
      </c>
      <c r="H44" s="27" t="s">
        <v>77</v>
      </c>
      <c r="I44" s="26" t="s">
        <v>77</v>
      </c>
      <c r="J44" s="26" t="s">
        <v>77</v>
      </c>
      <c r="K44" s="26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174</v>
      </c>
      <c r="D45" s="23">
        <v>299208</v>
      </c>
      <c r="E45" s="24" t="s">
        <v>222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77</v>
      </c>
      <c r="M45" s="26" t="s">
        <v>77</v>
      </c>
      <c r="N45" s="26" t="s">
        <v>77</v>
      </c>
      <c r="O45" s="26" t="s">
        <v>77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46279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182</v>
      </c>
      <c r="D52" s="23" t="s">
        <v>77</v>
      </c>
      <c r="E52" s="24" t="s">
        <v>220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182</v>
      </c>
      <c r="D53" s="23" t="s">
        <v>77</v>
      </c>
      <c r="E53" s="24" t="s">
        <v>221</v>
      </c>
      <c r="F53" s="49">
        <v>1</v>
      </c>
      <c r="G53" s="25">
        <v>46289</v>
      </c>
      <c r="H53" s="27" t="s">
        <v>77</v>
      </c>
      <c r="I53" s="27" t="s">
        <v>77</v>
      </c>
      <c r="J53" s="26" t="s">
        <v>77</v>
      </c>
      <c r="K53" s="27" t="s">
        <v>77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174</v>
      </c>
      <c r="D54" s="23">
        <v>299303</v>
      </c>
      <c r="E54" s="24" t="s">
        <v>223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77</v>
      </c>
      <c r="M54" s="26" t="s">
        <v>77</v>
      </c>
      <c r="N54" s="26" t="s">
        <v>77</v>
      </c>
      <c r="O54" s="26" t="s">
        <v>77</v>
      </c>
      <c r="P54" s="25" t="s">
        <v>61</v>
      </c>
      <c r="Q54" s="26">
        <v>496</v>
      </c>
      <c r="R54" s="50"/>
    </row>
  </sheetData>
  <autoFilter ref="A1:N54" xr:uid="{276B14C1-1A52-4B27-91DF-D329FDD63C7A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2026-07-07T14:49:59Z</dcterms:modified>
</cp:coreProperties>
</file>