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D4E3322A-027C-4F28-A992-5E73AF1FA378}" xr6:coauthVersionLast="47" xr6:coauthVersionMax="47" xr10:uidLastSave="{00000000-0000-0000-0000-000000000000}"/>
  <bookViews>
    <workbookView xWindow="-120" yWindow="-120" windowWidth="29040" windowHeight="15720" activeTab="3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54" i="9" l="1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<sst xmlns="http://schemas.openxmlformats.org/spreadsheetml/2006/main" count="14447" uniqueCount="695">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</sst>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" fontId="0" fillId="0" borderId="3" xfId="0" applyNumberFormat="1" applyFont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1" fontId="0" fillId="0" borderId="4" xfId="0" applyNumberFormat="1" applyFont="1" applyBorder="1" applyAlignment="1">
      <alignment horizontal="center" vertical="center"/>
    </xf>
    <xf numFmtId="0" fontId="0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NumberFormat="1" applyFont="1"/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  <xf numFmtId="0" fontId="20" fillId="0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199" dataDxfId="198">
  <autoFilter ref="A1:AD126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7" dataDxfId="166">
  <autoFilter ref="A1:W214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2" dataDxfId="141">
  <autoFilter ref="A1:Y56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15" dataDxfId="114">
  <autoFilter ref="A1:U97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92" dataDxfId="91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72" dataDxfId="71">
  <autoFilter ref="A1:AB263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224" dataDxfId="223">
  <autoFilter ref="A1:W167" xr:uid="{08F50CE1-35A6-4ABA-9594-79B9C39908E8}"/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view="pageBreakPreview" topLeftCell="A94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-10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-10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-10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-10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-3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-3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-3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-3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-3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11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11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-3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-3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-3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-3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-3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-3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-3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11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11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-2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-2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I121" s="118"/>
      <c r="J121" s="14">
        <v>46329</v>
      </c>
      <c r="K121" s="14"/>
      <c r="L121" s="37">
        <f ca="1">Tabela1[[#This Row],[Prazo
Entrega]]-TODAY()</f>
        <v>92</v>
      </c>
      <c r="M121" s="37" t="str">
        <f ca="1">IF(L121&lt;0,"ATRASADO",IF(L121&lt;=15,"ATENÇÃO","NO PRAZO"))</f>
        <v>NO PRAZO</v>
      </c>
      <c r="N121" s="8" t="s">
        <v>32</v>
      </c>
      <c r="O121" s="119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120" t="str">
        <f>IF(I121="","AG. FUNDIDO",IF(Q121="AG","AG. USINAGEM","EM USINAGEM"))</f>
        <v>AG. FUNDIDO</v>
      </c>
      <c r="Y121" s="118"/>
      <c r="Z121" s="121"/>
      <c r="AA121" s="122"/>
      <c r="AB121" s="122"/>
      <c r="AC121" s="122"/>
      <c r="AD121" s="123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I122" s="118"/>
      <c r="J122" s="14">
        <v>46329</v>
      </c>
      <c r="K122" s="14"/>
      <c r="L122" s="37">
        <f ca="1">Tabela1[[#This Row],[Prazo
Entrega]]-TODAY()</f>
        <v>92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119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120" t="str">
        <f t="shared" ref="X122:X126" si="10">IF(I122="","AG. FUNDIDO",IF(Q122="AG","AG. USINAGEM","EM USINAGEM"))</f>
        <v>AG. FUNDIDO</v>
      </c>
      <c r="Y122" s="118"/>
      <c r="Z122" s="121"/>
      <c r="AA122" s="122"/>
      <c r="AB122" s="122"/>
      <c r="AC122" s="122"/>
      <c r="AD122" s="123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I123" s="118"/>
      <c r="J123" s="14">
        <v>46329</v>
      </c>
      <c r="K123" s="14"/>
      <c r="L123" s="37">
        <f ca="1">Tabela1[[#This Row],[Prazo
Entrega]]-TODAY()</f>
        <v>92</v>
      </c>
      <c r="M123" s="37" t="str">
        <f t="shared" ca="1" si="9"/>
        <v>NO PRAZO</v>
      </c>
      <c r="N123" s="8" t="s">
        <v>32</v>
      </c>
      <c r="O123" s="119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120" t="str">
        <f t="shared" si="10"/>
        <v>AG. FUNDIDO</v>
      </c>
      <c r="Y123" s="118"/>
      <c r="Z123" s="121"/>
      <c r="AA123" s="122"/>
      <c r="AB123" s="122"/>
      <c r="AC123" s="122"/>
      <c r="AD123" s="123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I124" s="118"/>
      <c r="J124" s="14">
        <v>46329</v>
      </c>
      <c r="K124" s="14"/>
      <c r="L124" s="37">
        <f ca="1">Tabela1[[#This Row],[Prazo
Entrega]]-TODAY()</f>
        <v>92</v>
      </c>
      <c r="M124" s="37" t="str">
        <f t="shared" ca="1" si="9"/>
        <v>NO PRAZO</v>
      </c>
      <c r="N124" s="8" t="s">
        <v>32</v>
      </c>
      <c r="O124" s="119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120" t="str">
        <f t="shared" si="10"/>
        <v>AG. FUNDIDO</v>
      </c>
      <c r="Y124" s="118"/>
      <c r="Z124" s="121"/>
      <c r="AA124" s="122"/>
      <c r="AB124" s="122"/>
      <c r="AC124" s="122"/>
      <c r="AD124" s="123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I125" s="118"/>
      <c r="J125" s="14">
        <v>46329</v>
      </c>
      <c r="K125" s="14"/>
      <c r="L125" s="37">
        <f ca="1">Tabela1[[#This Row],[Prazo
Entrega]]-TODAY()</f>
        <v>92</v>
      </c>
      <c r="M125" s="37" t="str">
        <f t="shared" ca="1" si="9"/>
        <v>NO PRAZO</v>
      </c>
      <c r="N125" s="8" t="s">
        <v>32</v>
      </c>
      <c r="O125" s="119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120" t="str">
        <f t="shared" si="10"/>
        <v>AG. FUNDIDO</v>
      </c>
      <c r="Y125" s="118"/>
      <c r="Z125" s="121"/>
      <c r="AA125" s="122"/>
      <c r="AB125" s="122"/>
      <c r="AC125" s="122"/>
      <c r="AD125" s="123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I126" s="118"/>
      <c r="J126" s="14">
        <v>46329</v>
      </c>
      <c r="K126" s="14"/>
      <c r="L126" s="37">
        <f ca="1">Tabela1[[#This Row],[Prazo
Entrega]]-TODAY()</f>
        <v>92</v>
      </c>
      <c r="M126" s="37" t="str">
        <f t="shared" ca="1" si="9"/>
        <v>NO PRAZO</v>
      </c>
      <c r="N126" s="8" t="s">
        <v>32</v>
      </c>
      <c r="O126" s="119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120" t="str">
        <f t="shared" si="10"/>
        <v>AG. FUNDIDO</v>
      </c>
      <c r="Y126" s="118"/>
      <c r="Z126" s="121"/>
      <c r="AA126" s="122"/>
      <c r="AB126" s="122"/>
      <c r="AC126" s="122"/>
      <c r="AD126" s="123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V154" sqref="V154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11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11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11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11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11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29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29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29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29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29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29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29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29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29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29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29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29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39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39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39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39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39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39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39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39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39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39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39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39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39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39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39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49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49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49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49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49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49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49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49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49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49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49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49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49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49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29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29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29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59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59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59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59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59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59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59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59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59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88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88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88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88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88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88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88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88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88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88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88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88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88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88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88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88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88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88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88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88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88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88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88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88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88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88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88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88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88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88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88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88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88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88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88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88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88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88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88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-17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-17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-17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-17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-17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-4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11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11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-4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-4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11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11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-4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-4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-4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-4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-4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-4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-4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-4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11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-4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-4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11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11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488</v>
      </c>
      <c r="R157" s="96" t="s">
        <v>489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4</v>
      </c>
      <c r="O158" s="8" t="str">
        <f t="shared" ca="1" si="7"/>
        <v>ATENÇÃO</v>
      </c>
      <c r="P158" s="8" t="s">
        <v>69</v>
      </c>
      <c r="Q158" s="96" t="s">
        <v>488</v>
      </c>
      <c r="R158" s="96" t="s">
        <v>489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4</v>
      </c>
      <c r="O159" s="8" t="str">
        <f t="shared" ca="1" si="7"/>
        <v>ATENÇÃO</v>
      </c>
      <c r="P159" s="8" t="s">
        <v>69</v>
      </c>
      <c r="Q159" s="96" t="s">
        <v>488</v>
      </c>
      <c r="R159" s="96" t="s">
        <v>489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4</v>
      </c>
      <c r="O160" s="8" t="str">
        <f t="shared" ca="1" si="7"/>
        <v>ATENÇÃO</v>
      </c>
      <c r="P160" s="8" t="s">
        <v>69</v>
      </c>
      <c r="Q160" s="96" t="s">
        <v>488</v>
      </c>
      <c r="R160" s="96" t="s">
        <v>489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4</v>
      </c>
      <c r="O161" s="8" t="str">
        <f t="shared" ca="1" si="7"/>
        <v>ATENÇÃO</v>
      </c>
      <c r="P161" s="8" t="s">
        <v>69</v>
      </c>
      <c r="Q161" s="96" t="s">
        <v>488</v>
      </c>
      <c r="R161" s="96" t="s">
        <v>489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4</v>
      </c>
      <c r="O162" s="8" t="str">
        <f t="shared" ca="1" si="7"/>
        <v>ATENÇÃO</v>
      </c>
      <c r="P162" s="8" t="s">
        <v>69</v>
      </c>
      <c r="Q162" s="96" t="s">
        <v>488</v>
      </c>
      <c r="R162" s="96" t="s">
        <v>489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4</v>
      </c>
      <c r="O163" s="8" t="str">
        <f t="shared" ca="1" si="7"/>
        <v>ATENÇÃO</v>
      </c>
      <c r="P163" s="8" t="s">
        <v>69</v>
      </c>
      <c r="Q163" s="96" t="s">
        <v>488</v>
      </c>
      <c r="R163" s="96" t="s">
        <v>489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11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11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11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11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149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149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149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149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149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149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149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149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149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149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149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149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149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149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149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149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149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149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149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149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149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149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149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149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149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149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149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149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149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149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hidden="1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3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hidden="1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3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hidden="1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3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hidden="1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3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hidden="1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3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hidden="1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0</v>
      </c>
      <c r="O204" s="8" t="str">
        <f ca="1">IF(N204&lt;0,"ATRASADO",IF(N204&lt;=15,"ATENÇÃO","NO PRAZO"))</f>
        <v>ATENÇÃO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hidden="1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0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hidden="1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0</v>
      </c>
      <c r="O206" s="8" t="str">
        <f t="shared" ca="1" si="11"/>
        <v>ATENÇÃO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hidden="1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0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hidden="1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0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hidden="1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0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hidden="1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0</v>
      </c>
      <c r="O210" s="8" t="str">
        <f t="shared" ca="1" si="11"/>
        <v>ATENÇÃO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hidden="1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0</v>
      </c>
      <c r="O211" s="8" t="str">
        <f t="shared" ca="1" si="11"/>
        <v>ATENÇÃO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hidden="1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0</v>
      </c>
      <c r="O212" s="8" t="str">
        <f t="shared" ca="1" si="11"/>
        <v>ATENÇÃO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hidden="1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0</v>
      </c>
      <c r="O213" s="8" t="str">
        <f t="shared" ca="1" si="11"/>
        <v>ATENÇÃO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hidden="1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0</v>
      </c>
      <c r="O214" s="8" t="str">
        <f t="shared" ca="1" si="11"/>
        <v>ATENÇÃO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abSelected="1" topLeftCell="A60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8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8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8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8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I148" s="124"/>
      <c r="J148" s="7">
        <v>46342</v>
      </c>
      <c r="K148" s="124"/>
      <c r="L148" s="125">
        <f ca="1">Tabela4[[#This Row],[Prazo
Entrega]]-TODAY()</f>
        <v>105</v>
      </c>
      <c r="M148" s="126" t="str">
        <f ca="1">IF(L148&lt;0,"ATRASADO",IF(L148&lt;=15,"ATENÇÃO","NO PRAZO"))</f>
        <v>NO PRAZO</v>
      </c>
      <c r="N148" s="14" t="s">
        <v>63</v>
      </c>
      <c r="O148" s="128">
        <v>46290</v>
      </c>
      <c r="P148" s="127" t="s">
        <v>75</v>
      </c>
      <c r="Q148" t="s">
        <v>48</v>
      </c>
      <c r="R148" s="124"/>
    </row>
    <row r="149" spans="1:18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K149" s="124"/>
      <c r="L149" s="125">
        <f ca="1">Tabela4[[#This Row],[Prazo
Entrega]]-TODAY()</f>
        <v>105</v>
      </c>
      <c r="M149" s="126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  <c r="R149" s="124"/>
    </row>
    <row r="150" spans="1:18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K150" s="124"/>
      <c r="L150" s="125">
        <f ca="1">Tabela4[[#This Row],[Prazo
Entrega]]-TODAY()</f>
        <v>105</v>
      </c>
      <c r="M150" s="126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  <c r="R150" s="124"/>
    </row>
    <row r="151" spans="1:18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K151" s="124"/>
      <c r="L151" s="125">
        <f ca="1">Tabela4[[#This Row],[Prazo
Entrega]]-TODAY()</f>
        <v>105</v>
      </c>
      <c r="M151" s="126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  <c r="R151" s="124"/>
    </row>
    <row r="152" spans="1:18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K152" s="124"/>
      <c r="L152" s="125">
        <f ca="1">Tabela4[[#This Row],[Prazo
Entrega]]-TODAY()</f>
        <v>105</v>
      </c>
      <c r="M152" s="126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  <c r="R152" s="124"/>
    </row>
    <row r="153" spans="1:18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K153" s="124"/>
      <c r="L153" s="125">
        <f ca="1">Tabela4[[#This Row],[Prazo
Entrega]]-TODAY()</f>
        <v>105</v>
      </c>
      <c r="M153" s="126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  <c r="R153" s="124"/>
    </row>
    <row r="154" spans="1:18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K154" s="124"/>
      <c r="L154" s="125">
        <f ca="1">Tabela4[[#This Row],[Prazo
Entrega]]-TODAY()</f>
        <v>105</v>
      </c>
      <c r="M154" s="126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  <c r="R154" s="12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A106" zoomScale="90" zoomScaleNormal="90" workbookViewId="0">
      <selection activeCell="I244" sqref="I244:I26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>
      <c r="A244" s="129">
        <v>1055</v>
      </c>
      <c r="B244" s="51" t="s">
        <v>63</v>
      </c>
      <c r="C244" s="129" t="s">
        <v>679</v>
      </c>
      <c r="D244" s="129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129" t="s">
        <v>205</v>
      </c>
      <c r="L244" s="51">
        <v>60</v>
      </c>
      <c r="M244" s="51" t="s">
        <v>63</v>
      </c>
      <c r="N244" s="51" t="s">
        <v>63</v>
      </c>
      <c r="O244" s="130">
        <v>46290</v>
      </c>
      <c r="P244" s="130">
        <v>46264</v>
      </c>
      <c r="Q244" s="51" t="s">
        <v>58</v>
      </c>
      <c r="R244" s="129" t="s">
        <v>365</v>
      </c>
      <c r="S244" s="129" t="s">
        <v>221</v>
      </c>
      <c r="T244" s="129" t="s">
        <v>220</v>
      </c>
      <c r="U244" s="129" t="s">
        <v>224</v>
      </c>
      <c r="V244" s="51"/>
      <c r="W244" s="51"/>
      <c r="X244" s="51"/>
      <c r="Y244" s="51"/>
      <c r="Z244" s="51"/>
      <c r="AA244" s="129" t="s">
        <v>196</v>
      </c>
      <c r="AB244" s="129"/>
    </row>
    <row r="245" spans="1:28" ht="20.100000000000001" customHeight="1" x14ac:dyDescent="0.25">
      <c r="A245" s="129">
        <v>1055</v>
      </c>
      <c r="B245" s="51" t="s">
        <v>63</v>
      </c>
      <c r="C245" s="129" t="s">
        <v>679</v>
      </c>
      <c r="D245" s="129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129" t="s">
        <v>193</v>
      </c>
      <c r="L245" s="51">
        <v>61</v>
      </c>
      <c r="M245" s="130">
        <v>46282</v>
      </c>
      <c r="N245" s="51" t="s">
        <v>63</v>
      </c>
      <c r="O245" s="130">
        <v>46304</v>
      </c>
      <c r="P245" s="130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129"/>
    </row>
    <row r="246" spans="1:28" ht="20.100000000000001" customHeight="1" x14ac:dyDescent="0.25">
      <c r="A246" s="129">
        <v>1055</v>
      </c>
      <c r="B246" s="51" t="s">
        <v>63</v>
      </c>
      <c r="C246" s="129" t="s">
        <v>679</v>
      </c>
      <c r="D246" s="129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129" t="s">
        <v>193</v>
      </c>
      <c r="L246" s="51" t="s">
        <v>686</v>
      </c>
      <c r="M246" s="130">
        <v>46282</v>
      </c>
      <c r="N246" s="51" t="s">
        <v>63</v>
      </c>
      <c r="O246" s="130">
        <v>46411</v>
      </c>
      <c r="P246" s="130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129"/>
    </row>
    <row r="247" spans="1:28" ht="20.100000000000001" customHeight="1" x14ac:dyDescent="0.25">
      <c r="A247" s="129">
        <v>1055</v>
      </c>
      <c r="B247" s="51" t="s">
        <v>63</v>
      </c>
      <c r="C247" s="129" t="s">
        <v>679</v>
      </c>
      <c r="D247" s="129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129" t="s">
        <v>205</v>
      </c>
      <c r="L247" s="51">
        <v>58</v>
      </c>
      <c r="M247" s="51" t="s">
        <v>63</v>
      </c>
      <c r="N247" s="51" t="s">
        <v>63</v>
      </c>
      <c r="O247" s="130">
        <v>46417</v>
      </c>
      <c r="P247" s="130">
        <v>46264</v>
      </c>
      <c r="Q247" s="51" t="s">
        <v>58</v>
      </c>
      <c r="R247" s="129" t="s">
        <v>365</v>
      </c>
      <c r="S247" s="129" t="s">
        <v>221</v>
      </c>
      <c r="T247" s="129" t="s">
        <v>220</v>
      </c>
      <c r="U247" s="129" t="s">
        <v>224</v>
      </c>
      <c r="V247" s="51"/>
      <c r="W247" s="51"/>
      <c r="X247" s="51"/>
      <c r="Y247" s="51"/>
      <c r="Z247" s="51"/>
      <c r="AA247" s="129" t="s">
        <v>196</v>
      </c>
      <c r="AB247" s="129"/>
    </row>
    <row r="248" spans="1:28" ht="20.100000000000001" customHeight="1" x14ac:dyDescent="0.25">
      <c r="A248" s="129">
        <v>1055</v>
      </c>
      <c r="B248" s="51" t="s">
        <v>63</v>
      </c>
      <c r="C248" s="129" t="s">
        <v>679</v>
      </c>
      <c r="D248" s="129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129" t="s">
        <v>205</v>
      </c>
      <c r="L248" s="51">
        <v>2</v>
      </c>
      <c r="M248" s="51" t="s">
        <v>63</v>
      </c>
      <c r="N248" s="51" t="s">
        <v>63</v>
      </c>
      <c r="O248" s="130">
        <v>46290</v>
      </c>
      <c r="P248" s="130">
        <v>46264</v>
      </c>
      <c r="Q248" s="51" t="s">
        <v>58</v>
      </c>
      <c r="R248" s="129" t="s">
        <v>365</v>
      </c>
      <c r="S248" s="129" t="s">
        <v>221</v>
      </c>
      <c r="T248" s="129" t="s">
        <v>220</v>
      </c>
      <c r="U248" s="129" t="s">
        <v>224</v>
      </c>
      <c r="V248" s="51"/>
      <c r="W248" s="51"/>
      <c r="X248" s="51"/>
      <c r="Y248" s="51"/>
      <c r="Z248" s="51"/>
      <c r="AA248" s="129" t="s">
        <v>196</v>
      </c>
      <c r="AB248" s="129"/>
    </row>
    <row r="249" spans="1:28" ht="20.100000000000001" customHeight="1" x14ac:dyDescent="0.25">
      <c r="A249" s="129">
        <v>1055</v>
      </c>
      <c r="B249" s="51" t="s">
        <v>63</v>
      </c>
      <c r="C249" s="129" t="s">
        <v>679</v>
      </c>
      <c r="D249" s="129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129" t="s">
        <v>193</v>
      </c>
      <c r="L249" s="51">
        <v>20</v>
      </c>
      <c r="M249" s="130">
        <v>46282</v>
      </c>
      <c r="N249" s="51" t="s">
        <v>63</v>
      </c>
      <c r="O249" s="130">
        <v>46311</v>
      </c>
      <c r="P249" s="130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129"/>
    </row>
    <row r="250" spans="1:28" ht="20.100000000000001" customHeight="1" x14ac:dyDescent="0.25">
      <c r="A250" s="129">
        <v>1055</v>
      </c>
      <c r="B250" s="51" t="s">
        <v>63</v>
      </c>
      <c r="C250" s="129" t="s">
        <v>679</v>
      </c>
      <c r="D250" s="129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129" t="s">
        <v>193</v>
      </c>
      <c r="L250" s="51" t="s">
        <v>687</v>
      </c>
      <c r="M250" s="130">
        <v>46282</v>
      </c>
      <c r="N250" s="51" t="s">
        <v>63</v>
      </c>
      <c r="O250" s="130">
        <v>46415</v>
      </c>
      <c r="P250" s="130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129"/>
    </row>
    <row r="251" spans="1:28" ht="20.100000000000001" customHeight="1" x14ac:dyDescent="0.25">
      <c r="A251" s="129">
        <v>1055</v>
      </c>
      <c r="B251" s="51" t="s">
        <v>63</v>
      </c>
      <c r="C251" s="129" t="s">
        <v>679</v>
      </c>
      <c r="D251" s="129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129" t="s">
        <v>205</v>
      </c>
      <c r="L251" s="51">
        <v>19</v>
      </c>
      <c r="M251" s="51" t="s">
        <v>63</v>
      </c>
      <c r="N251" s="51" t="s">
        <v>63</v>
      </c>
      <c r="O251" s="130">
        <v>46419</v>
      </c>
      <c r="P251" s="130">
        <v>46264</v>
      </c>
      <c r="Q251" s="51" t="s">
        <v>58</v>
      </c>
      <c r="R251" s="129" t="s">
        <v>365</v>
      </c>
      <c r="S251" s="129" t="s">
        <v>221</v>
      </c>
      <c r="T251" s="129" t="s">
        <v>220</v>
      </c>
      <c r="U251" s="129" t="s">
        <v>224</v>
      </c>
      <c r="V251" s="51"/>
      <c r="W251" s="51"/>
      <c r="X251" s="51"/>
      <c r="Y251" s="51"/>
      <c r="Z251" s="51"/>
      <c r="AA251" s="129" t="s">
        <v>196</v>
      </c>
      <c r="AB251" s="129"/>
    </row>
    <row r="252" spans="1:28" ht="20.100000000000001" customHeight="1" x14ac:dyDescent="0.25">
      <c r="A252" s="129">
        <v>1055</v>
      </c>
      <c r="B252" s="51" t="s">
        <v>63</v>
      </c>
      <c r="C252" s="129" t="s">
        <v>679</v>
      </c>
      <c r="D252" s="129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129" t="s">
        <v>205</v>
      </c>
      <c r="L252" s="51">
        <v>16</v>
      </c>
      <c r="M252" s="51" t="s">
        <v>63</v>
      </c>
      <c r="N252" s="51" t="s">
        <v>63</v>
      </c>
      <c r="O252" s="130">
        <v>46297</v>
      </c>
      <c r="P252" s="130">
        <v>46264</v>
      </c>
      <c r="Q252" s="51" t="s">
        <v>58</v>
      </c>
      <c r="R252" s="129" t="s">
        <v>365</v>
      </c>
      <c r="S252" s="129" t="s">
        <v>221</v>
      </c>
      <c r="T252" s="129" t="s">
        <v>220</v>
      </c>
      <c r="U252" s="129" t="s">
        <v>224</v>
      </c>
      <c r="V252" s="51"/>
      <c r="W252" s="51"/>
      <c r="X252" s="51"/>
      <c r="Y252" s="51"/>
      <c r="Z252" s="51"/>
      <c r="AA252" s="129" t="s">
        <v>196</v>
      </c>
      <c r="AB252" s="129"/>
    </row>
    <row r="253" spans="1:28" ht="20.100000000000001" customHeight="1" x14ac:dyDescent="0.25">
      <c r="A253" s="129">
        <v>1055</v>
      </c>
      <c r="B253" s="51" t="s">
        <v>63</v>
      </c>
      <c r="C253" s="129" t="s">
        <v>679</v>
      </c>
      <c r="D253" s="129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129" t="s">
        <v>193</v>
      </c>
      <c r="L253" s="51">
        <v>5</v>
      </c>
      <c r="M253" s="130">
        <v>46282</v>
      </c>
      <c r="N253" s="51" t="s">
        <v>63</v>
      </c>
      <c r="O253" s="130">
        <v>46311</v>
      </c>
      <c r="P253" s="130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129"/>
    </row>
    <row r="254" spans="1:28" ht="20.100000000000001" customHeight="1" x14ac:dyDescent="0.25">
      <c r="A254" s="129">
        <v>1055</v>
      </c>
      <c r="B254" s="51" t="s">
        <v>63</v>
      </c>
      <c r="C254" s="129" t="s">
        <v>679</v>
      </c>
      <c r="D254" s="129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129" t="s">
        <v>205</v>
      </c>
      <c r="L254" s="51">
        <v>18</v>
      </c>
      <c r="M254" s="51" t="s">
        <v>63</v>
      </c>
      <c r="N254" s="51" t="s">
        <v>63</v>
      </c>
      <c r="O254" s="130">
        <v>46422</v>
      </c>
      <c r="P254" s="130">
        <v>46264</v>
      </c>
      <c r="Q254" s="51" t="s">
        <v>58</v>
      </c>
      <c r="R254" s="129" t="s">
        <v>365</v>
      </c>
      <c r="S254" s="129" t="s">
        <v>221</v>
      </c>
      <c r="T254" s="129" t="s">
        <v>220</v>
      </c>
      <c r="U254" s="129" t="s">
        <v>224</v>
      </c>
      <c r="V254" s="51"/>
      <c r="W254" s="51"/>
      <c r="X254" s="51"/>
      <c r="Y254" s="51"/>
      <c r="Z254" s="51"/>
      <c r="AA254" s="129" t="s">
        <v>196</v>
      </c>
      <c r="AB254" s="129"/>
    </row>
    <row r="255" spans="1:28" ht="20.100000000000001" customHeight="1" x14ac:dyDescent="0.25">
      <c r="A255" s="129">
        <v>1055</v>
      </c>
      <c r="B255" s="51" t="s">
        <v>63</v>
      </c>
      <c r="C255" s="129" t="s">
        <v>679</v>
      </c>
      <c r="D255" s="129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129" t="s">
        <v>205</v>
      </c>
      <c r="L255" s="51">
        <v>17</v>
      </c>
      <c r="M255" s="51" t="s">
        <v>63</v>
      </c>
      <c r="N255" s="51" t="s">
        <v>63</v>
      </c>
      <c r="O255" s="130">
        <v>46297</v>
      </c>
      <c r="P255" s="130">
        <v>46264</v>
      </c>
      <c r="Q255" s="51" t="s">
        <v>58</v>
      </c>
      <c r="R255" s="129" t="s">
        <v>365</v>
      </c>
      <c r="S255" s="129" t="s">
        <v>221</v>
      </c>
      <c r="T255" s="129" t="s">
        <v>220</v>
      </c>
      <c r="U255" s="129" t="s">
        <v>224</v>
      </c>
      <c r="V255" s="51"/>
      <c r="W255" s="51"/>
      <c r="X255" s="51"/>
      <c r="Y255" s="51"/>
      <c r="Z255" s="51"/>
      <c r="AA255" s="129" t="s">
        <v>196</v>
      </c>
      <c r="AB255" s="129"/>
    </row>
    <row r="256" spans="1:28" ht="20.100000000000001" customHeight="1" x14ac:dyDescent="0.25">
      <c r="A256" s="129">
        <v>1055</v>
      </c>
      <c r="B256" s="51" t="s">
        <v>63</v>
      </c>
      <c r="C256" s="129" t="s">
        <v>679</v>
      </c>
      <c r="D256" s="129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129" t="s">
        <v>193</v>
      </c>
      <c r="L256" s="51">
        <v>10</v>
      </c>
      <c r="M256" s="130">
        <v>46282</v>
      </c>
      <c r="N256" s="51" t="s">
        <v>63</v>
      </c>
      <c r="O256" s="130">
        <v>46318</v>
      </c>
      <c r="P256" s="130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129"/>
    </row>
    <row r="257" spans="1:28" ht="20.100000000000001" customHeight="1" x14ac:dyDescent="0.25">
      <c r="A257" s="129">
        <v>1055</v>
      </c>
      <c r="B257" s="51" t="s">
        <v>63</v>
      </c>
      <c r="C257" s="129" t="s">
        <v>679</v>
      </c>
      <c r="D257" s="129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129" t="s">
        <v>205</v>
      </c>
      <c r="L257" s="51">
        <v>4</v>
      </c>
      <c r="M257" s="51" t="s">
        <v>63</v>
      </c>
      <c r="N257" s="51" t="s">
        <v>63</v>
      </c>
      <c r="O257" s="130">
        <v>46424</v>
      </c>
      <c r="P257" s="130">
        <v>46264</v>
      </c>
      <c r="Q257" s="51" t="s">
        <v>58</v>
      </c>
      <c r="R257" s="129" t="s">
        <v>365</v>
      </c>
      <c r="S257" s="129" t="s">
        <v>221</v>
      </c>
      <c r="T257" s="129" t="s">
        <v>220</v>
      </c>
      <c r="U257" s="129" t="s">
        <v>224</v>
      </c>
      <c r="V257" s="51"/>
      <c r="W257" s="51"/>
      <c r="X257" s="51"/>
      <c r="Y257" s="51"/>
      <c r="Z257" s="51"/>
      <c r="AA257" s="129" t="s">
        <v>196</v>
      </c>
      <c r="AB257" s="129"/>
    </row>
    <row r="258" spans="1:28" ht="20.100000000000001" customHeight="1" x14ac:dyDescent="0.25">
      <c r="A258" s="129">
        <v>1055</v>
      </c>
      <c r="B258" s="51" t="s">
        <v>63</v>
      </c>
      <c r="C258" s="129" t="s">
        <v>679</v>
      </c>
      <c r="D258" s="129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129" t="s">
        <v>205</v>
      </c>
      <c r="L258" s="51">
        <v>21</v>
      </c>
      <c r="M258" s="51" t="s">
        <v>63</v>
      </c>
      <c r="N258" s="51" t="s">
        <v>63</v>
      </c>
      <c r="O258" s="130">
        <v>46304</v>
      </c>
      <c r="P258" s="130">
        <v>46264</v>
      </c>
      <c r="Q258" s="51" t="s">
        <v>58</v>
      </c>
      <c r="R258" s="129" t="s">
        <v>365</v>
      </c>
      <c r="S258" s="129" t="s">
        <v>221</v>
      </c>
      <c r="T258" s="129" t="s">
        <v>220</v>
      </c>
      <c r="U258" s="129" t="s">
        <v>224</v>
      </c>
      <c r="V258" s="51"/>
      <c r="W258" s="51"/>
      <c r="X258" s="51"/>
      <c r="Y258" s="51"/>
      <c r="Z258" s="51"/>
      <c r="AA258" s="129" t="s">
        <v>196</v>
      </c>
      <c r="AB258" s="129"/>
    </row>
    <row r="259" spans="1:28" ht="20.100000000000001" customHeight="1" x14ac:dyDescent="0.25">
      <c r="A259" s="129">
        <v>1055</v>
      </c>
      <c r="B259" s="51" t="s">
        <v>63</v>
      </c>
      <c r="C259" s="129" t="s">
        <v>679</v>
      </c>
      <c r="D259" s="129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129" t="s">
        <v>193</v>
      </c>
      <c r="L259" s="51">
        <v>23</v>
      </c>
      <c r="M259" s="130">
        <v>46282</v>
      </c>
      <c r="N259" s="51" t="s">
        <v>63</v>
      </c>
      <c r="O259" s="130">
        <v>46318</v>
      </c>
      <c r="P259" s="130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129"/>
    </row>
    <row r="260" spans="1:28" ht="20.100000000000001" customHeight="1" x14ac:dyDescent="0.25">
      <c r="A260" s="129">
        <v>1055</v>
      </c>
      <c r="B260" s="51" t="s">
        <v>63</v>
      </c>
      <c r="C260" s="129" t="s">
        <v>679</v>
      </c>
      <c r="D260" s="129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129" t="s">
        <v>205</v>
      </c>
      <c r="L260" s="51">
        <v>12</v>
      </c>
      <c r="M260" s="51" t="s">
        <v>63</v>
      </c>
      <c r="N260" s="51" t="s">
        <v>63</v>
      </c>
      <c r="O260" s="130">
        <v>46426</v>
      </c>
      <c r="P260" s="130">
        <v>46264</v>
      </c>
      <c r="Q260" s="51" t="s">
        <v>58</v>
      </c>
      <c r="R260" s="129" t="s">
        <v>365</v>
      </c>
      <c r="S260" s="129" t="s">
        <v>221</v>
      </c>
      <c r="T260" s="129" t="s">
        <v>220</v>
      </c>
      <c r="U260" s="129" t="s">
        <v>224</v>
      </c>
      <c r="V260" s="51"/>
      <c r="W260" s="51"/>
      <c r="X260" s="51"/>
      <c r="Y260" s="51"/>
      <c r="Z260" s="51"/>
      <c r="AA260" s="129" t="s">
        <v>196</v>
      </c>
      <c r="AB260" s="129"/>
    </row>
    <row r="261" spans="1:28" ht="20.100000000000001" customHeight="1" x14ac:dyDescent="0.25">
      <c r="A261" s="129">
        <v>1055</v>
      </c>
      <c r="B261" s="51" t="s">
        <v>63</v>
      </c>
      <c r="C261" s="129" t="s">
        <v>679</v>
      </c>
      <c r="D261" s="129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129" t="s">
        <v>205</v>
      </c>
      <c r="L261" s="51">
        <v>54</v>
      </c>
      <c r="M261" s="51" t="s">
        <v>63</v>
      </c>
      <c r="N261" s="51" t="s">
        <v>63</v>
      </c>
      <c r="O261" s="130">
        <v>46406</v>
      </c>
      <c r="P261" s="130">
        <v>46264</v>
      </c>
      <c r="Q261" s="51" t="s">
        <v>58</v>
      </c>
      <c r="R261" s="129" t="s">
        <v>365</v>
      </c>
      <c r="S261" s="129" t="s">
        <v>221</v>
      </c>
      <c r="T261" s="129" t="s">
        <v>220</v>
      </c>
      <c r="U261" s="129" t="s">
        <v>224</v>
      </c>
      <c r="V261" s="51"/>
      <c r="W261" s="51"/>
      <c r="X261" s="51"/>
      <c r="Y261" s="51"/>
      <c r="Z261" s="51"/>
      <c r="AA261" s="129" t="s">
        <v>196</v>
      </c>
      <c r="AB261" s="129"/>
    </row>
    <row r="262" spans="1:28" ht="20.100000000000001" customHeight="1" x14ac:dyDescent="0.25">
      <c r="A262" s="129">
        <v>1055</v>
      </c>
      <c r="B262" s="51" t="s">
        <v>63</v>
      </c>
      <c r="C262" s="129" t="s">
        <v>679</v>
      </c>
      <c r="D262" s="129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129" t="s">
        <v>193</v>
      </c>
      <c r="L262" s="51">
        <v>63</v>
      </c>
      <c r="M262" s="130">
        <v>46282</v>
      </c>
      <c r="N262" s="51" t="s">
        <v>63</v>
      </c>
      <c r="O262" s="130">
        <v>46409</v>
      </c>
      <c r="P262" s="130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129"/>
    </row>
    <row r="263" spans="1:28" ht="20.100000000000001" customHeight="1" x14ac:dyDescent="0.25">
      <c r="A263" s="129">
        <v>1055</v>
      </c>
      <c r="B263" s="51" t="s">
        <v>63</v>
      </c>
      <c r="C263" s="129" t="s">
        <v>679</v>
      </c>
      <c r="D263" s="129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129" t="s">
        <v>205</v>
      </c>
      <c r="L263" s="51">
        <v>62</v>
      </c>
      <c r="M263" s="51" t="s">
        <v>63</v>
      </c>
      <c r="N263" s="51" t="s">
        <v>63</v>
      </c>
      <c r="O263" s="130">
        <v>46064</v>
      </c>
      <c r="P263" s="130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129" t="s">
        <v>196</v>
      </c>
      <c r="AB263" s="129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139" zoomScale="90" zoomScaleNormal="90" workbookViewId="0">
      <selection activeCell="A166" sqref="A166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>
      <c r="A146" s="129">
        <v>1055</v>
      </c>
      <c r="B146" s="51" t="s">
        <v>63</v>
      </c>
      <c r="C146" s="129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130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129"/>
    </row>
    <row r="147" spans="1:23" ht="20.100000000000001" customHeight="1" x14ac:dyDescent="0.25">
      <c r="A147" s="129">
        <v>1055</v>
      </c>
      <c r="B147" s="51" t="s">
        <v>63</v>
      </c>
      <c r="C147" s="129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130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129"/>
    </row>
    <row r="148" spans="1:23" ht="20.100000000000001" customHeight="1" x14ac:dyDescent="0.25">
      <c r="A148" s="129">
        <v>1055</v>
      </c>
      <c r="B148" s="51" t="s">
        <v>63</v>
      </c>
      <c r="C148" s="129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130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129"/>
    </row>
    <row r="149" spans="1:23" ht="20.100000000000001" customHeight="1" x14ac:dyDescent="0.25">
      <c r="A149" s="129">
        <v>1055</v>
      </c>
      <c r="B149" s="51" t="s">
        <v>63</v>
      </c>
      <c r="C149" s="129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130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129"/>
    </row>
    <row r="150" spans="1:23" ht="20.100000000000001" customHeight="1" x14ac:dyDescent="0.25">
      <c r="A150" s="129">
        <v>1055</v>
      </c>
      <c r="B150" s="51" t="s">
        <v>63</v>
      </c>
      <c r="C150" s="129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130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129"/>
    </row>
    <row r="151" spans="1:23" ht="20.100000000000001" customHeight="1" x14ac:dyDescent="0.25">
      <c r="A151" s="129">
        <v>1055</v>
      </c>
      <c r="B151" s="51" t="s">
        <v>63</v>
      </c>
      <c r="C151" s="129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130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129"/>
    </row>
    <row r="152" spans="1:23" ht="20.100000000000001" customHeight="1" x14ac:dyDescent="0.25">
      <c r="A152" s="129">
        <v>1055</v>
      </c>
      <c r="B152" s="51" t="s">
        <v>63</v>
      </c>
      <c r="C152" s="129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130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129"/>
    </row>
    <row r="153" spans="1:23" ht="20.100000000000001" customHeight="1" x14ac:dyDescent="0.25">
      <c r="A153" s="129">
        <v>1055</v>
      </c>
      <c r="B153" s="51" t="s">
        <v>63</v>
      </c>
      <c r="C153" s="129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130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129"/>
    </row>
    <row r="154" spans="1:23" ht="20.100000000000001" customHeight="1" x14ac:dyDescent="0.25">
      <c r="A154" s="129">
        <v>1055</v>
      </c>
      <c r="B154" s="51" t="s">
        <v>63</v>
      </c>
      <c r="C154" s="129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130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129"/>
    </row>
    <row r="155" spans="1:23" ht="20.100000000000001" customHeight="1" x14ac:dyDescent="0.25">
      <c r="A155" s="129">
        <v>1055</v>
      </c>
      <c r="B155" s="51" t="s">
        <v>63</v>
      </c>
      <c r="C155" s="129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130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129"/>
    </row>
    <row r="156" spans="1:23" ht="20.100000000000001" customHeight="1" x14ac:dyDescent="0.25">
      <c r="A156" s="129">
        <v>1055</v>
      </c>
      <c r="B156" s="51" t="s">
        <v>63</v>
      </c>
      <c r="C156" s="129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130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129"/>
    </row>
    <row r="157" spans="1:23" ht="20.100000000000001" customHeight="1" x14ac:dyDescent="0.25">
      <c r="A157" s="129">
        <v>1055</v>
      </c>
      <c r="B157" s="51" t="s">
        <v>63</v>
      </c>
      <c r="C157" s="129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130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129"/>
    </row>
    <row r="158" spans="1:23" ht="20.100000000000001" customHeight="1" x14ac:dyDescent="0.25">
      <c r="A158" s="129">
        <v>1055</v>
      </c>
      <c r="B158" s="51" t="s">
        <v>63</v>
      </c>
      <c r="C158" s="129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130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129"/>
    </row>
    <row r="159" spans="1:23" ht="20.100000000000001" customHeight="1" x14ac:dyDescent="0.25">
      <c r="A159" s="129">
        <v>1055</v>
      </c>
      <c r="B159" s="51" t="s">
        <v>63</v>
      </c>
      <c r="C159" s="129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130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129"/>
    </row>
    <row r="160" spans="1:23" ht="20.100000000000001" customHeight="1" x14ac:dyDescent="0.25">
      <c r="A160" s="129">
        <v>1055</v>
      </c>
      <c r="B160" s="51" t="s">
        <v>63</v>
      </c>
      <c r="C160" s="129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130">
        <v>46038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129"/>
    </row>
    <row r="161" spans="1:23" ht="20.100000000000001" customHeight="1" x14ac:dyDescent="0.25">
      <c r="A161" s="129">
        <v>1055</v>
      </c>
      <c r="B161" s="51" t="s">
        <v>63</v>
      </c>
      <c r="C161" s="129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130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129"/>
    </row>
    <row r="162" spans="1:23" ht="20.100000000000001" customHeight="1" x14ac:dyDescent="0.25">
      <c r="A162" s="129">
        <v>1055</v>
      </c>
      <c r="B162" s="51" t="s">
        <v>63</v>
      </c>
      <c r="C162" s="129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130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129"/>
    </row>
    <row r="163" spans="1:23" ht="20.100000000000001" customHeight="1" x14ac:dyDescent="0.25">
      <c r="A163" s="129">
        <v>1055</v>
      </c>
      <c r="B163" s="51" t="s">
        <v>63</v>
      </c>
      <c r="C163" s="129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130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129"/>
    </row>
    <row r="164" spans="1:23" ht="20.100000000000001" customHeight="1" x14ac:dyDescent="0.25">
      <c r="A164" s="129">
        <v>1055</v>
      </c>
      <c r="B164" s="51" t="s">
        <v>63</v>
      </c>
      <c r="C164" s="129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130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129"/>
    </row>
    <row r="165" spans="1:23" ht="20.100000000000001" customHeight="1" x14ac:dyDescent="0.25">
      <c r="A165" s="129">
        <v>1055</v>
      </c>
      <c r="B165" s="51" t="s">
        <v>63</v>
      </c>
      <c r="C165" s="129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130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129"/>
    </row>
    <row r="166" spans="1:23" ht="20.100000000000001" customHeight="1" x14ac:dyDescent="0.25">
      <c r="A166" s="131">
        <v>2371</v>
      </c>
      <c r="B166" s="51" t="s">
        <v>63</v>
      </c>
      <c r="C166" s="129" t="s">
        <v>679</v>
      </c>
      <c r="D166" s="51" t="s">
        <v>562</v>
      </c>
      <c r="E166" s="129">
        <v>1</v>
      </c>
      <c r="F166" s="51">
        <v>2000</v>
      </c>
      <c r="G166" s="54" t="s">
        <v>63</v>
      </c>
      <c r="H166" s="54" t="s">
        <v>63</v>
      </c>
      <c r="I166" s="130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129"/>
    </row>
    <row r="167" spans="1:23" ht="20.100000000000001" customHeight="1" x14ac:dyDescent="0.25">
      <c r="A167" s="131">
        <v>2371</v>
      </c>
      <c r="B167" s="51" t="s">
        <v>63</v>
      </c>
      <c r="C167" s="129" t="s">
        <v>679</v>
      </c>
      <c r="D167" s="51" t="s">
        <v>562</v>
      </c>
      <c r="E167" s="129">
        <v>1</v>
      </c>
      <c r="F167" s="51">
        <v>1700</v>
      </c>
      <c r="G167" s="54" t="s">
        <v>63</v>
      </c>
      <c r="H167" s="54" t="s">
        <v>63</v>
      </c>
      <c r="I167" s="130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129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2026-08-03T19:12:03Z</dcterms:modified>
</cp:coreProperties>
</file>