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4B5115B-88C3-4A2B-A2ED-7E9DC05271A9}" xr6:coauthVersionLast="47" xr6:coauthVersionMax="47" xr10:uidLastSave="{00000000-0000-0000-0000-000000000000}"/>
  <bookViews>
    <workbookView xWindow="-120" yWindow="-120" windowWidth="29040" windowHeight="15720" activeTab="1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<sst xmlns="http://schemas.openxmlformats.org/spreadsheetml/2006/main" count="10507" uniqueCount="587">
  <si>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</si>
  <si>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</si>
  <si>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</si>
  <si>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</si>
  <si>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</si>
  <si>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</si>
  <si>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</si>
  <si>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</si>
  <si>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</si>
  <si>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</si>
  <si>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</si>
  <si>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</si>
  <si>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</si>
  <si>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</si>
  <si>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</si>
  <si>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</si>
  <si>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</si>
  <si>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</si>
  <si>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</si>
  <si>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</si>
  <si>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</si>
  <si>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</si>
  <si>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</si>
  <si>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</si>
  <si>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</si>
  <si>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</si>
  <si>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</si>
  <si>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</si>
  <si>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</si>
  <si>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</si>
  <si>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</si>
  <si>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</si>
  <si>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</si>
  <si>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</si>
  <si>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</si>
  <si>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</si>
  <si>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</si>
  <si>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</si>
  <si>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</si>
  <si>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</si>
  <si>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</si>
  <si>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</si>
  <si>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</si>
  <si>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</si>
  <si>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</si>
  <si>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</si>
  <si>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</si>
  <si>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</si>
  <si>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</si>
  <si>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</si>
  <si>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</si>
  <si>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</si>
  <si>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</si>
  <si>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</si>
  <si>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</si>
  <si>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</si>
  <si>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</si>
  <si>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</si>
  <si>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</si>
  <si>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</si>
  <si>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</si>
  <si>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</si>
  <si>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</si>
  <si>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</si>
  <si>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</si>
  <si>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</si>
  <si>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</si>
  <si>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</si>
  <si>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</si>
  <si>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</si>
  <si>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</si>
  <si>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</si>
  <si>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</si>
  <si>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</si>
  <si>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</si>
  <si>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</si>
  <si>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</si>
  <si>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</si>
  <si>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</si>
  <si>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</si>
  <si>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</si>
  <si>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</si>
  <si>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</si>
  <si>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</si>
  <si>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</si>
  <si>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</si>
  <si>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</si>
  <si>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</si>
  <si>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</si>
  <si>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</si>
  <si>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</si>
  <si>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</si>
  <si>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</si>
  <si>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</si>
  <si>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</si>
  <si>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</si>
  <si>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</si>
  <si>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</si>
  <si>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</si>
  <si>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</si>
  <si>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</si>
  <si>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</si>
  <si>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</si>
  <si>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</si>
  <si>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</si>
  <si>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</si>
  <si>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</si>
  <si>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</si>
  <si>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</si>
  <si>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</si>
  <si>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</si>
  <si>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</si>
  <si>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</si>
  <si>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</si>
  <si>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</si>
  <si>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</si>
  <si>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</si>
  <si>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</si>
  <si>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</si>
  <si>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</si>
  <si>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</si>
  <si>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</si>
  <si>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</si>
  <si>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</si>
  <si>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</si>
  <si>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</si>
  <si>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</si>
  <si>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</si>
  <si>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</si>
  <si>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</si>
  <si>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</si>
  <si>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</si>
  <si>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</si>
  <si>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</si>
  <si>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</si>
  <si>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</si>
  <si>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</si>
  <si>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</si>
  <si>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</si>
  <si>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</si>
  <si>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</si>
  <si>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</si>
  <si>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</si>
  <si>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</si>
  <si>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</si>
  <si>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</si>
  <si>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</si>
  <si>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</si>
  <si>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</si>
  <si>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</si>
  <si>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</si>
  <si>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</si>
  <si>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</si>
  <si>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</si>
  <si>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</si>
  <si>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</si>
  <si>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</si>
  <si>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</si>
  <si>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</si>
  <si>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</si>
  <si>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</si>
  <si>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</si>
  <si>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</si>
  <si>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</si>
  <si>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</si>
  <si>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</si>
  <si>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</si>
  <si>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</si>
  <si>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</si>
  <si>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</si>
  <si>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</si>
  <si>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</si>
  <si>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</si>
  <si>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</si>
  <si>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</si>
  <si>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</si>
  <si>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</si>
  <si>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</si>
  <si>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</si>
  <si>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</si>
  <si>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</si>
  <si>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</si>
  <si>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</si>
  <si>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</si>
  <si>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</si>
  <si>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</si>
  <si>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</si>
  <si>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</si>
  <si>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</si>
  <si>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</si>
  <si>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</si>
  <si>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</si>
  <si>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</si>
  <si>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</si>
  <si>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</si>
  <si>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</si>
  <si>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</si>
  <si>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</si>
  <si>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</si>
  <si>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</si>
  <si>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</si>
  <si>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</si>
  <si>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</si>
  <si>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</si>
  <si>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</si>
  <si>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</si>
  <si>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</si>
  <si>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</si>
  <si>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</si>
  <si>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</si>
  <si>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</si>
  <si>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</si>
  <si>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</si>
  <si>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</si>
  <si>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</si>
  <si>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</si>
  <si>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</si>
  <si>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</si>
  <si>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</si>
  <si>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</si>
  <si>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</si>
  <si>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</si>
  <si>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</si>
  <si>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</si>
  <si>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</si>
  <si>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</si>
  <si>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</si>
  <si>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</si>
  <si>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</si>
  <si>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</si>
  <si>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</si>
  <si>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</si>
  <si>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</si>
  <si>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</si>
  <si>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</si>
  <si>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</si>
  <si>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</si>
  <si>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</si>
  <si>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</si>
  <si>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</si>
  <si>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</si>
  <si>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</si>
  <si>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</si>
  <si>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</si>
  <si>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</si>
  <si>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</si>
  <si>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</si>
  <si>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</si>
  <si>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</si>
  <si>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</si>
  <si>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</si>
  <si>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</si>
  <si>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</si>
  <si>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</si>
  <si>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</si>
  <si>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</si>
  <si>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</si>
  <si>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</si>
  <si>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</si>
  <si>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</si>
  <si>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</si>
  <si>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</si>
  <si>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</si>
  <si>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</si>
  <si>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</si>
  <si>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</si>
  <si>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</si>
  <si>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</si>
  <si>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</si>
  <si>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</si>
  <si>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</si>
  <si>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</si>
  <si>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</si>
  <si>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</si>
  <si>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</si>
  <si>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</si>
  <si>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</si>
  <si>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</si>
  <si>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</si>
  <si>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</si>
  <si>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</si>
  <si>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</si>
  <si>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</si>
  <si>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</si>
  <si>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</si>
  <si>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</si>
  <si>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</si>
  <si>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</si>
  <si>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</si>
  <si>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</si>
  <si>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</si>
  <si>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</si>
  <si>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</si>
  <si>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</si>
  <si>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</si>
  <si>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</si>
  <si>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</si>
  <si>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</si>
  <si>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</si>
  <si>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</si>
  <si>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</si>
  <si>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</si>
  <si>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</si>
  <si>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</si>
  <si>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</si>
  <si>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</si>
  <si>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</si>
  <si>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</si>
  <si>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</si>
  <si>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</si>
  <si>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</si>
  <si>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</si>
  <si>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</si>
  <si>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</si>
  <si>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</si>
  <si>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</si>
  <si>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</si>
  <si>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</si>
  <si>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</si>
  <si>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</si>
  <si>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</si>
  <si>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</si>
  <si>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</si>
  <si>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</si>
  <si>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</si>
  <si>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</si>
  <si>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</si>
  <si>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</si>
  <si>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</si>
  <si>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</si>
  <si>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</si>
  <si>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</si>
  <si>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</si>
  <si>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</si>
  <si>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</si>
  <si>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</si>
  <si>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</si>
  <si>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</si>
  <si>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</si>
  <si>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</si>
  <si>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</si>
  <si>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</si>
  <si>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</si>
  <si>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</si>
  <si>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</si>
  <si>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</si>
  <si>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</si>
  <si>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</si>
  <si>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</si>
  <si>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</si>
  <si>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</si>
  <si>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</si>
  <si>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</si>
  <si>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</si>
  <si>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</si>
  <si>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</si>
  <si>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</si>
  <si>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</si>
  <si>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</si>
  <si>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</si>
  <si>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</si>
  <si>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</si>
  <si>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</si>
  <si>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</si>
  <si>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</si>
  <si>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</si>
  <si>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</si>
  <si>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</si>
  <si>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</si>
  <si>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</si>
  <si>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</si>
  <si>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</si>
  <si>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</si>
  <si>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</si>
  <si>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</si>
  <si>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</si>
  <si>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</si>
  <si>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</si>
  <si>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</si>
  <si>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</si>
  <si>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</si>
  <si>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</si>
  <si>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</si>
  <si>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</si>
  <si>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</si>
  <si>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</si>
  <si>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</si>
  <si>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</si>
  <si>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</si>
  <si>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</si>
  <si>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</si>
  <si>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</si>
  <si>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</si>
  <si>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</si>
  <si>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</si>
  <si>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</si>
  <si>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</si>
  <si>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</si>
  <si>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</si>
  <si>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</si>
  <si>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</si>
  <si>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</si>
  <si>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</si>
  <si>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</si>
  <si>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</si>
  <si>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</si>
  <si>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</si>
  <si>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</si>
  <si>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</si>
  <si>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</si>
  <si>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</si>
  <si>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</si>
  <si>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</si>
  <si>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</si>
  <si>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</si>
  <si>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</si>
  <si>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</si>
  <si>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</si>
  <si>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</si>
  <si>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</si>
  <si>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</si>
  <si>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</si>
  <si>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</si>
  <si>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</si>
  <si>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</si>
  <si>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</si>
  <si>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</si>
  <si>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</si>
  <si>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</si>
  <si>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</si>
  <si>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</si>
  <si>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</si>
  <si>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</si>
  <si>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</si>
  <si>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</si>
  <si>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</si>
  <si>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</si>
  <si>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</si>
  <si>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</si>
  <si>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</si>
  <si>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</si>
  <si>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</si>
  <si>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</si>
  <si>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</si>
  <si>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</si>
  <si>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</si>
  <si>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</si>
  <si>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</si>
  <si>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</si>
  <si>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</si>
  <si>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</si>
  <si>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</si>
  <si>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</si>
  <si>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</si>
  <si>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</si>
  <si>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</si>
  <si>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</si>
  <si>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</si>
  <si>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</si>
  <si>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</si>
  <si>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</si>
  <si>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</si>
  <si>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</si>
  <si>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</si>
  <si>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</si>
  <si>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</si>
  <si>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</si>
  <si>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</si>
  <si>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</si>
  <si>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</si>
  <si>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</si>
  <si>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</si>
  <si>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</si>
  <si>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</si>
  <si>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</si>
  <si>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</si>
  <si>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</si>
  <si>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</si>
  <si>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</si>
  <si>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</si>
  <si>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</si>
  <si>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</si>
  <si>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</si>
  <si>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</si>
  <si>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</si>
  <si>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</si>
  <si>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</si>
  <si>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</si>
  <si>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</si>
  <si>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</si>
  <si>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</si>
  <si>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</si>
  <si>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</si>
  <si>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</si>
  <si>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</si>
  <si>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</si>
  <si>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</si>
  <si>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</si>
  <si>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</si>
  <si>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</si>
  <si>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</si>
  <si>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</si>
  <si>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</si>
  <si>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</si>
  <si>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</si>
  <si>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</si>
  <si>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</si>
  <si>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</si>
  <si>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</si>
  <si>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</si>
  <si>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</si>
  <si>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</si>
  <si>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</si>
  <si>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</si>
  <si>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</si>
  <si>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</si>
  <si>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</si>
  <si>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</si>
  <si>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</si>
  <si>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</si>
  <si>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</si>
  <si>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</si>
  <si>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</si>
  <si>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</si>
  <si>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</si>
  <si>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</si>
  <si>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</si>
  <si>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</si>
  <si>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</si>
  <si>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</si>
  <si>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</si>
  <si>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</si>
  <si>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</si>
  <si>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</si>
  <si>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</si>
  <si>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</si>
  <si>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</si>
  <si>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</si>
  <si>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</si>
  <si>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</si>
  <si>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</si>
  <si>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</si>
  <si>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</si>
  <si>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</si>
  <si>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</si>
  <si>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</si>
  <si>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</si>
  <si>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</si>
  <si>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</si>
  <si>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</si>
  <si>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</si>
  <si>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</si>
  <si>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</si>
  <si>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</si>
  <si>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</si>
  <si>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</si>
  <si>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</si>
  <si>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</si>
  <si>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</si>
  <si>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</si>
  <si>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</si>
  <si>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</si>
  <si>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</si>
  <si>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</si>
  <si>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</si>
  <si>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</si>
  <si>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</si>
  <si>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</si>
  <si>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</si>
  <si>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</si>
  <si>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</si>
  <si>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</si>
  <si>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</si>
  <si>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AG. DESENHO BOQUILHAS</t>
  </si>
  <si>
    <t>TRANF</t>
  </si>
  <si>
    <t>NOVO_1</t>
  </si>
  <si>
    <t>NOVO_2</t>
  </si>
  <si>
    <t>NOVO_3</t>
  </si>
  <si>
    <t>Santa Terezinha Iguagemi</t>
  </si>
  <si>
    <t>Mandr</t>
  </si>
  <si>
    <t>AG. USINA ENVIAR FORJADO - PREV. 20/08/2026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</si>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</sst>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0" fontId="21" fillId="7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9" dataDxfId="198">
  <autoFilter ref="A1:AD120" xr:uid="{0B979512-8F08-4F92-A755-B1320B33B48D}">
    <filterColumn colId="4">
      <filters>
        <filter val="Coopecana"/>
      </filters>
    </filterColumn>
  </autoFilter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67" dataDxfId="166">
  <autoFilter ref="A1:W198" xr:uid="{71E71FAB-CF6D-4765-90BA-ABDE8C3299DB}">
    <filterColumn colId="0">
      <filters>
        <filter val="2333"/>
      </filters>
    </filterColumn>
  </autoFilter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2" dataDxfId="141">
  <autoFilter ref="A1:Y56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57" totalsRowShown="0" headerRowDxfId="115" dataDxfId="114">
  <autoFilter ref="A1:U57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92" dataDxfId="91">
  <autoFilter ref="A1:R147" xr:uid="{8F2F252D-0322-4579-B9EF-622E98B5994C}"/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32" totalsRowShown="0" headerRowDxfId="72" dataDxfId="71">
  <autoFilter ref="A1:AB132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00" totalsRowShown="0" headerRowDxfId="224" dataDxfId="223">
  <autoFilter ref="A1:W100" xr:uid="{08F50CE1-35A6-4ABA-9594-79B9C39908E8}"/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K127" sqref="K127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514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235</v>
      </c>
      <c r="R1" s="35" t="s">
        <v>236</v>
      </c>
      <c r="S1" s="35" t="s">
        <v>237</v>
      </c>
      <c r="T1" s="35" t="s">
        <v>238</v>
      </c>
      <c r="U1" s="35" t="s">
        <v>239</v>
      </c>
      <c r="V1" s="35" t="s">
        <v>240</v>
      </c>
      <c r="W1" s="35" t="s">
        <v>241</v>
      </c>
      <c r="X1" s="35" t="s">
        <v>403</v>
      </c>
      <c r="Y1" s="35" t="s">
        <v>404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259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-13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401</v>
      </c>
      <c r="R2" s="93" t="s">
        <v>18</v>
      </c>
      <c r="S2" s="93" t="s">
        <v>67</v>
      </c>
      <c r="T2" s="93" t="s">
        <v>512</v>
      </c>
      <c r="U2" s="93" t="s">
        <v>482</v>
      </c>
      <c r="V2" s="93" t="s">
        <v>513</v>
      </c>
      <c r="X2" s="8" t="s">
        <v>334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259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401</v>
      </c>
      <c r="R3" s="93" t="s">
        <v>18</v>
      </c>
      <c r="S3" s="93" t="s">
        <v>67</v>
      </c>
      <c r="T3" s="93" t="s">
        <v>512</v>
      </c>
      <c r="U3" s="93" t="s">
        <v>482</v>
      </c>
      <c r="V3" s="94" t="s">
        <v>385</v>
      </c>
      <c r="X3" s="8" t="s">
        <v>218</v>
      </c>
      <c r="Y3" s="8" t="s">
        <v>335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259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401</v>
      </c>
      <c r="R4" s="93" t="s">
        <v>18</v>
      </c>
      <c r="S4" s="93" t="s">
        <v>67</v>
      </c>
      <c r="T4" s="93" t="s">
        <v>512</v>
      </c>
      <c r="U4" s="93" t="s">
        <v>482</v>
      </c>
      <c r="V4" s="94" t="s">
        <v>385</v>
      </c>
      <c r="X4" s="8" t="s">
        <v>218</v>
      </c>
      <c r="Y4" s="8" t="s">
        <v>335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259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-6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401</v>
      </c>
      <c r="R5" s="93" t="s">
        <v>18</v>
      </c>
      <c r="S5" s="93" t="s">
        <v>67</v>
      </c>
      <c r="T5" s="93" t="s">
        <v>512</v>
      </c>
      <c r="U5" s="93" t="s">
        <v>482</v>
      </c>
      <c r="V5" s="93" t="s">
        <v>385</v>
      </c>
      <c r="X5" s="8" t="s">
        <v>334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259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-6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401</v>
      </c>
      <c r="R6" s="93" t="s">
        <v>18</v>
      </c>
      <c r="S6" s="93" t="s">
        <v>67</v>
      </c>
      <c r="T6" s="93" t="s">
        <v>512</v>
      </c>
      <c r="U6" s="93" t="s">
        <v>482</v>
      </c>
      <c r="V6" s="93" t="s">
        <v>385</v>
      </c>
      <c r="X6" s="8" t="s">
        <v>334</v>
      </c>
      <c r="Y6" s="8" t="s">
        <v>310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259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-6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401</v>
      </c>
      <c r="R7" s="93" t="s">
        <v>18</v>
      </c>
      <c r="S7" s="93" t="s">
        <v>67</v>
      </c>
      <c r="T7" s="93" t="s">
        <v>512</v>
      </c>
      <c r="U7" s="93" t="s">
        <v>482</v>
      </c>
      <c r="V7" s="93" t="s">
        <v>385</v>
      </c>
      <c r="X7" s="8" t="s">
        <v>334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259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-13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401</v>
      </c>
      <c r="R8" s="93" t="s">
        <v>18</v>
      </c>
      <c r="S8" s="93" t="s">
        <v>67</v>
      </c>
      <c r="T8" s="93" t="s">
        <v>512</v>
      </c>
      <c r="U8" s="93" t="s">
        <v>482</v>
      </c>
      <c r="V8" s="93" t="s">
        <v>385</v>
      </c>
      <c r="X8" s="8" t="s">
        <v>334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259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-13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401</v>
      </c>
      <c r="R9" s="93" t="s">
        <v>18</v>
      </c>
      <c r="S9" s="93" t="s">
        <v>67</v>
      </c>
      <c r="T9" s="93" t="s">
        <v>512</v>
      </c>
      <c r="U9" s="93" t="s">
        <v>482</v>
      </c>
      <c r="V9" s="93" t="s">
        <v>385</v>
      </c>
      <c r="X9" s="8" t="s">
        <v>334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259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-13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401</v>
      </c>
      <c r="R10" s="93" t="s">
        <v>18</v>
      </c>
      <c r="S10" s="93" t="s">
        <v>67</v>
      </c>
      <c r="T10" s="93" t="s">
        <v>512</v>
      </c>
      <c r="U10" s="93" t="s">
        <v>482</v>
      </c>
      <c r="V10" s="93" t="s">
        <v>385</v>
      </c>
      <c r="X10" s="8" t="s">
        <v>334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259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-13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401</v>
      </c>
      <c r="R11" s="93" t="s">
        <v>18</v>
      </c>
      <c r="S11" s="93" t="s">
        <v>67</v>
      </c>
      <c r="T11" s="93" t="s">
        <v>512</v>
      </c>
      <c r="U11" s="93" t="s">
        <v>482</v>
      </c>
      <c r="V11" s="93" t="s">
        <v>385</v>
      </c>
      <c r="X11" s="8" t="s">
        <v>334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hidden="1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496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-6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401</v>
      </c>
      <c r="R12" s="93" t="s">
        <v>18</v>
      </c>
      <c r="S12" s="93" t="s">
        <v>67</v>
      </c>
      <c r="T12" s="93" t="s">
        <v>512</v>
      </c>
      <c r="U12" s="93" t="s">
        <v>482</v>
      </c>
      <c r="V12" s="93" t="s">
        <v>385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hidden="1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496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-6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401</v>
      </c>
      <c r="R13" s="93" t="s">
        <v>18</v>
      </c>
      <c r="S13" s="93" t="s">
        <v>67</v>
      </c>
      <c r="T13" s="93" t="s">
        <v>512</v>
      </c>
      <c r="U13" s="93" t="s">
        <v>482</v>
      </c>
      <c r="V13" s="93" t="s">
        <v>385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hidden="1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496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-6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401</v>
      </c>
      <c r="R14" s="93" t="s">
        <v>18</v>
      </c>
      <c r="S14" s="93" t="s">
        <v>67</v>
      </c>
      <c r="T14" s="93" t="s">
        <v>512</v>
      </c>
      <c r="U14" s="93" t="s">
        <v>482</v>
      </c>
      <c r="V14" s="93" t="s">
        <v>385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259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1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3" t="s">
        <v>401</v>
      </c>
      <c r="R15" s="93" t="s">
        <v>18</v>
      </c>
      <c r="S15" s="8" t="s">
        <v>67</v>
      </c>
      <c r="T15" s="8" t="s">
        <v>512</v>
      </c>
      <c r="U15" s="8" t="s">
        <v>482</v>
      </c>
      <c r="V15" s="8" t="s">
        <v>385</v>
      </c>
      <c r="X15" s="8" t="str">
        <f>IF(I15="","AG. FUNDIDO",IF(Q15="AG","AG. USINAGEM","EM USINAGEM"))</f>
        <v>EM USINAGEM</v>
      </c>
      <c r="Y15" s="84" t="s">
        <v>396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259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-6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401</v>
      </c>
      <c r="R16" s="93" t="s">
        <v>18</v>
      </c>
      <c r="S16" s="93" t="s">
        <v>67</v>
      </c>
      <c r="T16" s="93" t="s">
        <v>512</v>
      </c>
      <c r="U16" s="93" t="s">
        <v>482</v>
      </c>
      <c r="V16" s="93" t="s">
        <v>385</v>
      </c>
      <c r="X16" s="8" t="s">
        <v>334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hidden="1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496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-13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401</v>
      </c>
      <c r="R17" s="93" t="s">
        <v>18</v>
      </c>
      <c r="S17" s="93" t="s">
        <v>67</v>
      </c>
      <c r="T17" s="93" t="s">
        <v>512</v>
      </c>
      <c r="U17" s="93" t="s">
        <v>482</v>
      </c>
      <c r="V17" s="93" t="s">
        <v>385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hidden="1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496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-13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401</v>
      </c>
      <c r="R18" s="93" t="s">
        <v>18</v>
      </c>
      <c r="S18" s="93" t="s">
        <v>67</v>
      </c>
      <c r="T18" s="93" t="s">
        <v>512</v>
      </c>
      <c r="U18" s="93" t="s">
        <v>482</v>
      </c>
      <c r="V18" s="93" t="s">
        <v>385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hidden="1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496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-13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401</v>
      </c>
      <c r="R19" s="93" t="s">
        <v>18</v>
      </c>
      <c r="S19" s="93" t="s">
        <v>67</v>
      </c>
      <c r="T19" s="93" t="s">
        <v>512</v>
      </c>
      <c r="U19" s="93" t="s">
        <v>482</v>
      </c>
      <c r="V19" s="93" t="s">
        <v>385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hidden="1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496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-6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401</v>
      </c>
      <c r="R20" s="93" t="s">
        <v>18</v>
      </c>
      <c r="S20" s="93" t="s">
        <v>67</v>
      </c>
      <c r="T20" s="93" t="s">
        <v>512</v>
      </c>
      <c r="U20" s="93" t="s">
        <v>482</v>
      </c>
      <c r="V20" s="93" t="s">
        <v>385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hidden="1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496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1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3" t="s">
        <v>401</v>
      </c>
      <c r="R21" s="93" t="s">
        <v>18</v>
      </c>
      <c r="S21" s="93" t="s">
        <v>67</v>
      </c>
      <c r="T21" s="8" t="s">
        <v>512</v>
      </c>
      <c r="U21" s="8" t="s">
        <v>482</v>
      </c>
      <c r="V21" s="8" t="s">
        <v>385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262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1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401</v>
      </c>
      <c r="R22" s="8" t="s">
        <v>18</v>
      </c>
      <c r="S22" s="8" t="s">
        <v>67</v>
      </c>
      <c r="T22" s="8" t="s">
        <v>512</v>
      </c>
      <c r="U22" s="8" t="s">
        <v>482</v>
      </c>
      <c r="V22" s="8" t="s">
        <v>513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262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1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401</v>
      </c>
      <c r="R23" s="8" t="s">
        <v>18</v>
      </c>
      <c r="S23" s="8" t="s">
        <v>67</v>
      </c>
      <c r="T23" s="8" t="s">
        <v>512</v>
      </c>
      <c r="U23" s="8" t="s">
        <v>482</v>
      </c>
      <c r="V23" s="8" t="s">
        <v>513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-16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401</v>
      </c>
      <c r="R24" s="93" t="s">
        <v>18</v>
      </c>
      <c r="S24" s="93" t="s">
        <v>67</v>
      </c>
      <c r="T24" s="93" t="s">
        <v>512</v>
      </c>
      <c r="U24" s="93" t="s">
        <v>482</v>
      </c>
      <c r="V24" s="93" t="s">
        <v>513</v>
      </c>
      <c r="X24" s="8" t="s">
        <v>334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-16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401</v>
      </c>
      <c r="R25" s="93" t="s">
        <v>18</v>
      </c>
      <c r="S25" s="93" t="s">
        <v>67</v>
      </c>
      <c r="T25" s="93" t="s">
        <v>512</v>
      </c>
      <c r="U25" s="93" t="s">
        <v>482</v>
      </c>
      <c r="V25" s="93" t="s">
        <v>513</v>
      </c>
      <c r="X25" s="8" t="s">
        <v>334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-16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401</v>
      </c>
      <c r="R26" s="93" t="s">
        <v>18</v>
      </c>
      <c r="S26" s="93" t="s">
        <v>67</v>
      </c>
      <c r="T26" s="93" t="s">
        <v>512</v>
      </c>
      <c r="U26" s="93" t="s">
        <v>482</v>
      </c>
      <c r="V26" s="93" t="s">
        <v>513</v>
      </c>
      <c r="X26" s="8" t="s">
        <v>334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-16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401</v>
      </c>
      <c r="R27" s="93" t="s">
        <v>18</v>
      </c>
      <c r="S27" s="93" t="s">
        <v>67</v>
      </c>
      <c r="T27" s="93" t="s">
        <v>512</v>
      </c>
      <c r="U27" s="93" t="s">
        <v>482</v>
      </c>
      <c r="V27" s="93" t="s">
        <v>513</v>
      </c>
      <c r="X27" s="8" t="s">
        <v>334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-16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401</v>
      </c>
      <c r="R28" s="93" t="s">
        <v>18</v>
      </c>
      <c r="S28" s="93" t="s">
        <v>67</v>
      </c>
      <c r="T28" s="93" t="s">
        <v>512</v>
      </c>
      <c r="U28" s="93" t="s">
        <v>482</v>
      </c>
      <c r="V28" s="93" t="s">
        <v>513</v>
      </c>
      <c r="X28" s="8" t="s">
        <v>334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-16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401</v>
      </c>
      <c r="R29" s="93" t="s">
        <v>18</v>
      </c>
      <c r="S29" s="93" t="s">
        <v>67</v>
      </c>
      <c r="T29" s="93" t="s">
        <v>512</v>
      </c>
      <c r="U29" s="93" t="s">
        <v>482</v>
      </c>
      <c r="V29" s="93" t="s">
        <v>513</v>
      </c>
      <c r="X29" s="8" t="s">
        <v>334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262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1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401</v>
      </c>
      <c r="R30" s="8" t="s">
        <v>18</v>
      </c>
      <c r="S30" s="8" t="s">
        <v>67</v>
      </c>
      <c r="T30" s="8" t="s">
        <v>512</v>
      </c>
      <c r="U30" s="8" t="s">
        <v>482</v>
      </c>
      <c r="V30" s="8" t="s">
        <v>513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492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-13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401</v>
      </c>
      <c r="R31" s="93" t="s">
        <v>18</v>
      </c>
      <c r="S31" s="93" t="s">
        <v>67</v>
      </c>
      <c r="T31" s="93" t="s">
        <v>512</v>
      </c>
      <c r="U31" s="93" t="s">
        <v>482</v>
      </c>
      <c r="V31" s="93" t="s">
        <v>385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492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-6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401</v>
      </c>
      <c r="R32" s="93" t="s">
        <v>18</v>
      </c>
      <c r="S32" s="93" t="s">
        <v>67</v>
      </c>
      <c r="T32" s="93" t="s">
        <v>512</v>
      </c>
      <c r="U32" s="93" t="s">
        <v>482</v>
      </c>
      <c r="V32" s="93" t="s">
        <v>385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492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1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3" t="s">
        <v>401</v>
      </c>
      <c r="R33" s="8" t="s">
        <v>18</v>
      </c>
      <c r="S33" s="8" t="s">
        <v>67</v>
      </c>
      <c r="T33" s="8" t="s">
        <v>512</v>
      </c>
      <c r="U33" s="8" t="s">
        <v>482</v>
      </c>
      <c r="V33" s="8" t="s">
        <v>385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492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-6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401</v>
      </c>
      <c r="R34" s="93" t="s">
        <v>18</v>
      </c>
      <c r="S34" s="93" t="s">
        <v>67</v>
      </c>
      <c r="T34" s="93" t="s">
        <v>512</v>
      </c>
      <c r="U34" s="93" t="s">
        <v>482</v>
      </c>
      <c r="V34" s="93" t="s">
        <v>385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492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1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3" t="s">
        <v>401</v>
      </c>
      <c r="R35" s="93" t="s">
        <v>18</v>
      </c>
      <c r="S35" s="93" t="s">
        <v>67</v>
      </c>
      <c r="T35" s="8" t="s">
        <v>512</v>
      </c>
      <c r="U35" s="8" t="s">
        <v>482</v>
      </c>
      <c r="V35" s="8" t="s">
        <v>385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hidden="1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496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-6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401</v>
      </c>
      <c r="R36" s="93" t="s">
        <v>18</v>
      </c>
      <c r="S36" s="93" t="s">
        <v>67</v>
      </c>
      <c r="T36" s="93" t="s">
        <v>512</v>
      </c>
      <c r="U36" s="93" t="s">
        <v>482</v>
      </c>
      <c r="V36" s="93" t="s">
        <v>385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hidden="1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496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401</v>
      </c>
      <c r="R37" s="8" t="s">
        <v>18</v>
      </c>
      <c r="S37" s="8" t="s">
        <v>67</v>
      </c>
      <c r="T37" s="8" t="s">
        <v>512</v>
      </c>
      <c r="U37" s="8" t="s">
        <v>482</v>
      </c>
      <c r="V37" s="8" t="s">
        <v>385</v>
      </c>
      <c r="X37" s="8" t="str">
        <f>IF(I37="","AG. FUNDIDO",IF(Q37="AG","AG. USINAGEM","EM USINAGEM"))</f>
        <v>EM USINAGEM</v>
      </c>
      <c r="Y37" s="8" t="s">
        <v>309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494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8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401</v>
      </c>
      <c r="R38" s="93" t="s">
        <v>18</v>
      </c>
      <c r="S38" s="94" t="s">
        <v>67</v>
      </c>
      <c r="T38" s="8" t="s">
        <v>512</v>
      </c>
      <c r="U38" s="8" t="s">
        <v>482</v>
      </c>
      <c r="V38" s="8" t="s">
        <v>385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495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8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401</v>
      </c>
      <c r="R39" s="8" t="s">
        <v>18</v>
      </c>
      <c r="S39" s="8" t="s">
        <v>67</v>
      </c>
      <c r="T39" s="8" t="s">
        <v>512</v>
      </c>
      <c r="U39" s="8" t="s">
        <v>482</v>
      </c>
      <c r="V39" s="8" t="s">
        <v>385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495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8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401</v>
      </c>
      <c r="R40" s="8" t="s">
        <v>18</v>
      </c>
      <c r="S40" s="8" t="s">
        <v>67</v>
      </c>
      <c r="T40" s="8" t="s">
        <v>512</v>
      </c>
      <c r="U40" s="8" t="s">
        <v>482</v>
      </c>
      <c r="V40" s="8" t="s">
        <v>385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495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8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401</v>
      </c>
      <c r="R41" s="8" t="s">
        <v>18</v>
      </c>
      <c r="S41" s="8" t="s">
        <v>67</v>
      </c>
      <c r="T41" s="8" t="s">
        <v>512</v>
      </c>
      <c r="U41" s="8" t="s">
        <v>482</v>
      </c>
      <c r="V41" s="8" t="s">
        <v>385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495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8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401</v>
      </c>
      <c r="R42" s="8" t="s">
        <v>18</v>
      </c>
      <c r="S42" s="8" t="s">
        <v>67</v>
      </c>
      <c r="T42" s="8" t="s">
        <v>512</v>
      </c>
      <c r="U42" s="8" t="s">
        <v>482</v>
      </c>
      <c r="V42" s="8" t="s">
        <v>385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495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8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401</v>
      </c>
      <c r="R43" s="8" t="s">
        <v>18</v>
      </c>
      <c r="S43" s="8" t="s">
        <v>67</v>
      </c>
      <c r="T43" s="8" t="s">
        <v>512</v>
      </c>
      <c r="U43" s="8" t="s">
        <v>482</v>
      </c>
      <c r="V43" s="8" t="s">
        <v>385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495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8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401</v>
      </c>
      <c r="R44" s="8" t="s">
        <v>18</v>
      </c>
      <c r="S44" s="8" t="s">
        <v>67</v>
      </c>
      <c r="T44" s="8" t="s">
        <v>512</v>
      </c>
      <c r="U44" s="8" t="s">
        <v>482</v>
      </c>
      <c r="V44" s="8" t="s">
        <v>385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262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8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401</v>
      </c>
      <c r="R45" s="8" t="s">
        <v>18</v>
      </c>
      <c r="S45" s="8" t="s">
        <v>67</v>
      </c>
      <c r="T45" s="8" t="s">
        <v>512</v>
      </c>
      <c r="U45" s="8" t="s">
        <v>482</v>
      </c>
      <c r="V45" s="8" t="s">
        <v>385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262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8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401</v>
      </c>
      <c r="R46" s="8" t="s">
        <v>18</v>
      </c>
      <c r="S46" s="8" t="s">
        <v>67</v>
      </c>
      <c r="T46" s="8" t="s">
        <v>512</v>
      </c>
      <c r="U46" s="8" t="s">
        <v>482</v>
      </c>
      <c r="V46" s="8" t="s">
        <v>385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262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8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401</v>
      </c>
      <c r="R47" s="8" t="s">
        <v>18</v>
      </c>
      <c r="S47" s="8" t="s">
        <v>67</v>
      </c>
      <c r="T47" s="8" t="s">
        <v>512</v>
      </c>
      <c r="U47" s="8" t="s">
        <v>482</v>
      </c>
      <c r="V47" s="8" t="s">
        <v>385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493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15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401</v>
      </c>
      <c r="R48" s="8" t="s">
        <v>18</v>
      </c>
      <c r="S48" s="8" t="s">
        <v>67</v>
      </c>
      <c r="T48" s="8" t="s">
        <v>512</v>
      </c>
      <c r="U48" s="8" t="s">
        <v>482</v>
      </c>
      <c r="V48" s="8" t="s">
        <v>385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494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15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401</v>
      </c>
      <c r="R49" s="93" t="s">
        <v>18</v>
      </c>
      <c r="S49" s="93" t="s">
        <v>67</v>
      </c>
      <c r="T49" s="8" t="s">
        <v>512</v>
      </c>
      <c r="U49" s="8" t="s">
        <v>482</v>
      </c>
      <c r="V49" s="8" t="s">
        <v>385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494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15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401</v>
      </c>
      <c r="R50" s="93" t="s">
        <v>18</v>
      </c>
      <c r="S50" s="8" t="s">
        <v>67</v>
      </c>
      <c r="T50" s="8" t="s">
        <v>512</v>
      </c>
      <c r="U50" s="8" t="s">
        <v>482</v>
      </c>
      <c r="V50" s="8" t="s">
        <v>385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494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15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401</v>
      </c>
      <c r="R51" s="93" t="s">
        <v>18</v>
      </c>
      <c r="S51" s="93" t="s">
        <v>67</v>
      </c>
      <c r="T51" s="8" t="s">
        <v>512</v>
      </c>
      <c r="U51" s="8" t="s">
        <v>482</v>
      </c>
      <c r="V51" s="8" t="s">
        <v>385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494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15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401</v>
      </c>
      <c r="R52" s="93" t="s">
        <v>18</v>
      </c>
      <c r="S52" s="93" t="s">
        <v>67</v>
      </c>
      <c r="T52" s="8" t="s">
        <v>512</v>
      </c>
      <c r="U52" s="8" t="s">
        <v>482</v>
      </c>
      <c r="V52" s="8" t="s">
        <v>385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493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15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401</v>
      </c>
      <c r="R53" s="8" t="s">
        <v>18</v>
      </c>
      <c r="S53" s="8" t="s">
        <v>67</v>
      </c>
      <c r="T53" s="8" t="s">
        <v>512</v>
      </c>
      <c r="U53" s="8" t="s">
        <v>482</v>
      </c>
      <c r="V53" s="8" t="s">
        <v>385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493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15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401</v>
      </c>
      <c r="R54" s="8" t="s">
        <v>18</v>
      </c>
      <c r="S54" s="8" t="s">
        <v>67</v>
      </c>
      <c r="T54" s="8" t="s">
        <v>512</v>
      </c>
      <c r="U54" s="8" t="s">
        <v>482</v>
      </c>
      <c r="V54" s="8" t="s">
        <v>385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493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15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401</v>
      </c>
      <c r="R55" s="8" t="s">
        <v>18</v>
      </c>
      <c r="S55" s="8" t="s">
        <v>67</v>
      </c>
      <c r="T55" s="8" t="s">
        <v>512</v>
      </c>
      <c r="U55" s="8" t="s">
        <v>482</v>
      </c>
      <c r="V55" s="8" t="s">
        <v>385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493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15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401</v>
      </c>
      <c r="R56" s="8" t="s">
        <v>18</v>
      </c>
      <c r="S56" s="8" t="s">
        <v>67</v>
      </c>
      <c r="T56" s="8" t="s">
        <v>512</v>
      </c>
      <c r="U56" s="8" t="s">
        <v>482</v>
      </c>
      <c r="V56" s="8" t="s">
        <v>385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493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15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401</v>
      </c>
      <c r="R57" s="8" t="s">
        <v>18</v>
      </c>
      <c r="S57" s="8" t="s">
        <v>67</v>
      </c>
      <c r="T57" s="8" t="s">
        <v>512</v>
      </c>
      <c r="U57" s="8" t="s">
        <v>482</v>
      </c>
      <c r="V57" s="8" t="s">
        <v>385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274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22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401</v>
      </c>
      <c r="R58" s="8" t="s">
        <v>18</v>
      </c>
      <c r="S58" s="8" t="s">
        <v>67</v>
      </c>
      <c r="T58" s="8" t="s">
        <v>512</v>
      </c>
      <c r="U58" s="8" t="s">
        <v>482</v>
      </c>
      <c r="V58" s="8" t="s">
        <v>385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274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22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401</v>
      </c>
      <c r="R59" s="8" t="s">
        <v>18</v>
      </c>
      <c r="S59" s="8" t="s">
        <v>67</v>
      </c>
      <c r="T59" s="8" t="s">
        <v>512</v>
      </c>
      <c r="U59" s="8" t="s">
        <v>482</v>
      </c>
      <c r="V59" s="8" t="s">
        <v>385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8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4" t="s">
        <v>401</v>
      </c>
      <c r="R60" s="93" t="s">
        <v>18</v>
      </c>
      <c r="S60" s="93" t="s">
        <v>67</v>
      </c>
      <c r="T60" s="93" t="s">
        <v>512</v>
      </c>
      <c r="U60" s="8" t="s">
        <v>482</v>
      </c>
      <c r="V60" s="8" t="s">
        <v>385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8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4" t="s">
        <v>401</v>
      </c>
      <c r="R61" s="93" t="s">
        <v>18</v>
      </c>
      <c r="S61" s="93" t="s">
        <v>67</v>
      </c>
      <c r="T61" s="93" t="s">
        <v>512</v>
      </c>
      <c r="U61" s="8" t="s">
        <v>482</v>
      </c>
      <c r="V61" s="8" t="s">
        <v>385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8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4" t="s">
        <v>401</v>
      </c>
      <c r="R62" s="93" t="s">
        <v>18</v>
      </c>
      <c r="S62" s="93" t="s">
        <v>67</v>
      </c>
      <c r="T62" s="93" t="s">
        <v>512</v>
      </c>
      <c r="U62" s="8" t="s">
        <v>482</v>
      </c>
      <c r="V62" s="8" t="s">
        <v>385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8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401</v>
      </c>
      <c r="R63" s="93" t="s">
        <v>18</v>
      </c>
      <c r="S63" s="93" t="s">
        <v>67</v>
      </c>
      <c r="T63" s="93" t="s">
        <v>512</v>
      </c>
      <c r="U63" s="8" t="s">
        <v>482</v>
      </c>
      <c r="V63" s="8" t="s">
        <v>385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8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401</v>
      </c>
      <c r="R64" s="93" t="s">
        <v>18</v>
      </c>
      <c r="S64" s="93" t="s">
        <v>67</v>
      </c>
      <c r="T64" s="93" t="s">
        <v>512</v>
      </c>
      <c r="U64" s="8" t="s">
        <v>482</v>
      </c>
      <c r="V64" s="8" t="s">
        <v>385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8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401</v>
      </c>
      <c r="R65" s="93" t="s">
        <v>18</v>
      </c>
      <c r="S65" s="93" t="s">
        <v>67</v>
      </c>
      <c r="T65" s="93" t="s">
        <v>512</v>
      </c>
      <c r="U65" s="8" t="s">
        <v>482</v>
      </c>
      <c r="V65" s="8" t="s">
        <v>385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8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401</v>
      </c>
      <c r="R66" s="93" t="s">
        <v>18</v>
      </c>
      <c r="S66" s="93" t="s">
        <v>67</v>
      </c>
      <c r="T66" s="93" t="s">
        <v>512</v>
      </c>
      <c r="U66" s="8" t="s">
        <v>482</v>
      </c>
      <c r="V66" s="8" t="s">
        <v>385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274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22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401</v>
      </c>
      <c r="R67" s="8" t="s">
        <v>18</v>
      </c>
      <c r="S67" s="8" t="s">
        <v>67</v>
      </c>
      <c r="T67" s="8" t="s">
        <v>512</v>
      </c>
      <c r="U67" s="8" t="s">
        <v>482</v>
      </c>
      <c r="V67" s="8" t="s">
        <v>385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274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22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401</v>
      </c>
      <c r="R68" s="8" t="s">
        <v>18</v>
      </c>
      <c r="S68" s="8" t="s">
        <v>67</v>
      </c>
      <c r="T68" s="8" t="s">
        <v>512</v>
      </c>
      <c r="U68" s="8" t="s">
        <v>482</v>
      </c>
      <c r="V68" s="8" t="s">
        <v>385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29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401</v>
      </c>
      <c r="R69" s="8" t="s">
        <v>18</v>
      </c>
      <c r="S69" s="8" t="s">
        <v>67</v>
      </c>
      <c r="T69" s="8" t="s">
        <v>512</v>
      </c>
      <c r="U69" s="8" t="s">
        <v>482</v>
      </c>
      <c r="V69" s="8" t="s">
        <v>385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29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401</v>
      </c>
      <c r="R70" s="8" t="s">
        <v>18</v>
      </c>
      <c r="S70" s="8" t="s">
        <v>67</v>
      </c>
      <c r="T70" s="8" t="s">
        <v>512</v>
      </c>
      <c r="U70" s="8" t="s">
        <v>482</v>
      </c>
      <c r="V70" s="8" t="s">
        <v>385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29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401</v>
      </c>
      <c r="R71" s="8" t="s">
        <v>18</v>
      </c>
      <c r="S71" s="8" t="s">
        <v>67</v>
      </c>
      <c r="T71" s="8" t="s">
        <v>512</v>
      </c>
      <c r="U71" s="8" t="s">
        <v>482</v>
      </c>
      <c r="V71" s="8" t="s">
        <v>385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29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401</v>
      </c>
      <c r="R72" s="8" t="s">
        <v>18</v>
      </c>
      <c r="S72" s="8" t="s">
        <v>67</v>
      </c>
      <c r="T72" s="8" t="s">
        <v>512</v>
      </c>
      <c r="U72" s="8" t="s">
        <v>482</v>
      </c>
      <c r="V72" s="8" t="s">
        <v>385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29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401</v>
      </c>
      <c r="R73" s="8" t="s">
        <v>18</v>
      </c>
      <c r="S73" s="8" t="s">
        <v>67</v>
      </c>
      <c r="T73" s="8" t="s">
        <v>512</v>
      </c>
      <c r="U73" s="8" t="s">
        <v>482</v>
      </c>
      <c r="V73" s="8" t="s">
        <v>385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29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401</v>
      </c>
      <c r="R74" s="8" t="s">
        <v>18</v>
      </c>
      <c r="S74" s="8" t="s">
        <v>67</v>
      </c>
      <c r="T74" s="8" t="s">
        <v>512</v>
      </c>
      <c r="U74" s="8" t="s">
        <v>482</v>
      </c>
      <c r="V74" s="8" t="s">
        <v>385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33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4" t="s">
        <v>401</v>
      </c>
      <c r="R75" s="8" t="s">
        <v>18</v>
      </c>
      <c r="S75" s="8" t="s">
        <v>67</v>
      </c>
      <c r="T75" s="8" t="s">
        <v>512</v>
      </c>
      <c r="U75" s="8" t="s">
        <v>482</v>
      </c>
      <c r="V75" s="8" t="s">
        <v>385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33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4" t="s">
        <v>401</v>
      </c>
      <c r="R76" s="8" t="s">
        <v>18</v>
      </c>
      <c r="S76" s="8" t="s">
        <v>67</v>
      </c>
      <c r="T76" s="8" t="s">
        <v>512</v>
      </c>
      <c r="U76" s="8" t="s">
        <v>482</v>
      </c>
      <c r="V76" s="8" t="s">
        <v>385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33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4" t="s">
        <v>401</v>
      </c>
      <c r="R77" s="8" t="s">
        <v>18</v>
      </c>
      <c r="S77" s="8" t="s">
        <v>67</v>
      </c>
      <c r="T77" s="8" t="s">
        <v>512</v>
      </c>
      <c r="U77" s="8" t="s">
        <v>482</v>
      </c>
      <c r="V77" s="8" t="s">
        <v>385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J78" s="14">
        <v>46235</v>
      </c>
      <c r="K78" s="14"/>
      <c r="L78" s="37">
        <f ca="1">Tabela1[[#This Row],[Prazo
Entrega]]-TODAY()</f>
        <v>9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401</v>
      </c>
      <c r="R78" s="8" t="s">
        <v>18</v>
      </c>
      <c r="S78" s="8" t="s">
        <v>67</v>
      </c>
      <c r="T78" s="8" t="s">
        <v>512</v>
      </c>
      <c r="U78" s="8" t="s">
        <v>482</v>
      </c>
      <c r="V78" s="8" t="s">
        <v>385</v>
      </c>
      <c r="X78" s="8" t="str">
        <f t="shared" si="4"/>
        <v>AG. FUNDIDO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J79" s="14">
        <v>46295</v>
      </c>
      <c r="K79" s="14"/>
      <c r="L79" s="37">
        <f ca="1">Tabela1[[#This Row],[Prazo
Entrega]]-TODAY()</f>
        <v>69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401</v>
      </c>
      <c r="R79" s="8" t="s">
        <v>18</v>
      </c>
      <c r="S79" s="8" t="s">
        <v>67</v>
      </c>
      <c r="T79" s="8" t="s">
        <v>512</v>
      </c>
      <c r="U79" s="8" t="s">
        <v>482</v>
      </c>
      <c r="V79" s="8" t="s">
        <v>385</v>
      </c>
      <c r="X79" s="8" t="str">
        <f t="shared" si="4"/>
        <v>AG. FUNDIDO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J80" s="14">
        <v>46235</v>
      </c>
      <c r="K80" s="14"/>
      <c r="L80" s="37">
        <f ca="1">Tabela1[[#This Row],[Prazo
Entrega]]-TODAY()</f>
        <v>9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401</v>
      </c>
      <c r="R80" s="8" t="s">
        <v>18</v>
      </c>
      <c r="S80" s="8" t="s">
        <v>67</v>
      </c>
      <c r="T80" s="8" t="s">
        <v>512</v>
      </c>
      <c r="U80" s="8" t="s">
        <v>482</v>
      </c>
      <c r="V80" s="8" t="s">
        <v>385</v>
      </c>
      <c r="X80" s="8" t="str">
        <f t="shared" si="4"/>
        <v>AG. FUNDIDO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J81" s="14">
        <v>46266</v>
      </c>
      <c r="K81" s="14"/>
      <c r="L81" s="37">
        <f ca="1">Tabela1[[#This Row],[Prazo
Entrega]]-TODAY()</f>
        <v>40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401</v>
      </c>
      <c r="R81" s="8" t="s">
        <v>18</v>
      </c>
      <c r="S81" s="8" t="s">
        <v>67</v>
      </c>
      <c r="T81" s="8" t="s">
        <v>512</v>
      </c>
      <c r="U81" s="8" t="s">
        <v>482</v>
      </c>
      <c r="V81" s="8" t="s">
        <v>385</v>
      </c>
      <c r="X81" s="8" t="str">
        <f t="shared" si="4"/>
        <v>AG. FUNDIDO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J82" s="14">
        <v>46266</v>
      </c>
      <c r="K82" s="14"/>
      <c r="L82" s="37">
        <f ca="1">Tabela1[[#This Row],[Prazo
Entrega]]-TODAY()</f>
        <v>40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401</v>
      </c>
      <c r="R82" s="8" t="s">
        <v>18</v>
      </c>
      <c r="S82" s="8" t="s">
        <v>67</v>
      </c>
      <c r="T82" s="8" t="s">
        <v>512</v>
      </c>
      <c r="U82" s="8" t="s">
        <v>482</v>
      </c>
      <c r="V82" s="8" t="s">
        <v>385</v>
      </c>
      <c r="X82" s="8" t="str">
        <f t="shared" si="4"/>
        <v>AG. FUNDIDO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J83" s="14">
        <v>46295</v>
      </c>
      <c r="K83" s="14"/>
      <c r="L83" s="37">
        <f ca="1">Tabela1[[#This Row],[Prazo
Entrega]]-TODAY()</f>
        <v>69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401</v>
      </c>
      <c r="R83" s="8" t="s">
        <v>18</v>
      </c>
      <c r="S83" s="8" t="s">
        <v>67</v>
      </c>
      <c r="T83" s="8" t="s">
        <v>512</v>
      </c>
      <c r="U83" s="8" t="s">
        <v>482</v>
      </c>
      <c r="V83" s="8" t="s">
        <v>385</v>
      </c>
      <c r="X83" s="8" t="str">
        <f t="shared" si="4"/>
        <v>AG. FUNDIDO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84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401</v>
      </c>
      <c r="R84" s="8" t="s">
        <v>18</v>
      </c>
      <c r="S84" s="8" t="s">
        <v>402</v>
      </c>
      <c r="T84" s="8" t="s">
        <v>67</v>
      </c>
      <c r="U84" s="8" t="s">
        <v>512</v>
      </c>
      <c r="V84" s="8" t="s">
        <v>482</v>
      </c>
      <c r="W84" s="8" t="s">
        <v>385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84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401</v>
      </c>
      <c r="R85" s="8" t="s">
        <v>18</v>
      </c>
      <c r="S85" s="8" t="s">
        <v>402</v>
      </c>
      <c r="T85" s="8" t="s">
        <v>67</v>
      </c>
      <c r="U85" s="8" t="s">
        <v>512</v>
      </c>
      <c r="V85" s="8" t="s">
        <v>482</v>
      </c>
      <c r="W85" s="8" t="s">
        <v>385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84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401</v>
      </c>
      <c r="R86" s="8" t="s">
        <v>18</v>
      </c>
      <c r="S86" s="8" t="s">
        <v>402</v>
      </c>
      <c r="T86" s="8" t="s">
        <v>67</v>
      </c>
      <c r="U86" s="8" t="s">
        <v>512</v>
      </c>
      <c r="V86" s="8" t="s">
        <v>482</v>
      </c>
      <c r="W86" s="8" t="s">
        <v>385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84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401</v>
      </c>
      <c r="R87" s="8" t="s">
        <v>18</v>
      </c>
      <c r="S87" s="8" t="s">
        <v>402</v>
      </c>
      <c r="T87" s="8" t="s">
        <v>67</v>
      </c>
      <c r="U87" s="8" t="s">
        <v>512</v>
      </c>
      <c r="V87" s="8" t="s">
        <v>482</v>
      </c>
      <c r="W87" s="8" t="s">
        <v>385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84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401</v>
      </c>
      <c r="R88" s="8" t="s">
        <v>18</v>
      </c>
      <c r="S88" s="8" t="s">
        <v>402</v>
      </c>
      <c r="T88" s="8" t="s">
        <v>67</v>
      </c>
      <c r="U88" s="8" t="s">
        <v>512</v>
      </c>
      <c r="V88" s="8" t="s">
        <v>482</v>
      </c>
      <c r="W88" s="8" t="s">
        <v>385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84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401</v>
      </c>
      <c r="R89" s="8" t="s">
        <v>18</v>
      </c>
      <c r="S89" s="8" t="s">
        <v>402</v>
      </c>
      <c r="T89" s="8" t="s">
        <v>67</v>
      </c>
      <c r="U89" s="8" t="s">
        <v>512</v>
      </c>
      <c r="V89" s="8" t="s">
        <v>482</v>
      </c>
      <c r="W89" s="8" t="s">
        <v>385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55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401</v>
      </c>
      <c r="R90" s="8" t="s">
        <v>18</v>
      </c>
      <c r="S90" s="8" t="s">
        <v>67</v>
      </c>
      <c r="T90" s="8" t="s">
        <v>512</v>
      </c>
      <c r="U90" s="8" t="s">
        <v>482</v>
      </c>
      <c r="V90" s="8" t="s">
        <v>385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55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401</v>
      </c>
      <c r="R91" s="8" t="s">
        <v>18</v>
      </c>
      <c r="S91" s="8" t="s">
        <v>67</v>
      </c>
      <c r="T91" s="8" t="s">
        <v>512</v>
      </c>
      <c r="U91" s="8" t="s">
        <v>482</v>
      </c>
      <c r="V91" s="8" t="s">
        <v>385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55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401</v>
      </c>
      <c r="R92" s="8" t="s">
        <v>18</v>
      </c>
      <c r="S92" s="8" t="s">
        <v>67</v>
      </c>
      <c r="T92" s="8" t="s">
        <v>512</v>
      </c>
      <c r="U92" s="8" t="s">
        <v>482</v>
      </c>
      <c r="V92" s="8" t="s">
        <v>385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55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401</v>
      </c>
      <c r="R93" s="8" t="s">
        <v>18</v>
      </c>
      <c r="S93" s="8" t="s">
        <v>67</v>
      </c>
      <c r="T93" s="8" t="s">
        <v>512</v>
      </c>
      <c r="U93" s="8" t="s">
        <v>482</v>
      </c>
      <c r="V93" s="8" t="s">
        <v>385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55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401</v>
      </c>
      <c r="R94" s="8" t="s">
        <v>18</v>
      </c>
      <c r="S94" s="8" t="s">
        <v>67</v>
      </c>
      <c r="T94" s="8" t="s">
        <v>512</v>
      </c>
      <c r="U94" s="8" t="s">
        <v>482</v>
      </c>
      <c r="V94" s="8" t="s">
        <v>385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130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401</v>
      </c>
      <c r="R95" s="8" t="s">
        <v>18</v>
      </c>
      <c r="S95" s="8" t="s">
        <v>402</v>
      </c>
      <c r="T95" s="8" t="s">
        <v>67</v>
      </c>
      <c r="U95" s="8" t="s">
        <v>512</v>
      </c>
      <c r="V95" s="8" t="s">
        <v>482</v>
      </c>
      <c r="W95" s="8" t="s">
        <v>385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130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401</v>
      </c>
      <c r="R96" s="8" t="s">
        <v>18</v>
      </c>
      <c r="S96" s="8" t="s">
        <v>402</v>
      </c>
      <c r="T96" s="8" t="s">
        <v>67</v>
      </c>
      <c r="U96" s="8" t="s">
        <v>512</v>
      </c>
      <c r="V96" s="8" t="s">
        <v>482</v>
      </c>
      <c r="W96" s="8" t="s">
        <v>385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130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401</v>
      </c>
      <c r="R97" s="8" t="s">
        <v>18</v>
      </c>
      <c r="S97" s="8" t="s">
        <v>402</v>
      </c>
      <c r="T97" s="8" t="s">
        <v>67</v>
      </c>
      <c r="U97" s="8" t="s">
        <v>512</v>
      </c>
      <c r="V97" s="8" t="s">
        <v>482</v>
      </c>
      <c r="W97" s="8" t="s">
        <v>385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130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401</v>
      </c>
      <c r="R98" s="8" t="s">
        <v>18</v>
      </c>
      <c r="S98" s="8" t="s">
        <v>402</v>
      </c>
      <c r="T98" s="8" t="s">
        <v>67</v>
      </c>
      <c r="U98" s="8" t="s">
        <v>512</v>
      </c>
      <c r="V98" s="8" t="s">
        <v>482</v>
      </c>
      <c r="W98" s="8" t="s">
        <v>385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130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401</v>
      </c>
      <c r="R99" s="8" t="s">
        <v>18</v>
      </c>
      <c r="S99" s="8" t="s">
        <v>402</v>
      </c>
      <c r="T99" s="8" t="s">
        <v>67</v>
      </c>
      <c r="U99" s="8" t="s">
        <v>512</v>
      </c>
      <c r="V99" s="8" t="s">
        <v>482</v>
      </c>
      <c r="W99" s="8" t="s">
        <v>385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130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401</v>
      </c>
      <c r="R100" s="8" t="s">
        <v>18</v>
      </c>
      <c r="S100" s="8" t="s">
        <v>402</v>
      </c>
      <c r="T100" s="8" t="s">
        <v>67</v>
      </c>
      <c r="U100" s="8" t="s">
        <v>512</v>
      </c>
      <c r="V100" s="8" t="s">
        <v>482</v>
      </c>
      <c r="W100" s="8" t="s">
        <v>385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130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401</v>
      </c>
      <c r="R101" s="8" t="s">
        <v>18</v>
      </c>
      <c r="S101" s="8" t="s">
        <v>402</v>
      </c>
      <c r="T101" s="8" t="s">
        <v>67</v>
      </c>
      <c r="U101" s="8" t="s">
        <v>512</v>
      </c>
      <c r="V101" s="8" t="s">
        <v>482</v>
      </c>
      <c r="W101" s="8" t="s">
        <v>385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130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401</v>
      </c>
      <c r="R102" s="8" t="s">
        <v>18</v>
      </c>
      <c r="S102" s="8" t="s">
        <v>402</v>
      </c>
      <c r="T102" s="8" t="s">
        <v>67</v>
      </c>
      <c r="U102" s="8" t="s">
        <v>512</v>
      </c>
      <c r="V102" s="8" t="s">
        <v>482</v>
      </c>
      <c r="W102" s="8" t="s">
        <v>385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130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401</v>
      </c>
      <c r="R103" s="8" t="s">
        <v>18</v>
      </c>
      <c r="S103" s="8" t="s">
        <v>402</v>
      </c>
      <c r="T103" s="8" t="s">
        <v>67</v>
      </c>
      <c r="U103" s="8" t="s">
        <v>512</v>
      </c>
      <c r="V103" s="8" t="s">
        <v>482</v>
      </c>
      <c r="W103" s="8" t="s">
        <v>385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130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401</v>
      </c>
      <c r="R104" s="8" t="s">
        <v>18</v>
      </c>
      <c r="S104" s="8" t="s">
        <v>402</v>
      </c>
      <c r="T104" s="8" t="s">
        <v>67</v>
      </c>
      <c r="U104" s="8" t="s">
        <v>512</v>
      </c>
      <c r="V104" s="8" t="s">
        <v>482</v>
      </c>
      <c r="W104" s="8" t="s">
        <v>385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130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401</v>
      </c>
      <c r="R105" s="8" t="s">
        <v>18</v>
      </c>
      <c r="S105" s="8" t="s">
        <v>402</v>
      </c>
      <c r="T105" s="8" t="s">
        <v>67</v>
      </c>
      <c r="U105" s="8" t="s">
        <v>512</v>
      </c>
      <c r="V105" s="8" t="s">
        <v>482</v>
      </c>
      <c r="W105" s="8" t="s">
        <v>385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130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401</v>
      </c>
      <c r="R106" s="8" t="s">
        <v>18</v>
      </c>
      <c r="S106" s="8" t="s">
        <v>402</v>
      </c>
      <c r="T106" s="8" t="s">
        <v>67</v>
      </c>
      <c r="U106" s="8" t="s">
        <v>512</v>
      </c>
      <c r="V106" s="8" t="s">
        <v>482</v>
      </c>
      <c r="W106" s="8" t="s">
        <v>385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130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401</v>
      </c>
      <c r="R107" s="8" t="s">
        <v>18</v>
      </c>
      <c r="S107" s="8" t="s">
        <v>402</v>
      </c>
      <c r="T107" s="8" t="s">
        <v>67</v>
      </c>
      <c r="U107" s="8" t="s">
        <v>512</v>
      </c>
      <c r="V107" s="8" t="s">
        <v>482</v>
      </c>
      <c r="W107" s="8" t="s">
        <v>385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130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401</v>
      </c>
      <c r="R108" s="8" t="s">
        <v>18</v>
      </c>
      <c r="S108" s="8" t="s">
        <v>402</v>
      </c>
      <c r="T108" s="8" t="s">
        <v>67</v>
      </c>
      <c r="U108" s="8" t="s">
        <v>512</v>
      </c>
      <c r="V108" s="8" t="s">
        <v>482</v>
      </c>
      <c r="W108" s="8" t="s">
        <v>385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130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401</v>
      </c>
      <c r="R109" s="8" t="s">
        <v>18</v>
      </c>
      <c r="S109" s="8" t="s">
        <v>402</v>
      </c>
      <c r="T109" s="8" t="s">
        <v>67</v>
      </c>
      <c r="U109" s="8" t="s">
        <v>512</v>
      </c>
      <c r="V109" s="8" t="s">
        <v>482</v>
      </c>
      <c r="W109" s="8" t="s">
        <v>385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128</v>
      </c>
      <c r="F110" s="13" t="s">
        <v>129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99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401</v>
      </c>
      <c r="R110" s="8" t="s">
        <v>18</v>
      </c>
      <c r="S110" s="8" t="s">
        <v>402</v>
      </c>
      <c r="T110" s="8" t="s">
        <v>67</v>
      </c>
      <c r="U110" s="8" t="s">
        <v>512</v>
      </c>
      <c r="V110" s="8" t="s">
        <v>482</v>
      </c>
      <c r="W110" s="8" t="s">
        <v>385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128</v>
      </c>
      <c r="F111" s="13" t="s">
        <v>129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99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401</v>
      </c>
      <c r="R111" s="8" t="s">
        <v>18</v>
      </c>
      <c r="S111" s="8" t="s">
        <v>402</v>
      </c>
      <c r="T111" s="8" t="s">
        <v>67</v>
      </c>
      <c r="U111" s="8" t="s">
        <v>512</v>
      </c>
      <c r="V111" s="8" t="s">
        <v>482</v>
      </c>
      <c r="W111" s="8" t="s">
        <v>385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128</v>
      </c>
      <c r="F112" s="13" t="s">
        <v>129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99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401</v>
      </c>
      <c r="R112" s="8" t="s">
        <v>18</v>
      </c>
      <c r="S112" s="8" t="s">
        <v>402</v>
      </c>
      <c r="T112" s="8" t="s">
        <v>67</v>
      </c>
      <c r="U112" s="8" t="s">
        <v>512</v>
      </c>
      <c r="V112" s="8" t="s">
        <v>482</v>
      </c>
      <c r="W112" s="8" t="s">
        <v>385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128</v>
      </c>
      <c r="F113" s="13" t="s">
        <v>129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99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401</v>
      </c>
      <c r="R113" s="8" t="s">
        <v>18</v>
      </c>
      <c r="S113" s="8" t="s">
        <v>402</v>
      </c>
      <c r="T113" s="8" t="s">
        <v>67</v>
      </c>
      <c r="U113" s="8" t="s">
        <v>512</v>
      </c>
      <c r="V113" s="8" t="s">
        <v>482</v>
      </c>
      <c r="W113" s="8" t="s">
        <v>385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128</v>
      </c>
      <c r="F114" s="13" t="s">
        <v>129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99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401</v>
      </c>
      <c r="R114" s="8" t="s">
        <v>18</v>
      </c>
      <c r="S114" s="8" t="s">
        <v>402</v>
      </c>
      <c r="T114" s="8" t="s">
        <v>67</v>
      </c>
      <c r="U114" s="8" t="s">
        <v>512</v>
      </c>
      <c r="V114" s="8" t="s">
        <v>482</v>
      </c>
      <c r="W114" s="8" t="s">
        <v>385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160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401</v>
      </c>
      <c r="R115" s="8" t="s">
        <v>18</v>
      </c>
      <c r="S115" s="8" t="s">
        <v>402</v>
      </c>
      <c r="T115" s="8" t="s">
        <v>67</v>
      </c>
      <c r="U115" s="8" t="s">
        <v>512</v>
      </c>
      <c r="V115" s="8" t="s">
        <v>482</v>
      </c>
      <c r="W115" s="8" t="s">
        <v>385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160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401</v>
      </c>
      <c r="R116" s="8" t="s">
        <v>18</v>
      </c>
      <c r="S116" s="8" t="s">
        <v>402</v>
      </c>
      <c r="T116" s="8" t="s">
        <v>67</v>
      </c>
      <c r="U116" s="8" t="s">
        <v>512</v>
      </c>
      <c r="V116" s="8" t="s">
        <v>482</v>
      </c>
      <c r="W116" s="8" t="s">
        <v>385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523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160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401</v>
      </c>
      <c r="R117" s="8" t="s">
        <v>18</v>
      </c>
      <c r="S117" s="8" t="s">
        <v>402</v>
      </c>
      <c r="T117" s="8" t="s">
        <v>67</v>
      </c>
      <c r="U117" s="8" t="s">
        <v>512</v>
      </c>
      <c r="V117" s="8" t="s">
        <v>482</v>
      </c>
      <c r="W117" s="8" t="s">
        <v>385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160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401</v>
      </c>
      <c r="R118" s="8" t="s">
        <v>18</v>
      </c>
      <c r="S118" s="8" t="s">
        <v>402</v>
      </c>
      <c r="T118" s="8" t="s">
        <v>67</v>
      </c>
      <c r="U118" s="8" t="s">
        <v>512</v>
      </c>
      <c r="V118" s="8" t="s">
        <v>482</v>
      </c>
      <c r="W118" s="8" t="s">
        <v>385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524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160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401</v>
      </c>
      <c r="R119" s="8" t="s">
        <v>18</v>
      </c>
      <c r="S119" s="8" t="s">
        <v>402</v>
      </c>
      <c r="T119" s="8" t="s">
        <v>67</v>
      </c>
      <c r="U119" s="8" t="s">
        <v>512</v>
      </c>
      <c r="V119" s="8" t="s">
        <v>482</v>
      </c>
      <c r="W119" s="8" t="s">
        <v>385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160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401</v>
      </c>
      <c r="R120" s="8" t="s">
        <v>18</v>
      </c>
      <c r="S120" s="8" t="s">
        <v>402</v>
      </c>
      <c r="T120" s="8" t="s">
        <v>67</v>
      </c>
      <c r="U120" s="8" t="s">
        <v>512</v>
      </c>
      <c r="V120" s="8" t="s">
        <v>482</v>
      </c>
      <c r="W120" s="8" t="s">
        <v>385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tabSelected="1" topLeftCell="E1" workbookViewId="0">
      <selection activeCell="K99" sqref="K99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503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235</v>
      </c>
      <c r="R1" s="98" t="s">
        <v>236</v>
      </c>
      <c r="S1" s="98" t="s">
        <v>237</v>
      </c>
      <c r="T1" s="98" t="s">
        <v>238</v>
      </c>
      <c r="U1" s="98" t="s">
        <v>239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504</v>
      </c>
      <c r="R2" s="93" t="s">
        <v>505</v>
      </c>
      <c r="S2" s="93" t="s">
        <v>232</v>
      </c>
      <c r="T2" s="93" t="s">
        <v>383</v>
      </c>
      <c r="U2" s="96"/>
      <c r="V2" s="8" t="s">
        <v>306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504</v>
      </c>
      <c r="R3" s="93" t="s">
        <v>505</v>
      </c>
      <c r="S3" s="93" t="s">
        <v>232</v>
      </c>
      <c r="T3" s="93" t="s">
        <v>383</v>
      </c>
      <c r="U3" s="96"/>
      <c r="V3" s="8" t="s">
        <v>306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504</v>
      </c>
      <c r="R4" s="93" t="s">
        <v>505</v>
      </c>
      <c r="S4" s="93" t="s">
        <v>232</v>
      </c>
      <c r="T4" s="93" t="s">
        <v>383</v>
      </c>
      <c r="U4" s="96"/>
      <c r="V4" s="8" t="s">
        <v>306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504</v>
      </c>
      <c r="R5" s="93" t="s">
        <v>505</v>
      </c>
      <c r="S5" s="93" t="s">
        <v>232</v>
      </c>
      <c r="T5" s="93" t="s">
        <v>383</v>
      </c>
      <c r="U5" s="96"/>
      <c r="V5" s="8" t="s">
        <v>306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504</v>
      </c>
      <c r="R6" s="93" t="s">
        <v>505</v>
      </c>
      <c r="S6" s="93" t="s">
        <v>232</v>
      </c>
      <c r="T6" s="93" t="s">
        <v>383</v>
      </c>
      <c r="U6" s="96"/>
      <c r="V6" s="8" t="s">
        <v>306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504</v>
      </c>
      <c r="R7" s="93" t="s">
        <v>505</v>
      </c>
      <c r="S7" s="93" t="s">
        <v>232</v>
      </c>
      <c r="T7" s="93" t="s">
        <v>383</v>
      </c>
      <c r="U7" s="96"/>
      <c r="V7" s="8" t="s">
        <v>306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504</v>
      </c>
      <c r="R8" s="93" t="s">
        <v>505</v>
      </c>
      <c r="S8" s="93" t="s">
        <v>232</v>
      </c>
      <c r="T8" s="93" t="s">
        <v>383</v>
      </c>
      <c r="U8" s="96"/>
      <c r="V8" s="8" t="s">
        <v>306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504</v>
      </c>
      <c r="R9" s="93" t="s">
        <v>505</v>
      </c>
      <c r="S9" s="93" t="s">
        <v>232</v>
      </c>
      <c r="T9" s="93" t="s">
        <v>383</v>
      </c>
      <c r="U9" s="96"/>
      <c r="V9" s="8" t="s">
        <v>306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504</v>
      </c>
      <c r="R10" s="93" t="s">
        <v>505</v>
      </c>
      <c r="S10" s="93" t="s">
        <v>232</v>
      </c>
      <c r="T10" s="93" t="s">
        <v>383</v>
      </c>
      <c r="U10" s="96"/>
      <c r="V10" s="8" t="s">
        <v>306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504</v>
      </c>
      <c r="R11" s="93" t="s">
        <v>505</v>
      </c>
      <c r="S11" s="93" t="s">
        <v>232</v>
      </c>
      <c r="T11" s="93" t="s">
        <v>383</v>
      </c>
      <c r="U11" s="96"/>
      <c r="V11" s="8" t="s">
        <v>306</v>
      </c>
      <c r="W11" s="8" t="s">
        <v>244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504</v>
      </c>
      <c r="R12" s="93" t="s">
        <v>505</v>
      </c>
      <c r="S12" s="93" t="s">
        <v>232</v>
      </c>
      <c r="T12" s="93" t="s">
        <v>383</v>
      </c>
      <c r="U12" s="96"/>
      <c r="V12" s="8" t="s">
        <v>306</v>
      </c>
      <c r="W12" s="8" t="s">
        <v>245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504</v>
      </c>
      <c r="R13" s="93" t="s">
        <v>505</v>
      </c>
      <c r="S13" s="93" t="s">
        <v>232</v>
      </c>
      <c r="T13" s="93" t="s">
        <v>383</v>
      </c>
      <c r="U13" s="96"/>
      <c r="V13" s="8" t="s">
        <v>306</v>
      </c>
      <c r="W13" s="8" t="s">
        <v>246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504</v>
      </c>
      <c r="R14" s="93" t="s">
        <v>505</v>
      </c>
      <c r="S14" s="93" t="s">
        <v>232</v>
      </c>
      <c r="T14" s="93" t="s">
        <v>383</v>
      </c>
      <c r="U14" s="96"/>
      <c r="V14" s="8" t="s">
        <v>334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504</v>
      </c>
      <c r="R15" s="93" t="s">
        <v>505</v>
      </c>
      <c r="S15" s="93" t="s">
        <v>232</v>
      </c>
      <c r="T15" s="93" t="s">
        <v>383</v>
      </c>
      <c r="U15" s="96"/>
      <c r="V15" s="8" t="s">
        <v>334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504</v>
      </c>
      <c r="R16" s="93" t="s">
        <v>505</v>
      </c>
      <c r="S16" s="93" t="s">
        <v>232</v>
      </c>
      <c r="T16" s="93" t="s">
        <v>383</v>
      </c>
      <c r="U16" s="96"/>
      <c r="V16" s="8" t="s">
        <v>334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504</v>
      </c>
      <c r="R17" s="93" t="s">
        <v>505</v>
      </c>
      <c r="S17" s="93" t="s">
        <v>232</v>
      </c>
      <c r="T17" s="93" t="s">
        <v>383</v>
      </c>
      <c r="U17" s="96"/>
      <c r="V17" s="8" t="s">
        <v>334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504</v>
      </c>
      <c r="R18" s="93" t="s">
        <v>505</v>
      </c>
      <c r="S18" s="93" t="s">
        <v>232</v>
      </c>
      <c r="T18" s="93" t="s">
        <v>383</v>
      </c>
      <c r="U18" s="96"/>
      <c r="V18" s="8" t="s">
        <v>334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504</v>
      </c>
      <c r="R19" s="93" t="s">
        <v>505</v>
      </c>
      <c r="S19" s="93" t="s">
        <v>232</v>
      </c>
      <c r="T19" s="93" t="s">
        <v>383</v>
      </c>
      <c r="U19" s="96"/>
      <c r="V19" s="8" t="s">
        <v>334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504</v>
      </c>
      <c r="R20" s="93" t="s">
        <v>505</v>
      </c>
      <c r="S20" s="93" t="s">
        <v>232</v>
      </c>
      <c r="T20" s="93" t="s">
        <v>383</v>
      </c>
      <c r="U20" s="96"/>
      <c r="V20" s="8" t="s">
        <v>334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504</v>
      </c>
      <c r="R21" s="93" t="s">
        <v>505</v>
      </c>
      <c r="S21" s="93" t="s">
        <v>232</v>
      </c>
      <c r="T21" s="93" t="s">
        <v>383</v>
      </c>
      <c r="U21" s="96"/>
      <c r="V21" s="8" t="s">
        <v>334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504</v>
      </c>
      <c r="R22" s="93" t="s">
        <v>505</v>
      </c>
      <c r="S22" s="93" t="s">
        <v>232</v>
      </c>
      <c r="T22" s="93" t="s">
        <v>383</v>
      </c>
      <c r="U22" s="96"/>
      <c r="V22" s="8" t="s">
        <v>334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504</v>
      </c>
      <c r="R23" s="93" t="s">
        <v>505</v>
      </c>
      <c r="S23" s="93" t="s">
        <v>232</v>
      </c>
      <c r="T23" s="93" t="s">
        <v>383</v>
      </c>
      <c r="U23" s="96"/>
      <c r="V23" s="8" t="s">
        <v>334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504</v>
      </c>
      <c r="R24" s="93" t="s">
        <v>505</v>
      </c>
      <c r="S24" s="93" t="s">
        <v>232</v>
      </c>
      <c r="T24" s="93" t="s">
        <v>383</v>
      </c>
      <c r="U24" s="96"/>
      <c r="V24" s="8" t="s">
        <v>334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504</v>
      </c>
      <c r="R25" s="93" t="s">
        <v>505</v>
      </c>
      <c r="S25" s="93" t="s">
        <v>232</v>
      </c>
      <c r="T25" s="93" t="s">
        <v>383</v>
      </c>
      <c r="U25" s="96"/>
      <c r="V25" s="8" t="s">
        <v>334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504</v>
      </c>
      <c r="R26" s="93" t="s">
        <v>505</v>
      </c>
      <c r="S26" s="93" t="s">
        <v>232</v>
      </c>
      <c r="T26" s="93" t="s">
        <v>383</v>
      </c>
      <c r="U26" s="96"/>
      <c r="V26" s="8" t="s">
        <v>334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504</v>
      </c>
      <c r="R27" s="93" t="s">
        <v>505</v>
      </c>
      <c r="S27" s="93" t="s">
        <v>232</v>
      </c>
      <c r="T27" s="93" t="s">
        <v>383</v>
      </c>
      <c r="U27" s="96"/>
      <c r="V27" s="8" t="s">
        <v>334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504</v>
      </c>
      <c r="R28" s="93" t="s">
        <v>505</v>
      </c>
      <c r="S28" s="93" t="s">
        <v>232</v>
      </c>
      <c r="T28" s="93" t="s">
        <v>383</v>
      </c>
      <c r="U28" s="96"/>
      <c r="V28" s="8" t="s">
        <v>334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504</v>
      </c>
      <c r="R29" s="93" t="s">
        <v>505</v>
      </c>
      <c r="S29" s="93" t="s">
        <v>232</v>
      </c>
      <c r="T29" s="93" t="s">
        <v>383</v>
      </c>
      <c r="U29" s="96"/>
      <c r="V29" s="8" t="s">
        <v>334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504</v>
      </c>
      <c r="R30" s="93" t="s">
        <v>505</v>
      </c>
      <c r="S30" s="93" t="s">
        <v>232</v>
      </c>
      <c r="T30" s="93" t="s">
        <v>383</v>
      </c>
      <c r="U30" s="96"/>
      <c r="V30" s="8" t="s">
        <v>334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504</v>
      </c>
      <c r="R31" s="93" t="s">
        <v>505</v>
      </c>
      <c r="S31" s="93" t="s">
        <v>232</v>
      </c>
      <c r="T31" s="93" t="s">
        <v>383</v>
      </c>
      <c r="U31" s="96"/>
      <c r="V31" s="8" t="s">
        <v>334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504</v>
      </c>
      <c r="R32" s="93" t="s">
        <v>505</v>
      </c>
      <c r="S32" s="93" t="s">
        <v>232</v>
      </c>
      <c r="T32" s="93" t="s">
        <v>383</v>
      </c>
      <c r="U32" s="96"/>
      <c r="V32" s="8" t="s">
        <v>334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7</v>
      </c>
      <c r="O33" s="8" t="str">
        <f t="shared" ca="1" si="0"/>
        <v>ATENÇÃO</v>
      </c>
      <c r="P33" s="8" t="s">
        <v>32</v>
      </c>
      <c r="Q33" s="93" t="s">
        <v>504</v>
      </c>
      <c r="R33" s="93" t="s">
        <v>505</v>
      </c>
      <c r="S33" s="96" t="s">
        <v>506</v>
      </c>
      <c r="T33" s="96" t="s">
        <v>232</v>
      </c>
      <c r="U33" s="8" t="s">
        <v>383</v>
      </c>
      <c r="V33" s="8" t="s">
        <v>507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7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504</v>
      </c>
      <c r="R34" s="93" t="s">
        <v>505</v>
      </c>
      <c r="S34" s="96" t="s">
        <v>506</v>
      </c>
      <c r="T34" s="96" t="s">
        <v>232</v>
      </c>
      <c r="U34" s="8" t="s">
        <v>383</v>
      </c>
      <c r="V34" s="8" t="s">
        <v>507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7</v>
      </c>
      <c r="O35" s="8" t="str">
        <f t="shared" ca="1" si="1"/>
        <v>ATENÇÃO</v>
      </c>
      <c r="P35" s="8" t="s">
        <v>32</v>
      </c>
      <c r="Q35" s="93" t="s">
        <v>504</v>
      </c>
      <c r="R35" s="93" t="s">
        <v>505</v>
      </c>
      <c r="S35" s="96" t="s">
        <v>506</v>
      </c>
      <c r="T35" s="96" t="s">
        <v>232</v>
      </c>
      <c r="U35" s="8" t="s">
        <v>383</v>
      </c>
      <c r="V35" s="8" t="s">
        <v>507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7</v>
      </c>
      <c r="O36" s="8" t="str">
        <f t="shared" ca="1" si="1"/>
        <v>ATENÇÃO</v>
      </c>
      <c r="P36" s="8" t="s">
        <v>32</v>
      </c>
      <c r="Q36" s="93" t="s">
        <v>504</v>
      </c>
      <c r="R36" s="93" t="s">
        <v>505</v>
      </c>
      <c r="S36" s="96" t="s">
        <v>506</v>
      </c>
      <c r="T36" s="96" t="s">
        <v>232</v>
      </c>
      <c r="U36" s="8" t="s">
        <v>383</v>
      </c>
      <c r="V36" s="8" t="s">
        <v>507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7</v>
      </c>
      <c r="O37" s="8" t="str">
        <f t="shared" ca="1" si="1"/>
        <v>ATENÇÃO</v>
      </c>
      <c r="P37" s="8" t="s">
        <v>32</v>
      </c>
      <c r="Q37" s="93" t="s">
        <v>504</v>
      </c>
      <c r="R37" s="93" t="s">
        <v>505</v>
      </c>
      <c r="S37" s="96" t="s">
        <v>506</v>
      </c>
      <c r="T37" s="96" t="s">
        <v>232</v>
      </c>
      <c r="U37" s="8" t="s">
        <v>383</v>
      </c>
      <c r="V37" s="8" t="s">
        <v>507</v>
      </c>
      <c r="W37" s="8"/>
    </row>
    <row r="38" spans="1:23" hidden="1" x14ac:dyDescent="0.25">
      <c r="A38" s="13">
        <v>1031</v>
      </c>
      <c r="B38" s="13">
        <v>3</v>
      </c>
      <c r="C38" s="13">
        <v>27609</v>
      </c>
      <c r="D38" s="13">
        <v>3</v>
      </c>
      <c r="E38" s="8" t="s">
        <v>89</v>
      </c>
      <c r="F38" s="8" t="s">
        <v>61</v>
      </c>
      <c r="G38" s="8">
        <v>1</v>
      </c>
      <c r="H38" s="16">
        <v>46226</v>
      </c>
      <c r="I38" s="8"/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40</v>
      </c>
      <c r="O38" s="8" t="str">
        <f t="shared" ca="1" si="1"/>
        <v>NO PRAZO</v>
      </c>
      <c r="P38" s="8" t="s">
        <v>32</v>
      </c>
      <c r="Q38" s="96" t="s">
        <v>504</v>
      </c>
      <c r="R38" s="96" t="s">
        <v>505</v>
      </c>
      <c r="S38" s="96" t="s">
        <v>232</v>
      </c>
      <c r="T38" s="96" t="s">
        <v>383</v>
      </c>
      <c r="U38" s="96"/>
      <c r="V38" s="8" t="s">
        <v>48</v>
      </c>
      <c r="W38" s="8"/>
    </row>
    <row r="39" spans="1:23" hidden="1" x14ac:dyDescent="0.25">
      <c r="A39" s="13">
        <v>1031</v>
      </c>
      <c r="B39" s="13">
        <v>4</v>
      </c>
      <c r="C39" s="13">
        <v>27609</v>
      </c>
      <c r="D39" s="13">
        <v>4</v>
      </c>
      <c r="E39" s="8" t="s">
        <v>89</v>
      </c>
      <c r="F39" s="8" t="s">
        <v>61</v>
      </c>
      <c r="G39" s="8">
        <v>1</v>
      </c>
      <c r="H39" s="16">
        <v>46226</v>
      </c>
      <c r="I39" s="8"/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40</v>
      </c>
      <c r="O39" s="8" t="str">
        <f t="shared" ca="1" si="1"/>
        <v>NO PRAZO</v>
      </c>
      <c r="P39" s="8" t="s">
        <v>32</v>
      </c>
      <c r="Q39" s="96" t="s">
        <v>504</v>
      </c>
      <c r="R39" s="96" t="s">
        <v>505</v>
      </c>
      <c r="S39" s="96" t="s">
        <v>232</v>
      </c>
      <c r="T39" s="96" t="s">
        <v>383</v>
      </c>
      <c r="U39" s="96"/>
      <c r="V39" s="8" t="s">
        <v>48</v>
      </c>
      <c r="W39" s="8"/>
    </row>
    <row r="40" spans="1:23" hidden="1" x14ac:dyDescent="0.25">
      <c r="A40" s="13">
        <v>1031</v>
      </c>
      <c r="B40" s="13">
        <v>5</v>
      </c>
      <c r="C40" s="13">
        <v>27609</v>
      </c>
      <c r="D40" s="13">
        <v>5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40</v>
      </c>
      <c r="O40" s="8" t="str">
        <f t="shared" ca="1" si="1"/>
        <v>NO PRAZO</v>
      </c>
      <c r="P40" s="8" t="s">
        <v>32</v>
      </c>
      <c r="Q40" s="96" t="s">
        <v>504</v>
      </c>
      <c r="R40" s="96" t="s">
        <v>505</v>
      </c>
      <c r="S40" s="96" t="s">
        <v>232</v>
      </c>
      <c r="T40" s="96" t="s">
        <v>383</v>
      </c>
      <c r="U40" s="96"/>
      <c r="V40" s="8" t="s">
        <v>48</v>
      </c>
      <c r="W40" s="8"/>
    </row>
    <row r="41" spans="1:23" hidden="1" x14ac:dyDescent="0.25">
      <c r="A41" s="13">
        <v>1031</v>
      </c>
      <c r="B41" s="13">
        <v>6</v>
      </c>
      <c r="C41" s="13">
        <v>27609</v>
      </c>
      <c r="D41" s="13">
        <v>6</v>
      </c>
      <c r="E41" s="8" t="s">
        <v>89</v>
      </c>
      <c r="F41" s="8" t="s">
        <v>61</v>
      </c>
      <c r="G41" s="8">
        <v>1</v>
      </c>
      <c r="H41" s="16">
        <v>46226</v>
      </c>
      <c r="I41" s="8"/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40</v>
      </c>
      <c r="O41" s="8" t="str">
        <f t="shared" ca="1" si="1"/>
        <v>NO PRAZO</v>
      </c>
      <c r="P41" s="8" t="s">
        <v>32</v>
      </c>
      <c r="Q41" s="96" t="s">
        <v>504</v>
      </c>
      <c r="R41" s="96" t="s">
        <v>505</v>
      </c>
      <c r="S41" s="96" t="s">
        <v>232</v>
      </c>
      <c r="T41" s="96" t="s">
        <v>383</v>
      </c>
      <c r="U41" s="96"/>
      <c r="V41" s="8" t="s">
        <v>48</v>
      </c>
      <c r="W41" s="8"/>
    </row>
    <row r="42" spans="1:23" hidden="1" x14ac:dyDescent="0.25">
      <c r="A42" s="13">
        <v>1031</v>
      </c>
      <c r="B42" s="13">
        <v>7</v>
      </c>
      <c r="C42" s="13">
        <v>27609</v>
      </c>
      <c r="D42" s="13">
        <v>7</v>
      </c>
      <c r="E42" s="8" t="s">
        <v>89</v>
      </c>
      <c r="F42" s="8" t="s">
        <v>61</v>
      </c>
      <c r="G42" s="8">
        <v>1</v>
      </c>
      <c r="H42" s="16">
        <v>46226</v>
      </c>
      <c r="I42" s="8"/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40</v>
      </c>
      <c r="O42" s="8" t="str">
        <f t="shared" ca="1" si="1"/>
        <v>NO PRAZO</v>
      </c>
      <c r="P42" s="8" t="s">
        <v>32</v>
      </c>
      <c r="Q42" s="96" t="s">
        <v>504</v>
      </c>
      <c r="R42" s="96" t="s">
        <v>505</v>
      </c>
      <c r="S42" s="96" t="s">
        <v>232</v>
      </c>
      <c r="T42" s="96" t="s">
        <v>383</v>
      </c>
      <c r="U42" s="96"/>
      <c r="V42" s="8" t="s">
        <v>48</v>
      </c>
      <c r="W42" s="8"/>
    </row>
    <row r="43" spans="1:23" hidden="1" x14ac:dyDescent="0.25">
      <c r="A43" s="13">
        <v>1031</v>
      </c>
      <c r="B43" s="13">
        <v>8</v>
      </c>
      <c r="C43" s="13">
        <v>27609</v>
      </c>
      <c r="D43" s="13">
        <v>8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40</v>
      </c>
      <c r="O43" s="8" t="str">
        <f t="shared" ca="1" si="1"/>
        <v>NO PRAZO</v>
      </c>
      <c r="P43" s="8" t="s">
        <v>32</v>
      </c>
      <c r="Q43" s="96" t="s">
        <v>504</v>
      </c>
      <c r="R43" s="96" t="s">
        <v>505</v>
      </c>
      <c r="S43" s="96" t="s">
        <v>232</v>
      </c>
      <c r="T43" s="96" t="s">
        <v>383</v>
      </c>
      <c r="U43" s="96"/>
      <c r="V43" s="8" t="s">
        <v>48</v>
      </c>
      <c r="W43" s="8"/>
    </row>
    <row r="44" spans="1:23" hidden="1" x14ac:dyDescent="0.25">
      <c r="A44" s="13">
        <v>1031</v>
      </c>
      <c r="B44" s="13">
        <v>9</v>
      </c>
      <c r="C44" s="13">
        <v>27609</v>
      </c>
      <c r="D44" s="13">
        <v>9</v>
      </c>
      <c r="E44" s="8" t="s">
        <v>89</v>
      </c>
      <c r="F44" s="8" t="s">
        <v>60</v>
      </c>
      <c r="G44" s="8">
        <v>1</v>
      </c>
      <c r="H44" s="16">
        <v>46226</v>
      </c>
      <c r="I44" s="8"/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40</v>
      </c>
      <c r="O44" s="8" t="str">
        <f t="shared" ca="1" si="1"/>
        <v>NO PRAZO</v>
      </c>
      <c r="P44" s="8" t="s">
        <v>32</v>
      </c>
      <c r="Q44" s="96" t="s">
        <v>504</v>
      </c>
      <c r="R44" s="96" t="s">
        <v>505</v>
      </c>
      <c r="S44" s="96" t="s">
        <v>232</v>
      </c>
      <c r="T44" s="96" t="s">
        <v>383</v>
      </c>
      <c r="U44" s="96"/>
      <c r="V44" s="8" t="s">
        <v>48</v>
      </c>
      <c r="W44" s="8"/>
    </row>
    <row r="45" spans="1:23" hidden="1" x14ac:dyDescent="0.25">
      <c r="A45" s="13">
        <v>1031</v>
      </c>
      <c r="B45" s="13">
        <v>10</v>
      </c>
      <c r="C45" s="13">
        <v>27609</v>
      </c>
      <c r="D45" s="13">
        <v>10</v>
      </c>
      <c r="E45" s="8" t="s">
        <v>89</v>
      </c>
      <c r="F45" s="8" t="s">
        <v>60</v>
      </c>
      <c r="G45" s="8">
        <v>1</v>
      </c>
      <c r="H45" s="16">
        <v>46226</v>
      </c>
      <c r="I45" s="8"/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40</v>
      </c>
      <c r="O45" s="8" t="str">
        <f t="shared" ca="1" si="1"/>
        <v>NO PRAZO</v>
      </c>
      <c r="P45" s="8" t="s">
        <v>32</v>
      </c>
      <c r="Q45" s="96" t="s">
        <v>504</v>
      </c>
      <c r="R45" s="96" t="s">
        <v>505</v>
      </c>
      <c r="S45" s="96" t="s">
        <v>232</v>
      </c>
      <c r="T45" s="96" t="s">
        <v>383</v>
      </c>
      <c r="U45" s="96"/>
      <c r="V45" s="8" t="s">
        <v>48</v>
      </c>
      <c r="W45" s="8"/>
    </row>
    <row r="46" spans="1:23" hidden="1" x14ac:dyDescent="0.25">
      <c r="A46" s="13">
        <v>1031</v>
      </c>
      <c r="B46" s="13">
        <v>11</v>
      </c>
      <c r="C46" s="13">
        <v>27609</v>
      </c>
      <c r="D46" s="13">
        <v>11</v>
      </c>
      <c r="E46" s="8" t="s">
        <v>89</v>
      </c>
      <c r="F46" s="8" t="s">
        <v>60</v>
      </c>
      <c r="G46" s="8">
        <v>1</v>
      </c>
      <c r="H46" s="16">
        <v>46226</v>
      </c>
      <c r="I46" s="8"/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40</v>
      </c>
      <c r="O46" s="8" t="str">
        <f t="shared" ca="1" si="1"/>
        <v>NO PRAZO</v>
      </c>
      <c r="P46" s="8" t="s">
        <v>32</v>
      </c>
      <c r="Q46" s="96" t="s">
        <v>504</v>
      </c>
      <c r="R46" s="96" t="s">
        <v>505</v>
      </c>
      <c r="S46" s="96" t="s">
        <v>232</v>
      </c>
      <c r="T46" s="96" t="s">
        <v>383</v>
      </c>
      <c r="U46" s="96"/>
      <c r="V46" s="8" t="s">
        <v>48</v>
      </c>
      <c r="W46" s="8"/>
    </row>
    <row r="47" spans="1:23" hidden="1" x14ac:dyDescent="0.25">
      <c r="A47" s="13">
        <v>1031</v>
      </c>
      <c r="B47" s="13">
        <v>12</v>
      </c>
      <c r="C47" s="13">
        <v>27609</v>
      </c>
      <c r="D47" s="13">
        <v>12</v>
      </c>
      <c r="E47" s="8" t="s">
        <v>89</v>
      </c>
      <c r="F47" s="8" t="s">
        <v>60</v>
      </c>
      <c r="G47" s="8">
        <v>1</v>
      </c>
      <c r="H47" s="16">
        <v>46226</v>
      </c>
      <c r="I47" s="8"/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40</v>
      </c>
      <c r="O47" s="8" t="str">
        <f t="shared" ca="1" si="1"/>
        <v>NO PRAZO</v>
      </c>
      <c r="P47" s="8" t="s">
        <v>32</v>
      </c>
      <c r="Q47" s="96" t="s">
        <v>504</v>
      </c>
      <c r="R47" s="96" t="s">
        <v>505</v>
      </c>
      <c r="S47" s="96" t="s">
        <v>232</v>
      </c>
      <c r="T47" s="96" t="s">
        <v>383</v>
      </c>
      <c r="U47" s="96"/>
      <c r="V47" s="8" t="s">
        <v>48</v>
      </c>
      <c r="W47" s="8"/>
    </row>
    <row r="48" spans="1:23" hidden="1" x14ac:dyDescent="0.25">
      <c r="A48" s="13">
        <v>1031</v>
      </c>
      <c r="B48" s="13">
        <v>13</v>
      </c>
      <c r="C48" s="13">
        <v>27609</v>
      </c>
      <c r="D48" s="13">
        <v>13</v>
      </c>
      <c r="E48" s="8" t="s">
        <v>89</v>
      </c>
      <c r="F48" s="8" t="s">
        <v>60</v>
      </c>
      <c r="G48" s="8">
        <v>1</v>
      </c>
      <c r="H48" s="16">
        <v>46226</v>
      </c>
      <c r="I48" s="8"/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40</v>
      </c>
      <c r="O48" s="8" t="str">
        <f t="shared" ca="1" si="1"/>
        <v>NO PRAZO</v>
      </c>
      <c r="P48" s="8" t="s">
        <v>32</v>
      </c>
      <c r="Q48" s="96" t="s">
        <v>504</v>
      </c>
      <c r="R48" s="96" t="s">
        <v>505</v>
      </c>
      <c r="S48" s="96" t="s">
        <v>232</v>
      </c>
      <c r="T48" s="96" t="s">
        <v>383</v>
      </c>
      <c r="U48" s="96"/>
      <c r="V48" s="8" t="s">
        <v>48</v>
      </c>
      <c r="W48" s="8"/>
    </row>
    <row r="49" spans="1:23" hidden="1" x14ac:dyDescent="0.25">
      <c r="A49" s="13">
        <v>1031</v>
      </c>
      <c r="B49" s="13">
        <v>14</v>
      </c>
      <c r="C49" s="13">
        <v>27609</v>
      </c>
      <c r="D49" s="13">
        <v>14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40</v>
      </c>
      <c r="O49" s="8" t="str">
        <f t="shared" ca="1" si="1"/>
        <v>NO PRAZO</v>
      </c>
      <c r="P49" s="8" t="s">
        <v>32</v>
      </c>
      <c r="Q49" s="96" t="s">
        <v>504</v>
      </c>
      <c r="R49" s="96" t="s">
        <v>505</v>
      </c>
      <c r="S49" s="96" t="s">
        <v>232</v>
      </c>
      <c r="T49" s="96" t="s">
        <v>383</v>
      </c>
      <c r="U49" s="96"/>
      <c r="V49" s="8" t="s">
        <v>48</v>
      </c>
      <c r="W49" s="8"/>
    </row>
    <row r="50" spans="1:23" hidden="1" x14ac:dyDescent="0.25">
      <c r="A50" s="13">
        <v>1031</v>
      </c>
      <c r="B50" s="13">
        <v>15</v>
      </c>
      <c r="C50" s="13">
        <v>27609</v>
      </c>
      <c r="D50" s="13">
        <v>15</v>
      </c>
      <c r="E50" s="8" t="s">
        <v>89</v>
      </c>
      <c r="F50" s="8" t="s">
        <v>95</v>
      </c>
      <c r="G50" s="8">
        <v>1</v>
      </c>
      <c r="H50" s="16">
        <v>46236</v>
      </c>
      <c r="I50" s="8"/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50</v>
      </c>
      <c r="O50" s="8" t="str">
        <f t="shared" ca="1" si="1"/>
        <v>NO PRAZO</v>
      </c>
      <c r="P50" s="8" t="s">
        <v>32</v>
      </c>
      <c r="Q50" s="96" t="s">
        <v>504</v>
      </c>
      <c r="R50" s="96" t="s">
        <v>505</v>
      </c>
      <c r="S50" s="96" t="s">
        <v>232</v>
      </c>
      <c r="T50" s="96" t="s">
        <v>383</v>
      </c>
      <c r="U50" s="96"/>
      <c r="V50" s="8" t="s">
        <v>48</v>
      </c>
      <c r="W50" s="8"/>
    </row>
    <row r="51" spans="1:23" hidden="1" x14ac:dyDescent="0.25">
      <c r="A51" s="13">
        <v>1031</v>
      </c>
      <c r="B51" s="13">
        <v>16</v>
      </c>
      <c r="C51" s="13">
        <v>27609</v>
      </c>
      <c r="D51" s="13">
        <v>16</v>
      </c>
      <c r="E51" s="8" t="s">
        <v>89</v>
      </c>
      <c r="F51" s="8" t="s">
        <v>95</v>
      </c>
      <c r="G51" s="8">
        <v>1</v>
      </c>
      <c r="H51" s="16">
        <v>46236</v>
      </c>
      <c r="I51" s="8"/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50</v>
      </c>
      <c r="O51" s="8" t="str">
        <f t="shared" ca="1" si="1"/>
        <v>NO PRAZO</v>
      </c>
      <c r="P51" s="8" t="s">
        <v>32</v>
      </c>
      <c r="Q51" s="96" t="s">
        <v>504</v>
      </c>
      <c r="R51" s="96" t="s">
        <v>505</v>
      </c>
      <c r="S51" s="96" t="s">
        <v>232</v>
      </c>
      <c r="T51" s="96" t="s">
        <v>383</v>
      </c>
      <c r="U51" s="96"/>
      <c r="V51" s="8" t="s">
        <v>48</v>
      </c>
      <c r="W51" s="8"/>
    </row>
    <row r="52" spans="1:23" hidden="1" x14ac:dyDescent="0.25">
      <c r="A52" s="13">
        <v>1031</v>
      </c>
      <c r="B52" s="13">
        <v>17</v>
      </c>
      <c r="C52" s="13">
        <v>27609</v>
      </c>
      <c r="D52" s="13">
        <v>17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50</v>
      </c>
      <c r="O52" s="8" t="str">
        <f t="shared" ca="1" si="1"/>
        <v>NO PRAZO</v>
      </c>
      <c r="P52" s="8" t="s">
        <v>32</v>
      </c>
      <c r="Q52" s="96" t="s">
        <v>504</v>
      </c>
      <c r="R52" s="96" t="s">
        <v>505</v>
      </c>
      <c r="S52" s="96" t="s">
        <v>232</v>
      </c>
      <c r="T52" s="96" t="s">
        <v>383</v>
      </c>
      <c r="U52" s="96"/>
      <c r="V52" s="8" t="s">
        <v>48</v>
      </c>
      <c r="W52" s="8"/>
    </row>
    <row r="53" spans="1:23" hidden="1" x14ac:dyDescent="0.25">
      <c r="A53" s="13">
        <v>1031</v>
      </c>
      <c r="B53" s="13">
        <v>18</v>
      </c>
      <c r="C53" s="13">
        <v>27609</v>
      </c>
      <c r="D53" s="13">
        <v>18</v>
      </c>
      <c r="E53" s="8" t="s">
        <v>89</v>
      </c>
      <c r="F53" s="8" t="s">
        <v>95</v>
      </c>
      <c r="G53" s="8">
        <v>1</v>
      </c>
      <c r="H53" s="16">
        <v>46236</v>
      </c>
      <c r="I53" s="8"/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50</v>
      </c>
      <c r="O53" s="8" t="str">
        <f t="shared" ca="1" si="1"/>
        <v>NO PRAZO</v>
      </c>
      <c r="P53" s="8" t="s">
        <v>32</v>
      </c>
      <c r="Q53" s="96" t="s">
        <v>504</v>
      </c>
      <c r="R53" s="96" t="s">
        <v>505</v>
      </c>
      <c r="S53" s="96" t="s">
        <v>232</v>
      </c>
      <c r="T53" s="96" t="s">
        <v>383</v>
      </c>
      <c r="U53" s="96"/>
      <c r="V53" s="8" t="s">
        <v>48</v>
      </c>
      <c r="W53" s="8"/>
    </row>
    <row r="54" spans="1:23" hidden="1" x14ac:dyDescent="0.25">
      <c r="A54" s="13">
        <v>1031</v>
      </c>
      <c r="B54" s="13">
        <v>19</v>
      </c>
      <c r="C54" s="13">
        <v>27609</v>
      </c>
      <c r="D54" s="13">
        <v>19</v>
      </c>
      <c r="E54" s="8" t="s">
        <v>89</v>
      </c>
      <c r="F54" s="8" t="s">
        <v>95</v>
      </c>
      <c r="G54" s="8">
        <v>1</v>
      </c>
      <c r="H54" s="16">
        <v>46236</v>
      </c>
      <c r="I54" s="8"/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50</v>
      </c>
      <c r="O54" s="8" t="str">
        <f t="shared" ca="1" si="1"/>
        <v>NO PRAZO</v>
      </c>
      <c r="P54" s="8" t="s">
        <v>32</v>
      </c>
      <c r="Q54" s="96" t="s">
        <v>504</v>
      </c>
      <c r="R54" s="96" t="s">
        <v>505</v>
      </c>
      <c r="S54" s="96" t="s">
        <v>232</v>
      </c>
      <c r="T54" s="96" t="s">
        <v>383</v>
      </c>
      <c r="U54" s="96"/>
      <c r="V54" s="8" t="s">
        <v>48</v>
      </c>
      <c r="W54" s="8"/>
    </row>
    <row r="55" spans="1:23" hidden="1" x14ac:dyDescent="0.25">
      <c r="A55" s="13">
        <v>1031</v>
      </c>
      <c r="B55" s="13">
        <v>20</v>
      </c>
      <c r="C55" s="13">
        <v>27609</v>
      </c>
      <c r="D55" s="13">
        <v>20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50</v>
      </c>
      <c r="O55" s="8" t="str">
        <f t="shared" ca="1" si="1"/>
        <v>NO PRAZO</v>
      </c>
      <c r="P55" s="8" t="s">
        <v>32</v>
      </c>
      <c r="Q55" s="96" t="s">
        <v>504</v>
      </c>
      <c r="R55" s="96" t="s">
        <v>505</v>
      </c>
      <c r="S55" s="96" t="s">
        <v>232</v>
      </c>
      <c r="T55" s="96" t="s">
        <v>383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3">
        <v>27609</v>
      </c>
      <c r="D56" s="13">
        <v>21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50</v>
      </c>
      <c r="O56" s="8" t="str">
        <f t="shared" ca="1" si="1"/>
        <v>NO PRAZO</v>
      </c>
      <c r="P56" s="8" t="s">
        <v>32</v>
      </c>
      <c r="Q56" s="96" t="s">
        <v>504</v>
      </c>
      <c r="R56" s="96" t="s">
        <v>505</v>
      </c>
      <c r="S56" s="96" t="s">
        <v>232</v>
      </c>
      <c r="T56" s="96" t="s">
        <v>383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3">
        <v>27609</v>
      </c>
      <c r="D57" s="13">
        <v>22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50</v>
      </c>
      <c r="O57" s="8" t="str">
        <f t="shared" ca="1" si="1"/>
        <v>NO PRAZO</v>
      </c>
      <c r="P57" s="8" t="s">
        <v>32</v>
      </c>
      <c r="Q57" s="96" t="s">
        <v>504</v>
      </c>
      <c r="R57" s="96" t="s">
        <v>505</v>
      </c>
      <c r="S57" s="96" t="s">
        <v>232</v>
      </c>
      <c r="T57" s="96" t="s">
        <v>383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3">
        <v>27609</v>
      </c>
      <c r="D58" s="13">
        <v>23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50</v>
      </c>
      <c r="O58" s="8" t="str">
        <f t="shared" ca="1" si="1"/>
        <v>NO PRAZO</v>
      </c>
      <c r="P58" s="8" t="s">
        <v>32</v>
      </c>
      <c r="Q58" s="96" t="s">
        <v>504</v>
      </c>
      <c r="R58" s="96" t="s">
        <v>505</v>
      </c>
      <c r="S58" s="96" t="s">
        <v>232</v>
      </c>
      <c r="T58" s="96" t="s">
        <v>383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3">
        <v>27609</v>
      </c>
      <c r="D59" s="13">
        <v>24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50</v>
      </c>
      <c r="O59" s="8" t="str">
        <f t="shared" ca="1" si="1"/>
        <v>NO PRAZO</v>
      </c>
      <c r="P59" s="8" t="s">
        <v>32</v>
      </c>
      <c r="Q59" s="96" t="s">
        <v>504</v>
      </c>
      <c r="R59" s="96" t="s">
        <v>505</v>
      </c>
      <c r="S59" s="96" t="s">
        <v>232</v>
      </c>
      <c r="T59" s="96" t="s">
        <v>383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3">
        <v>27609</v>
      </c>
      <c r="D60" s="13">
        <v>25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50</v>
      </c>
      <c r="O60" s="8" t="str">
        <f t="shared" ca="1" si="1"/>
        <v>NO PRAZO</v>
      </c>
      <c r="P60" s="8" t="s">
        <v>32</v>
      </c>
      <c r="Q60" s="96" t="s">
        <v>504</v>
      </c>
      <c r="R60" s="96" t="s">
        <v>505</v>
      </c>
      <c r="S60" s="96" t="s">
        <v>232</v>
      </c>
      <c r="T60" s="96" t="s">
        <v>383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3">
        <v>27609</v>
      </c>
      <c r="D61" s="13">
        <v>26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50</v>
      </c>
      <c r="O61" s="8" t="str">
        <f t="shared" ca="1" si="1"/>
        <v>NO PRAZO</v>
      </c>
      <c r="P61" s="8" t="s">
        <v>32</v>
      </c>
      <c r="Q61" s="96" t="s">
        <v>504</v>
      </c>
      <c r="R61" s="96" t="s">
        <v>505</v>
      </c>
      <c r="S61" s="96" t="s">
        <v>232</v>
      </c>
      <c r="T61" s="96" t="s">
        <v>383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3">
        <v>27609</v>
      </c>
      <c r="D62" s="13">
        <v>27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50</v>
      </c>
      <c r="O62" s="8" t="str">
        <f t="shared" ca="1" si="1"/>
        <v>NO PRAZO</v>
      </c>
      <c r="P62" s="8" t="s">
        <v>32</v>
      </c>
      <c r="Q62" s="96" t="s">
        <v>504</v>
      </c>
      <c r="R62" s="96" t="s">
        <v>505</v>
      </c>
      <c r="S62" s="96" t="s">
        <v>232</v>
      </c>
      <c r="T62" s="96" t="s">
        <v>383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3">
        <v>27609</v>
      </c>
      <c r="D63" s="13">
        <v>28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50</v>
      </c>
      <c r="O63" s="8" t="str">
        <f t="shared" ca="1" si="1"/>
        <v>NO PRAZO</v>
      </c>
      <c r="P63" s="8" t="s">
        <v>32</v>
      </c>
      <c r="Q63" s="96" t="s">
        <v>504</v>
      </c>
      <c r="R63" s="96" t="s">
        <v>505</v>
      </c>
      <c r="S63" s="96" t="s">
        <v>232</v>
      </c>
      <c r="T63" s="96" t="s">
        <v>383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3">
        <v>27609</v>
      </c>
      <c r="D64" s="13">
        <v>29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50</v>
      </c>
      <c r="O64" s="8" t="str">
        <f t="shared" ca="1" si="1"/>
        <v>NO PRAZO</v>
      </c>
      <c r="P64" s="8" t="s">
        <v>32</v>
      </c>
      <c r="Q64" s="96" t="s">
        <v>504</v>
      </c>
      <c r="R64" s="96" t="s">
        <v>505</v>
      </c>
      <c r="S64" s="96" t="s">
        <v>232</v>
      </c>
      <c r="T64" s="96" t="s">
        <v>383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3">
        <v>27609</v>
      </c>
      <c r="D65" s="13">
        <v>30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60</v>
      </c>
      <c r="O65" s="8" t="str">
        <f t="shared" ca="1" si="1"/>
        <v>NO PRAZO</v>
      </c>
      <c r="P65" s="8" t="s">
        <v>32</v>
      </c>
      <c r="Q65" s="96" t="s">
        <v>504</v>
      </c>
      <c r="R65" s="96" t="s">
        <v>505</v>
      </c>
      <c r="S65" s="96" t="s">
        <v>232</v>
      </c>
      <c r="T65" s="96" t="s">
        <v>383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3">
        <v>27609</v>
      </c>
      <c r="D66" s="13">
        <v>31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60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504</v>
      </c>
      <c r="R66" s="96" t="s">
        <v>505</v>
      </c>
      <c r="S66" s="96" t="s">
        <v>232</v>
      </c>
      <c r="T66" s="96" t="s">
        <v>383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3">
        <v>27609</v>
      </c>
      <c r="D67" s="13">
        <v>32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60</v>
      </c>
      <c r="O67" s="8" t="str">
        <f t="shared" ca="1" si="2"/>
        <v>NO PRAZO</v>
      </c>
      <c r="P67" s="8" t="s">
        <v>32</v>
      </c>
      <c r="Q67" s="96" t="s">
        <v>504</v>
      </c>
      <c r="R67" s="96" t="s">
        <v>505</v>
      </c>
      <c r="S67" s="96" t="s">
        <v>232</v>
      </c>
      <c r="T67" s="96" t="s">
        <v>383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3">
        <v>27609</v>
      </c>
      <c r="D68" s="13">
        <v>33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60</v>
      </c>
      <c r="O68" s="8" t="str">
        <f t="shared" ca="1" si="2"/>
        <v>NO PRAZO</v>
      </c>
      <c r="P68" s="8" t="s">
        <v>32</v>
      </c>
      <c r="Q68" s="96" t="s">
        <v>504</v>
      </c>
      <c r="R68" s="96" t="s">
        <v>505</v>
      </c>
      <c r="S68" s="96" t="s">
        <v>232</v>
      </c>
      <c r="T68" s="96" t="s">
        <v>383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3">
        <v>27609</v>
      </c>
      <c r="D69" s="13">
        <v>34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60</v>
      </c>
      <c r="O69" s="8" t="str">
        <f t="shared" ca="1" si="2"/>
        <v>NO PRAZO</v>
      </c>
      <c r="P69" s="8" t="s">
        <v>32</v>
      </c>
      <c r="Q69" s="96" t="s">
        <v>504</v>
      </c>
      <c r="R69" s="96" t="s">
        <v>505</v>
      </c>
      <c r="S69" s="96" t="s">
        <v>232</v>
      </c>
      <c r="T69" s="96" t="s">
        <v>383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3">
        <v>27609</v>
      </c>
      <c r="D70" s="13">
        <v>35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60</v>
      </c>
      <c r="O70" s="8" t="str">
        <f t="shared" ca="1" si="2"/>
        <v>NO PRAZO</v>
      </c>
      <c r="P70" s="8" t="s">
        <v>32</v>
      </c>
      <c r="Q70" s="96" t="s">
        <v>504</v>
      </c>
      <c r="R70" s="96" t="s">
        <v>505</v>
      </c>
      <c r="S70" s="96" t="s">
        <v>232</v>
      </c>
      <c r="T70" s="96" t="s">
        <v>383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3">
        <v>27609</v>
      </c>
      <c r="D71" s="13">
        <v>36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60</v>
      </c>
      <c r="O71" s="8" t="str">
        <f t="shared" ca="1" si="2"/>
        <v>NO PRAZO</v>
      </c>
      <c r="P71" s="8" t="s">
        <v>32</v>
      </c>
      <c r="Q71" s="96" t="s">
        <v>504</v>
      </c>
      <c r="R71" s="96" t="s">
        <v>505</v>
      </c>
      <c r="S71" s="96" t="s">
        <v>232</v>
      </c>
      <c r="T71" s="96" t="s">
        <v>383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3">
        <v>27609</v>
      </c>
      <c r="D72" s="13">
        <v>37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60</v>
      </c>
      <c r="O72" s="8" t="str">
        <f t="shared" ca="1" si="2"/>
        <v>NO PRAZO</v>
      </c>
      <c r="P72" s="8" t="s">
        <v>32</v>
      </c>
      <c r="Q72" s="96" t="s">
        <v>504</v>
      </c>
      <c r="R72" s="96" t="s">
        <v>505</v>
      </c>
      <c r="S72" s="96" t="s">
        <v>232</v>
      </c>
      <c r="T72" s="96" t="s">
        <v>383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3">
        <v>27609</v>
      </c>
      <c r="D73" s="13">
        <v>38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60</v>
      </c>
      <c r="O73" s="8" t="str">
        <f t="shared" ca="1" si="2"/>
        <v>NO PRAZO</v>
      </c>
      <c r="P73" s="8" t="s">
        <v>32</v>
      </c>
      <c r="Q73" s="96" t="s">
        <v>504</v>
      </c>
      <c r="R73" s="96" t="s">
        <v>505</v>
      </c>
      <c r="S73" s="96" t="s">
        <v>232</v>
      </c>
      <c r="T73" s="96" t="s">
        <v>383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3">
        <v>27609</v>
      </c>
      <c r="D74" s="13">
        <v>39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60</v>
      </c>
      <c r="O74" s="8" t="str">
        <f t="shared" ca="1" si="2"/>
        <v>NO PRAZO</v>
      </c>
      <c r="P74" s="8" t="s">
        <v>32</v>
      </c>
      <c r="Q74" s="96" t="s">
        <v>504</v>
      </c>
      <c r="R74" s="96" t="s">
        <v>505</v>
      </c>
      <c r="S74" s="96" t="s">
        <v>232</v>
      </c>
      <c r="T74" s="96" t="s">
        <v>383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3">
        <v>27609</v>
      </c>
      <c r="D75" s="13">
        <v>40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60</v>
      </c>
      <c r="O75" s="8" t="str">
        <f t="shared" ca="1" si="2"/>
        <v>NO PRAZO</v>
      </c>
      <c r="P75" s="8" t="s">
        <v>32</v>
      </c>
      <c r="Q75" s="96" t="s">
        <v>504</v>
      </c>
      <c r="R75" s="96" t="s">
        <v>505</v>
      </c>
      <c r="S75" s="96" t="s">
        <v>232</v>
      </c>
      <c r="T75" s="96" t="s">
        <v>383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3">
        <v>27609</v>
      </c>
      <c r="D76" s="13">
        <v>41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60</v>
      </c>
      <c r="O76" s="8" t="str">
        <f t="shared" ca="1" si="2"/>
        <v>NO PRAZO</v>
      </c>
      <c r="P76" s="8" t="s">
        <v>32</v>
      </c>
      <c r="Q76" s="96" t="s">
        <v>504</v>
      </c>
      <c r="R76" s="96" t="s">
        <v>505</v>
      </c>
      <c r="S76" s="96" t="s">
        <v>232</v>
      </c>
      <c r="T76" s="96" t="s">
        <v>383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3">
        <v>27609</v>
      </c>
      <c r="D77" s="13">
        <v>42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60</v>
      </c>
      <c r="O77" s="8" t="str">
        <f t="shared" ca="1" si="2"/>
        <v>NO PRAZO</v>
      </c>
      <c r="P77" s="8" t="s">
        <v>32</v>
      </c>
      <c r="Q77" s="96" t="s">
        <v>504</v>
      </c>
      <c r="R77" s="96" t="s">
        <v>505</v>
      </c>
      <c r="S77" s="96" t="s">
        <v>232</v>
      </c>
      <c r="T77" s="96" t="s">
        <v>383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3">
        <v>27609</v>
      </c>
      <c r="D78" s="13">
        <v>43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60</v>
      </c>
      <c r="O78" s="8" t="str">
        <f t="shared" ca="1" si="2"/>
        <v>NO PRAZO</v>
      </c>
      <c r="P78" s="8" t="s">
        <v>32</v>
      </c>
      <c r="Q78" s="96" t="s">
        <v>504</v>
      </c>
      <c r="R78" s="96" t="s">
        <v>505</v>
      </c>
      <c r="S78" s="96" t="s">
        <v>232</v>
      </c>
      <c r="T78" s="96" t="s">
        <v>383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3">
        <v>27609</v>
      </c>
      <c r="D79" s="13">
        <v>44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60</v>
      </c>
      <c r="O79" s="8" t="str">
        <f t="shared" ca="1" si="2"/>
        <v>NO PRAZO</v>
      </c>
      <c r="P79" s="8" t="s">
        <v>32</v>
      </c>
      <c r="Q79" s="96" t="s">
        <v>504</v>
      </c>
      <c r="R79" s="96" t="s">
        <v>505</v>
      </c>
      <c r="S79" s="96" t="s">
        <v>232</v>
      </c>
      <c r="T79" s="96" t="s">
        <v>383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3">
        <v>27609</v>
      </c>
      <c r="D80" s="13">
        <v>45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40</v>
      </c>
      <c r="O80" s="8" t="str">
        <f t="shared" ca="1" si="2"/>
        <v>NO PRAZO</v>
      </c>
      <c r="P80" s="8" t="s">
        <v>32</v>
      </c>
      <c r="Q80" s="96" t="s">
        <v>504</v>
      </c>
      <c r="R80" s="96" t="s">
        <v>505</v>
      </c>
      <c r="S80" s="96" t="s">
        <v>232</v>
      </c>
      <c r="T80" s="96" t="s">
        <v>383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3">
        <v>27609</v>
      </c>
      <c r="D81" s="13">
        <v>46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40</v>
      </c>
      <c r="O81" s="8" t="str">
        <f t="shared" ca="1" si="2"/>
        <v>NO PRAZO</v>
      </c>
      <c r="P81" s="8" t="s">
        <v>32</v>
      </c>
      <c r="Q81" s="96" t="s">
        <v>504</v>
      </c>
      <c r="R81" s="96" t="s">
        <v>505</v>
      </c>
      <c r="S81" s="96" t="s">
        <v>232</v>
      </c>
      <c r="T81" s="96" t="s">
        <v>383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3">
        <v>27609</v>
      </c>
      <c r="D82" s="13">
        <v>47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40</v>
      </c>
      <c r="O82" s="8" t="str">
        <f t="shared" ca="1" si="2"/>
        <v>NO PRAZO</v>
      </c>
      <c r="P82" s="8" t="s">
        <v>32</v>
      </c>
      <c r="Q82" s="96" t="s">
        <v>504</v>
      </c>
      <c r="R82" s="96" t="s">
        <v>505</v>
      </c>
      <c r="S82" s="96" t="s">
        <v>232</v>
      </c>
      <c r="T82" s="96" t="s">
        <v>383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3">
        <v>27609</v>
      </c>
      <c r="D83" s="13">
        <v>48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70</v>
      </c>
      <c r="O83" s="8" t="str">
        <f t="shared" ca="1" si="2"/>
        <v>NO PRAZO</v>
      </c>
      <c r="P83" s="8" t="s">
        <v>32</v>
      </c>
      <c r="Q83" s="96" t="s">
        <v>504</v>
      </c>
      <c r="R83" s="96" t="s">
        <v>505</v>
      </c>
      <c r="S83" s="96" t="s">
        <v>232</v>
      </c>
      <c r="T83" s="96" t="s">
        <v>383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3">
        <v>27609</v>
      </c>
      <c r="D84" s="13">
        <v>49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70</v>
      </c>
      <c r="O84" s="8" t="str">
        <f t="shared" ca="1" si="2"/>
        <v>NO PRAZO</v>
      </c>
      <c r="P84" s="8" t="s">
        <v>32</v>
      </c>
      <c r="Q84" s="96" t="s">
        <v>504</v>
      </c>
      <c r="R84" s="96" t="s">
        <v>505</v>
      </c>
      <c r="S84" s="96" t="s">
        <v>232</v>
      </c>
      <c r="T84" s="96" t="s">
        <v>383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3">
        <v>27609</v>
      </c>
      <c r="D85" s="13">
        <v>50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70</v>
      </c>
      <c r="O85" s="8" t="str">
        <f t="shared" ca="1" si="2"/>
        <v>NO PRAZO</v>
      </c>
      <c r="P85" s="8" t="s">
        <v>32</v>
      </c>
      <c r="Q85" s="96" t="s">
        <v>504</v>
      </c>
      <c r="R85" s="96" t="s">
        <v>505</v>
      </c>
      <c r="S85" s="96" t="s">
        <v>232</v>
      </c>
      <c r="T85" s="96" t="s">
        <v>383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3">
        <v>27609</v>
      </c>
      <c r="D86" s="13">
        <v>51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70</v>
      </c>
      <c r="O86" s="8" t="str">
        <f t="shared" ca="1" si="2"/>
        <v>NO PRAZO</v>
      </c>
      <c r="P86" s="8" t="s">
        <v>32</v>
      </c>
      <c r="Q86" s="96" t="s">
        <v>504</v>
      </c>
      <c r="R86" s="96" t="s">
        <v>505</v>
      </c>
      <c r="S86" s="96" t="s">
        <v>232</v>
      </c>
      <c r="T86" s="96" t="s">
        <v>383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3">
        <v>27609</v>
      </c>
      <c r="D87" s="13">
        <v>52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70</v>
      </c>
      <c r="O87" s="8" t="str">
        <f t="shared" ca="1" si="2"/>
        <v>NO PRAZO</v>
      </c>
      <c r="P87" s="8" t="s">
        <v>32</v>
      </c>
      <c r="Q87" s="96" t="s">
        <v>504</v>
      </c>
      <c r="R87" s="96" t="s">
        <v>505</v>
      </c>
      <c r="S87" s="96" t="s">
        <v>232</v>
      </c>
      <c r="T87" s="96" t="s">
        <v>383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3">
        <v>27609</v>
      </c>
      <c r="D88" s="13">
        <v>53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70</v>
      </c>
      <c r="O88" s="8" t="str">
        <f t="shared" ca="1" si="2"/>
        <v>NO PRAZO</v>
      </c>
      <c r="P88" s="8" t="s">
        <v>32</v>
      </c>
      <c r="Q88" s="96" t="s">
        <v>504</v>
      </c>
      <c r="R88" s="96" t="s">
        <v>505</v>
      </c>
      <c r="S88" s="96" t="s">
        <v>232</v>
      </c>
      <c r="T88" s="96" t="s">
        <v>383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3">
        <v>27609</v>
      </c>
      <c r="D89" s="13">
        <v>54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70</v>
      </c>
      <c r="O89" s="8" t="str">
        <f t="shared" ca="1" si="2"/>
        <v>NO PRAZO</v>
      </c>
      <c r="P89" s="8" t="s">
        <v>32</v>
      </c>
      <c r="Q89" s="96" t="s">
        <v>504</v>
      </c>
      <c r="R89" s="96" t="s">
        <v>505</v>
      </c>
      <c r="S89" s="96" t="s">
        <v>232</v>
      </c>
      <c r="T89" s="96" t="s">
        <v>383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3">
        <v>27609</v>
      </c>
      <c r="D90" s="13">
        <v>55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70</v>
      </c>
      <c r="O90" s="8" t="str">
        <f t="shared" ca="1" si="2"/>
        <v>NO PRAZO</v>
      </c>
      <c r="P90" s="8" t="s">
        <v>32</v>
      </c>
      <c r="Q90" s="96" t="s">
        <v>504</v>
      </c>
      <c r="R90" s="96" t="s">
        <v>505</v>
      </c>
      <c r="S90" s="96" t="s">
        <v>232</v>
      </c>
      <c r="T90" s="96" t="s">
        <v>383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3">
        <v>27609</v>
      </c>
      <c r="D91" s="13">
        <v>56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70</v>
      </c>
      <c r="O91" s="8" t="str">
        <f t="shared" ca="1" si="2"/>
        <v>NO PRAZO</v>
      </c>
      <c r="P91" s="8" t="s">
        <v>32</v>
      </c>
      <c r="Q91" s="96" t="s">
        <v>504</v>
      </c>
      <c r="R91" s="96" t="s">
        <v>505</v>
      </c>
      <c r="S91" s="96" t="s">
        <v>232</v>
      </c>
      <c r="T91" s="96" t="s">
        <v>383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128</v>
      </c>
      <c r="F92" s="8" t="s">
        <v>143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99</v>
      </c>
      <c r="O92" s="8" t="str">
        <f ca="1">IF(N92&lt;0,"ATRASADO",IF(N92&lt;=15,"ATENÇÃO","NO PRAZO"))</f>
        <v>NO PRAZO</v>
      </c>
      <c r="P92" s="8" t="s">
        <v>32</v>
      </c>
      <c r="Q92" s="96" t="s">
        <v>504</v>
      </c>
      <c r="R92" s="96" t="s">
        <v>505</v>
      </c>
      <c r="S92" s="96" t="s">
        <v>232</v>
      </c>
      <c r="T92" s="96" t="s">
        <v>383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128</v>
      </c>
      <c r="F93" s="8" t="s">
        <v>143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99</v>
      </c>
      <c r="O93" s="8" t="str">
        <f ca="1">IF(N93&lt;0,"ATRASADO",IF(N93&lt;=15,"ATENÇÃO","NO PRAZO"))</f>
        <v>NO PRAZO</v>
      </c>
      <c r="P93" s="8" t="s">
        <v>32</v>
      </c>
      <c r="Q93" s="96" t="s">
        <v>504</v>
      </c>
      <c r="R93" s="96" t="s">
        <v>505</v>
      </c>
      <c r="S93" s="96" t="s">
        <v>232</v>
      </c>
      <c r="T93" s="96" t="s">
        <v>383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128</v>
      </c>
      <c r="F94" s="8" t="s">
        <v>143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99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504</v>
      </c>
      <c r="R94" s="96" t="s">
        <v>505</v>
      </c>
      <c r="S94" s="96" t="s">
        <v>232</v>
      </c>
      <c r="T94" s="96" t="s">
        <v>383</v>
      </c>
      <c r="U94" s="96"/>
      <c r="V94" s="8" t="s">
        <v>203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128</v>
      </c>
      <c r="F95" s="8" t="s">
        <v>143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99</v>
      </c>
      <c r="O95" s="8" t="str">
        <f t="shared" ca="1" si="3"/>
        <v>NO PRAZO</v>
      </c>
      <c r="P95" s="8" t="s">
        <v>32</v>
      </c>
      <c r="Q95" s="96" t="s">
        <v>504</v>
      </c>
      <c r="R95" s="96" t="s">
        <v>505</v>
      </c>
      <c r="S95" s="96" t="s">
        <v>232</v>
      </c>
      <c r="T95" s="96" t="s">
        <v>383</v>
      </c>
      <c r="U95" s="96"/>
      <c r="V95" s="8" t="s">
        <v>203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128</v>
      </c>
      <c r="F96" s="8" t="s">
        <v>143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99</v>
      </c>
      <c r="O96" s="8" t="str">
        <f t="shared" ca="1" si="3"/>
        <v>NO PRAZO</v>
      </c>
      <c r="P96" s="8" t="s">
        <v>32</v>
      </c>
      <c r="Q96" s="96" t="s">
        <v>504</v>
      </c>
      <c r="R96" s="96" t="s">
        <v>505</v>
      </c>
      <c r="S96" s="96" t="s">
        <v>232</v>
      </c>
      <c r="T96" s="96" t="s">
        <v>383</v>
      </c>
      <c r="U96" s="96"/>
      <c r="V96" s="8" t="s">
        <v>203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128</v>
      </c>
      <c r="F97" s="8" t="s">
        <v>143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99</v>
      </c>
      <c r="O97" s="8" t="str">
        <f t="shared" ca="1" si="3"/>
        <v>NO PRAZO</v>
      </c>
      <c r="P97" s="8" t="s">
        <v>32</v>
      </c>
      <c r="Q97" s="96" t="s">
        <v>504</v>
      </c>
      <c r="R97" s="96" t="s">
        <v>505</v>
      </c>
      <c r="S97" s="96" t="s">
        <v>232</v>
      </c>
      <c r="T97" s="96" t="s">
        <v>383</v>
      </c>
      <c r="U97" s="96"/>
      <c r="V97" s="8" t="s">
        <v>203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128</v>
      </c>
      <c r="F98" s="8" t="s">
        <v>143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99</v>
      </c>
      <c r="O98" s="8" t="str">
        <f t="shared" ca="1" si="3"/>
        <v>NO PRAZO</v>
      </c>
      <c r="P98" s="8" t="s">
        <v>32</v>
      </c>
      <c r="Q98" s="96" t="s">
        <v>504</v>
      </c>
      <c r="R98" s="96" t="s">
        <v>505</v>
      </c>
      <c r="S98" s="96" t="s">
        <v>232</v>
      </c>
      <c r="T98" s="96" t="s">
        <v>383</v>
      </c>
      <c r="U98" s="96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128</v>
      </c>
      <c r="F99" s="8" t="s">
        <v>143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99</v>
      </c>
      <c r="O99" s="8" t="str">
        <f t="shared" ca="1" si="3"/>
        <v>NO PRAZO</v>
      </c>
      <c r="P99" s="8" t="s">
        <v>32</v>
      </c>
      <c r="Q99" s="96" t="s">
        <v>504</v>
      </c>
      <c r="R99" s="96" t="s">
        <v>505</v>
      </c>
      <c r="S99" s="96" t="s">
        <v>232</v>
      </c>
      <c r="T99" s="96" t="s">
        <v>383</v>
      </c>
      <c r="U99" s="96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128</v>
      </c>
      <c r="F100" s="8" t="s">
        <v>143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99</v>
      </c>
      <c r="O100" s="8" t="str">
        <f t="shared" ca="1" si="3"/>
        <v>NO PRAZO</v>
      </c>
      <c r="P100" s="8" t="s">
        <v>32</v>
      </c>
      <c r="Q100" s="96" t="s">
        <v>504</v>
      </c>
      <c r="R100" s="96" t="s">
        <v>505</v>
      </c>
      <c r="S100" s="96" t="s">
        <v>232</v>
      </c>
      <c r="T100" s="96" t="s">
        <v>383</v>
      </c>
      <c r="U100" s="96"/>
      <c r="V100" s="8" t="s">
        <v>203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128</v>
      </c>
      <c r="F101" s="8" t="s">
        <v>143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99</v>
      </c>
      <c r="O101" s="8" t="str">
        <f t="shared" ca="1" si="3"/>
        <v>NO PRAZO</v>
      </c>
      <c r="P101" s="8" t="s">
        <v>32</v>
      </c>
      <c r="Q101" s="96" t="s">
        <v>504</v>
      </c>
      <c r="R101" s="96" t="s">
        <v>505</v>
      </c>
      <c r="S101" s="96" t="s">
        <v>232</v>
      </c>
      <c r="T101" s="96" t="s">
        <v>383</v>
      </c>
      <c r="U101" s="96"/>
      <c r="V101" s="8" t="s">
        <v>203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128</v>
      </c>
      <c r="F102" s="8" t="s">
        <v>143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99</v>
      </c>
      <c r="O102" s="8" t="str">
        <f t="shared" ca="1" si="3"/>
        <v>NO PRAZO</v>
      </c>
      <c r="P102" s="8" t="s">
        <v>32</v>
      </c>
      <c r="Q102" s="96" t="s">
        <v>504</v>
      </c>
      <c r="R102" s="96" t="s">
        <v>505</v>
      </c>
      <c r="S102" s="96" t="s">
        <v>232</v>
      </c>
      <c r="T102" s="96" t="s">
        <v>383</v>
      </c>
      <c r="U102" s="96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128</v>
      </c>
      <c r="F103" s="8" t="s">
        <v>143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99</v>
      </c>
      <c r="O103" s="8" t="str">
        <f t="shared" ca="1" si="3"/>
        <v>NO PRAZO</v>
      </c>
      <c r="P103" s="8" t="s">
        <v>32</v>
      </c>
      <c r="Q103" s="96" t="s">
        <v>504</v>
      </c>
      <c r="R103" s="96" t="s">
        <v>505</v>
      </c>
      <c r="S103" s="96" t="s">
        <v>232</v>
      </c>
      <c r="T103" s="96" t="s">
        <v>383</v>
      </c>
      <c r="U103" s="96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128</v>
      </c>
      <c r="F104" s="8" t="s">
        <v>143</v>
      </c>
      <c r="G104" s="8">
        <v>1</v>
      </c>
      <c r="H104" s="9">
        <v>46269</v>
      </c>
      <c r="I104" s="8"/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99</v>
      </c>
      <c r="O104" s="8" t="str">
        <f t="shared" ca="1" si="3"/>
        <v>NO PRAZO</v>
      </c>
      <c r="P104" s="8" t="s">
        <v>32</v>
      </c>
      <c r="Q104" s="96" t="s">
        <v>504</v>
      </c>
      <c r="R104" s="96" t="s">
        <v>505</v>
      </c>
      <c r="S104" s="96" t="s">
        <v>232</v>
      </c>
      <c r="T104" s="96" t="s">
        <v>383</v>
      </c>
      <c r="U104" s="96"/>
      <c r="V104" s="8" t="s">
        <v>48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128</v>
      </c>
      <c r="F105" s="8" t="s">
        <v>144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99</v>
      </c>
      <c r="O105" s="8" t="str">
        <f t="shared" ca="1" si="3"/>
        <v>NO PRAZO</v>
      </c>
      <c r="P105" s="8" t="s">
        <v>32</v>
      </c>
      <c r="Q105" s="96" t="s">
        <v>504</v>
      </c>
      <c r="R105" s="96" t="s">
        <v>505</v>
      </c>
      <c r="S105" s="96" t="s">
        <v>232</v>
      </c>
      <c r="T105" s="96" t="s">
        <v>383</v>
      </c>
      <c r="U105" s="96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128</v>
      </c>
      <c r="F106" s="8" t="s">
        <v>144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99</v>
      </c>
      <c r="O106" s="8" t="str">
        <f t="shared" ca="1" si="3"/>
        <v>NO PRAZO</v>
      </c>
      <c r="P106" s="8" t="s">
        <v>32</v>
      </c>
      <c r="Q106" s="96" t="s">
        <v>504</v>
      </c>
      <c r="R106" s="96" t="s">
        <v>505</v>
      </c>
      <c r="S106" s="96" t="s">
        <v>232</v>
      </c>
      <c r="T106" s="96" t="s">
        <v>383</v>
      </c>
      <c r="U106" s="96"/>
      <c r="V106" s="8" t="s">
        <v>203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128</v>
      </c>
      <c r="F107" s="8" t="s">
        <v>144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99</v>
      </c>
      <c r="O107" s="8" t="str">
        <f t="shared" ca="1" si="3"/>
        <v>NO PRAZO</v>
      </c>
      <c r="P107" s="8" t="s">
        <v>32</v>
      </c>
      <c r="Q107" s="96" t="s">
        <v>504</v>
      </c>
      <c r="R107" s="96" t="s">
        <v>505</v>
      </c>
      <c r="S107" s="96" t="s">
        <v>232</v>
      </c>
      <c r="T107" s="96" t="s">
        <v>383</v>
      </c>
      <c r="U107" s="96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128</v>
      </c>
      <c r="F108" s="8" t="s">
        <v>144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99</v>
      </c>
      <c r="O108" s="8" t="str">
        <f t="shared" ca="1" si="3"/>
        <v>NO PRAZO</v>
      </c>
      <c r="P108" s="8" t="s">
        <v>32</v>
      </c>
      <c r="Q108" s="96" t="s">
        <v>504</v>
      </c>
      <c r="R108" s="96" t="s">
        <v>505</v>
      </c>
      <c r="S108" s="96" t="s">
        <v>232</v>
      </c>
      <c r="T108" s="96" t="s">
        <v>383</v>
      </c>
      <c r="U108" s="96"/>
      <c r="V108" s="8" t="s">
        <v>203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128</v>
      </c>
      <c r="F109" s="8" t="s">
        <v>144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99</v>
      </c>
      <c r="O109" s="8" t="str">
        <f t="shared" ca="1" si="3"/>
        <v>NO PRAZO</v>
      </c>
      <c r="P109" s="8" t="s">
        <v>32</v>
      </c>
      <c r="Q109" s="96" t="s">
        <v>504</v>
      </c>
      <c r="R109" s="96" t="s">
        <v>505</v>
      </c>
      <c r="S109" s="96" t="s">
        <v>232</v>
      </c>
      <c r="T109" s="96" t="s">
        <v>383</v>
      </c>
      <c r="U109" s="96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128</v>
      </c>
      <c r="F110" s="8" t="s">
        <v>144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99</v>
      </c>
      <c r="O110" s="8" t="str">
        <f t="shared" ca="1" si="3"/>
        <v>NO PRAZO</v>
      </c>
      <c r="P110" s="8" t="s">
        <v>32</v>
      </c>
      <c r="Q110" s="96" t="s">
        <v>504</v>
      </c>
      <c r="R110" s="96" t="s">
        <v>505</v>
      </c>
      <c r="S110" s="96" t="s">
        <v>232</v>
      </c>
      <c r="T110" s="96" t="s">
        <v>383</v>
      </c>
      <c r="U110" s="96"/>
      <c r="V110" s="8" t="s">
        <v>203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128</v>
      </c>
      <c r="F111" s="8" t="s">
        <v>144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99</v>
      </c>
      <c r="O111" s="8" t="str">
        <f t="shared" ca="1" si="3"/>
        <v>NO PRAZO</v>
      </c>
      <c r="P111" s="8" t="s">
        <v>32</v>
      </c>
      <c r="Q111" s="96" t="s">
        <v>504</v>
      </c>
      <c r="R111" s="96" t="s">
        <v>505</v>
      </c>
      <c r="S111" s="96" t="s">
        <v>232</v>
      </c>
      <c r="T111" s="96" t="s">
        <v>383</v>
      </c>
      <c r="U111" s="96"/>
      <c r="V111" s="8" t="s">
        <v>203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128</v>
      </c>
      <c r="F112" s="8" t="s">
        <v>144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99</v>
      </c>
      <c r="O112" s="8" t="str">
        <f t="shared" ca="1" si="3"/>
        <v>NO PRAZO</v>
      </c>
      <c r="P112" s="8" t="s">
        <v>32</v>
      </c>
      <c r="Q112" s="96" t="s">
        <v>504</v>
      </c>
      <c r="R112" s="96" t="s">
        <v>505</v>
      </c>
      <c r="S112" s="96" t="s">
        <v>232</v>
      </c>
      <c r="T112" s="96" t="s">
        <v>383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128</v>
      </c>
      <c r="F113" s="8" t="s">
        <v>144</v>
      </c>
      <c r="G113" s="8">
        <v>1</v>
      </c>
      <c r="H113" s="9">
        <v>46269</v>
      </c>
      <c r="I113" s="8"/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99</v>
      </c>
      <c r="O113" s="8" t="str">
        <f t="shared" ca="1" si="3"/>
        <v>NO PRAZO</v>
      </c>
      <c r="P113" s="8" t="s">
        <v>32</v>
      </c>
      <c r="Q113" s="96" t="s">
        <v>504</v>
      </c>
      <c r="R113" s="96" t="s">
        <v>505</v>
      </c>
      <c r="S113" s="96" t="s">
        <v>232</v>
      </c>
      <c r="T113" s="96" t="s">
        <v>383</v>
      </c>
      <c r="U113" s="96"/>
      <c r="V113" s="8" t="s">
        <v>48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128</v>
      </c>
      <c r="F114" s="8" t="s">
        <v>144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99</v>
      </c>
      <c r="O114" s="8" t="str">
        <f t="shared" ca="1" si="3"/>
        <v>NO PRAZO</v>
      </c>
      <c r="P114" s="8" t="s">
        <v>32</v>
      </c>
      <c r="Q114" s="96" t="s">
        <v>504</v>
      </c>
      <c r="R114" s="96" t="s">
        <v>505</v>
      </c>
      <c r="S114" s="96" t="s">
        <v>232</v>
      </c>
      <c r="T114" s="96" t="s">
        <v>383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128</v>
      </c>
      <c r="F115" s="8" t="s">
        <v>144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99</v>
      </c>
      <c r="O115" s="8" t="str">
        <f t="shared" ca="1" si="3"/>
        <v>NO PRAZO</v>
      </c>
      <c r="P115" s="8" t="s">
        <v>32</v>
      </c>
      <c r="Q115" s="96" t="s">
        <v>504</v>
      </c>
      <c r="R115" s="96" t="s">
        <v>505</v>
      </c>
      <c r="S115" s="96" t="s">
        <v>232</v>
      </c>
      <c r="T115" s="96" t="s">
        <v>383</v>
      </c>
      <c r="U115" s="96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128</v>
      </c>
      <c r="F116" s="8" t="s">
        <v>145</v>
      </c>
      <c r="G116" s="8">
        <v>1</v>
      </c>
      <c r="H116" s="9">
        <v>46269</v>
      </c>
      <c r="I116" s="8"/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99</v>
      </c>
      <c r="O116" s="8" t="str">
        <f t="shared" ca="1" si="3"/>
        <v>NO PRAZO</v>
      </c>
      <c r="P116" s="8" t="s">
        <v>32</v>
      </c>
      <c r="Q116" s="96" t="s">
        <v>504</v>
      </c>
      <c r="R116" s="96" t="s">
        <v>505</v>
      </c>
      <c r="S116" s="96" t="s">
        <v>232</v>
      </c>
      <c r="T116" s="96" t="s">
        <v>383</v>
      </c>
      <c r="U116" s="96"/>
      <c r="V116" s="8" t="s">
        <v>48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128</v>
      </c>
      <c r="F117" s="8" t="s">
        <v>145</v>
      </c>
      <c r="G117" s="8">
        <v>1</v>
      </c>
      <c r="H117" s="9">
        <v>46269</v>
      </c>
      <c r="I117" s="8"/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99</v>
      </c>
      <c r="O117" s="8" t="str">
        <f t="shared" ca="1" si="3"/>
        <v>NO PRAZO</v>
      </c>
      <c r="P117" s="8" t="s">
        <v>32</v>
      </c>
      <c r="Q117" s="96" t="s">
        <v>504</v>
      </c>
      <c r="R117" s="96" t="s">
        <v>505</v>
      </c>
      <c r="S117" s="96" t="s">
        <v>232</v>
      </c>
      <c r="T117" s="96" t="s">
        <v>383</v>
      </c>
      <c r="U117" s="96"/>
      <c r="V117" s="8" t="s">
        <v>48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128</v>
      </c>
      <c r="F118" s="8" t="s">
        <v>145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99</v>
      </c>
      <c r="O118" s="8" t="str">
        <f t="shared" ca="1" si="3"/>
        <v>NO PRAZO</v>
      </c>
      <c r="P118" s="8" t="s">
        <v>32</v>
      </c>
      <c r="Q118" s="96" t="s">
        <v>504</v>
      </c>
      <c r="R118" s="96" t="s">
        <v>505</v>
      </c>
      <c r="S118" s="96" t="s">
        <v>232</v>
      </c>
      <c r="T118" s="96" t="s">
        <v>383</v>
      </c>
      <c r="U118" s="96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128</v>
      </c>
      <c r="F119" s="8" t="s">
        <v>145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99</v>
      </c>
      <c r="O119" s="8" t="str">
        <f t="shared" ca="1" si="3"/>
        <v>NO PRAZO</v>
      </c>
      <c r="P119" s="8" t="s">
        <v>32</v>
      </c>
      <c r="Q119" s="96" t="s">
        <v>504</v>
      </c>
      <c r="R119" s="96" t="s">
        <v>505</v>
      </c>
      <c r="S119" s="96" t="s">
        <v>232</v>
      </c>
      <c r="T119" s="96" t="s">
        <v>383</v>
      </c>
      <c r="U119" s="96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128</v>
      </c>
      <c r="F120" s="8" t="s">
        <v>145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99</v>
      </c>
      <c r="O120" s="8" t="str">
        <f t="shared" ca="1" si="3"/>
        <v>NO PRAZO</v>
      </c>
      <c r="P120" s="8" t="s">
        <v>32</v>
      </c>
      <c r="Q120" s="96" t="s">
        <v>504</v>
      </c>
      <c r="R120" s="96" t="s">
        <v>505</v>
      </c>
      <c r="S120" s="96" t="s">
        <v>232</v>
      </c>
      <c r="T120" s="96" t="s">
        <v>383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128</v>
      </c>
      <c r="F121" s="8" t="s">
        <v>145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99</v>
      </c>
      <c r="O121" s="8" t="str">
        <f t="shared" ca="1" si="3"/>
        <v>NO PRAZO</v>
      </c>
      <c r="P121" s="8" t="s">
        <v>32</v>
      </c>
      <c r="Q121" s="96" t="s">
        <v>504</v>
      </c>
      <c r="R121" s="96" t="s">
        <v>505</v>
      </c>
      <c r="S121" s="96" t="s">
        <v>232</v>
      </c>
      <c r="T121" s="96" t="s">
        <v>383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128</v>
      </c>
      <c r="F122" s="8" t="s">
        <v>145</v>
      </c>
      <c r="G122" s="8">
        <v>1</v>
      </c>
      <c r="H122" s="9">
        <v>46269</v>
      </c>
      <c r="I122" s="8"/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99</v>
      </c>
      <c r="O122" s="8" t="str">
        <f t="shared" ca="1" si="3"/>
        <v>NO PRAZO</v>
      </c>
      <c r="P122" s="8" t="s">
        <v>32</v>
      </c>
      <c r="Q122" s="96" t="s">
        <v>504</v>
      </c>
      <c r="R122" s="96" t="s">
        <v>505</v>
      </c>
      <c r="S122" s="96" t="s">
        <v>232</v>
      </c>
      <c r="T122" s="96" t="s">
        <v>383</v>
      </c>
      <c r="U122" s="96"/>
      <c r="V122" s="8" t="s">
        <v>48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128</v>
      </c>
      <c r="F123" s="8" t="s">
        <v>145</v>
      </c>
      <c r="G123" s="8">
        <v>1</v>
      </c>
      <c r="H123" s="9">
        <v>46269</v>
      </c>
      <c r="I123" s="8"/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99</v>
      </c>
      <c r="O123" s="8" t="str">
        <f t="shared" ca="1" si="3"/>
        <v>NO PRAZO</v>
      </c>
      <c r="P123" s="8" t="s">
        <v>32</v>
      </c>
      <c r="Q123" s="96" t="s">
        <v>504</v>
      </c>
      <c r="R123" s="96" t="s">
        <v>505</v>
      </c>
      <c r="S123" s="96" t="s">
        <v>232</v>
      </c>
      <c r="T123" s="96" t="s">
        <v>383</v>
      </c>
      <c r="U123" s="96"/>
      <c r="V123" s="8" t="s">
        <v>48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128</v>
      </c>
      <c r="F124" s="8" t="s">
        <v>146</v>
      </c>
      <c r="G124" s="8">
        <v>1</v>
      </c>
      <c r="H124" s="9">
        <v>46269</v>
      </c>
      <c r="I124" s="8"/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99</v>
      </c>
      <c r="O124" s="8" t="str">
        <f t="shared" ca="1" si="3"/>
        <v>NO PRAZO</v>
      </c>
      <c r="P124" s="8" t="s">
        <v>32</v>
      </c>
      <c r="Q124" s="96" t="s">
        <v>504</v>
      </c>
      <c r="R124" s="96" t="s">
        <v>505</v>
      </c>
      <c r="S124" s="96" t="s">
        <v>232</v>
      </c>
      <c r="T124" s="96" t="s">
        <v>383</v>
      </c>
      <c r="U124" s="96"/>
      <c r="V124" s="8" t="s">
        <v>48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128</v>
      </c>
      <c r="F125" s="8" t="s">
        <v>146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99</v>
      </c>
      <c r="O125" s="8" t="str">
        <f t="shared" ca="1" si="3"/>
        <v>NO PRAZO</v>
      </c>
      <c r="P125" s="8" t="s">
        <v>32</v>
      </c>
      <c r="Q125" s="96" t="s">
        <v>504</v>
      </c>
      <c r="R125" s="96" t="s">
        <v>505</v>
      </c>
      <c r="S125" s="96" t="s">
        <v>232</v>
      </c>
      <c r="T125" s="96" t="s">
        <v>383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128</v>
      </c>
      <c r="F126" s="8" t="s">
        <v>146</v>
      </c>
      <c r="G126" s="8">
        <v>1</v>
      </c>
      <c r="H126" s="9">
        <v>46269</v>
      </c>
      <c r="I126" s="8"/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99</v>
      </c>
      <c r="O126" s="8" t="str">
        <f t="shared" ca="1" si="3"/>
        <v>NO PRAZO</v>
      </c>
      <c r="P126" s="8" t="s">
        <v>32</v>
      </c>
      <c r="Q126" s="96" t="s">
        <v>504</v>
      </c>
      <c r="R126" s="96" t="s">
        <v>505</v>
      </c>
      <c r="S126" s="96" t="s">
        <v>232</v>
      </c>
      <c r="T126" s="96" t="s">
        <v>383</v>
      </c>
      <c r="U126" s="96"/>
      <c r="V126" s="8" t="s">
        <v>48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128</v>
      </c>
      <c r="F127" s="8" t="s">
        <v>146</v>
      </c>
      <c r="G127" s="8">
        <v>1</v>
      </c>
      <c r="H127" s="9">
        <v>46269</v>
      </c>
      <c r="I127" s="8"/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99</v>
      </c>
      <c r="O127" s="8" t="str">
        <f t="shared" ca="1" si="3"/>
        <v>NO PRAZO</v>
      </c>
      <c r="P127" s="8" t="s">
        <v>32</v>
      </c>
      <c r="Q127" s="96" t="s">
        <v>504</v>
      </c>
      <c r="R127" s="96" t="s">
        <v>505</v>
      </c>
      <c r="S127" s="96" t="s">
        <v>232</v>
      </c>
      <c r="T127" s="96" t="s">
        <v>383</v>
      </c>
      <c r="U127" s="96"/>
      <c r="V127" s="8" t="s">
        <v>48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128</v>
      </c>
      <c r="F128" s="8" t="s">
        <v>146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99</v>
      </c>
      <c r="O128" s="8" t="str">
        <f t="shared" ca="1" si="3"/>
        <v>NO PRAZO</v>
      </c>
      <c r="P128" s="8" t="s">
        <v>32</v>
      </c>
      <c r="Q128" s="96" t="s">
        <v>504</v>
      </c>
      <c r="R128" s="96" t="s">
        <v>505</v>
      </c>
      <c r="S128" s="96" t="s">
        <v>232</v>
      </c>
      <c r="T128" s="96" t="s">
        <v>383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128</v>
      </c>
      <c r="F129" s="8" t="s">
        <v>146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99</v>
      </c>
      <c r="O129" s="8" t="str">
        <f t="shared" ca="1" si="3"/>
        <v>NO PRAZO</v>
      </c>
      <c r="P129" s="8" t="s">
        <v>32</v>
      </c>
      <c r="Q129" s="96" t="s">
        <v>504</v>
      </c>
      <c r="R129" s="96" t="s">
        <v>505</v>
      </c>
      <c r="S129" s="96" t="s">
        <v>232</v>
      </c>
      <c r="T129" s="96" t="s">
        <v>383</v>
      </c>
      <c r="U129" s="96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128</v>
      </c>
      <c r="F130" s="8" t="s">
        <v>146</v>
      </c>
      <c r="G130" s="8">
        <v>1</v>
      </c>
      <c r="H130" s="9">
        <v>46269</v>
      </c>
      <c r="I130" s="8"/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99</v>
      </c>
      <c r="O130" s="8" t="str">
        <f t="shared" ca="1" si="3"/>
        <v>NO PRAZO</v>
      </c>
      <c r="P130" s="8" t="s">
        <v>32</v>
      </c>
      <c r="Q130" s="96" t="s">
        <v>504</v>
      </c>
      <c r="R130" s="96" t="s">
        <v>505</v>
      </c>
      <c r="S130" s="96" t="s">
        <v>232</v>
      </c>
      <c r="T130" s="96" t="s">
        <v>383</v>
      </c>
      <c r="U130" s="96"/>
      <c r="V130" s="8" t="s">
        <v>48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128</v>
      </c>
      <c r="F131" s="8" t="s">
        <v>146</v>
      </c>
      <c r="G131" s="8">
        <v>1</v>
      </c>
      <c r="H131" s="9">
        <v>46269</v>
      </c>
      <c r="I131" s="8"/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99</v>
      </c>
      <c r="O131" s="8" t="str">
        <f t="shared" ca="1" si="3"/>
        <v>NO PRAZO</v>
      </c>
      <c r="P131" s="8" t="s">
        <v>32</v>
      </c>
      <c r="Q131" s="96" t="s">
        <v>504</v>
      </c>
      <c r="R131" s="96" t="s">
        <v>505</v>
      </c>
      <c r="S131" s="96" t="s">
        <v>232</v>
      </c>
      <c r="T131" s="96" t="s">
        <v>383</v>
      </c>
      <c r="U131" s="96"/>
      <c r="V131" s="8" t="s">
        <v>48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307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-6</v>
      </c>
      <c r="O132" s="8" t="s">
        <v>56</v>
      </c>
      <c r="P132" s="8" t="s">
        <v>32</v>
      </c>
      <c r="Q132" s="93" t="s">
        <v>504</v>
      </c>
      <c r="R132" s="93" t="s">
        <v>505</v>
      </c>
      <c r="S132" s="93" t="s">
        <v>232</v>
      </c>
      <c r="T132" s="93" t="s">
        <v>383</v>
      </c>
      <c r="U132" s="96"/>
      <c r="V132" s="8" t="s">
        <v>306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307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-6</v>
      </c>
      <c r="O133" s="8" t="s">
        <v>56</v>
      </c>
      <c r="P133" s="8" t="s">
        <v>32</v>
      </c>
      <c r="Q133" s="93" t="s">
        <v>504</v>
      </c>
      <c r="R133" s="93" t="s">
        <v>505</v>
      </c>
      <c r="S133" s="93" t="s">
        <v>232</v>
      </c>
      <c r="T133" s="93" t="s">
        <v>383</v>
      </c>
      <c r="U133" s="96"/>
      <c r="V133" s="8" t="s">
        <v>306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307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-6</v>
      </c>
      <c r="O134" s="8" t="s">
        <v>56</v>
      </c>
      <c r="P134" s="8" t="s">
        <v>32</v>
      </c>
      <c r="Q134" s="93" t="s">
        <v>504</v>
      </c>
      <c r="R134" s="93" t="s">
        <v>505</v>
      </c>
      <c r="S134" s="93" t="s">
        <v>232</v>
      </c>
      <c r="T134" s="93" t="s">
        <v>383</v>
      </c>
      <c r="U134" s="96"/>
      <c r="V134" s="8" t="s">
        <v>306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308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-6</v>
      </c>
      <c r="O135" s="8" t="s">
        <v>56</v>
      </c>
      <c r="P135" s="8" t="s">
        <v>32</v>
      </c>
      <c r="Q135" s="93" t="s">
        <v>504</v>
      </c>
      <c r="R135" s="93" t="s">
        <v>505</v>
      </c>
      <c r="S135" s="93" t="s">
        <v>232</v>
      </c>
      <c r="T135" s="93" t="s">
        <v>383</v>
      </c>
      <c r="U135" s="96"/>
      <c r="V135" s="8" t="s">
        <v>306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308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-6</v>
      </c>
      <c r="O136" s="8" t="s">
        <v>56</v>
      </c>
      <c r="P136" s="8" t="s">
        <v>32</v>
      </c>
      <c r="Q136" s="93" t="s">
        <v>504</v>
      </c>
      <c r="R136" s="93" t="s">
        <v>505</v>
      </c>
      <c r="S136" s="93" t="s">
        <v>232</v>
      </c>
      <c r="T136" s="93" t="s">
        <v>383</v>
      </c>
      <c r="U136" s="96"/>
      <c r="V136" s="8" t="s">
        <v>306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</v>
      </c>
      <c r="E137" s="8" t="s">
        <v>78</v>
      </c>
      <c r="F137" s="8" t="s">
        <v>219</v>
      </c>
      <c r="G137" s="8">
        <v>1</v>
      </c>
      <c r="H137" s="9">
        <v>46219</v>
      </c>
      <c r="I137" s="8"/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7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6" t="s">
        <v>504</v>
      </c>
      <c r="R137" s="96" t="s">
        <v>505</v>
      </c>
      <c r="S137" s="96" t="s">
        <v>232</v>
      </c>
      <c r="T137" s="96" t="s">
        <v>383</v>
      </c>
      <c r="U137" s="96"/>
      <c r="V137" s="8" t="s">
        <v>48</v>
      </c>
      <c r="W137" s="8"/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219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22</v>
      </c>
      <c r="O138" s="8" t="str">
        <f t="shared" ca="1" si="4"/>
        <v>NO PRAZO</v>
      </c>
      <c r="P138" s="8" t="s">
        <v>32</v>
      </c>
      <c r="Q138" s="96" t="s">
        <v>504</v>
      </c>
      <c r="R138" s="96" t="s">
        <v>505</v>
      </c>
      <c r="S138" s="96" t="s">
        <v>232</v>
      </c>
      <c r="T138" s="96" t="s">
        <v>383</v>
      </c>
      <c r="U138" s="96"/>
      <c r="V138" s="8" t="s">
        <v>48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219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22</v>
      </c>
      <c r="O139" s="8" t="str">
        <f t="shared" ca="1" si="4"/>
        <v>NO PRAZO</v>
      </c>
      <c r="P139" s="8" t="s">
        <v>32</v>
      </c>
      <c r="Q139" s="96" t="s">
        <v>504</v>
      </c>
      <c r="R139" s="96" t="s">
        <v>505</v>
      </c>
      <c r="S139" s="96" t="s">
        <v>232</v>
      </c>
      <c r="T139" s="96" t="s">
        <v>383</v>
      </c>
      <c r="U139" s="96"/>
      <c r="V139" s="8" t="s">
        <v>48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4</v>
      </c>
      <c r="E140" s="8" t="s">
        <v>78</v>
      </c>
      <c r="F140" s="8" t="s">
        <v>221</v>
      </c>
      <c r="G140" s="8">
        <v>1</v>
      </c>
      <c r="H140" s="9">
        <v>46219</v>
      </c>
      <c r="I140" s="8"/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7</v>
      </c>
      <c r="O140" s="8" t="str">
        <f t="shared" ca="1" si="4"/>
        <v>ATENÇÃO</v>
      </c>
      <c r="P140" s="8" t="s">
        <v>32</v>
      </c>
      <c r="Q140" s="96" t="s">
        <v>504</v>
      </c>
      <c r="R140" s="96" t="s">
        <v>505</v>
      </c>
      <c r="S140" s="96" t="s">
        <v>232</v>
      </c>
      <c r="T140" s="96" t="s">
        <v>383</v>
      </c>
      <c r="U140" s="96"/>
      <c r="V140" s="8" t="s">
        <v>48</v>
      </c>
      <c r="W140" s="8"/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221</v>
      </c>
      <c r="G141" s="8">
        <v>1</v>
      </c>
      <c r="H141" s="9">
        <v>46219</v>
      </c>
      <c r="I141" s="8"/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7</v>
      </c>
      <c r="O141" s="8" t="str">
        <f t="shared" ca="1" si="4"/>
        <v>ATENÇÃO</v>
      </c>
      <c r="P141" s="8" t="s">
        <v>32</v>
      </c>
      <c r="Q141" s="96" t="s">
        <v>504</v>
      </c>
      <c r="R141" s="96" t="s">
        <v>505</v>
      </c>
      <c r="S141" s="96" t="s">
        <v>232</v>
      </c>
      <c r="T141" s="96" t="s">
        <v>383</v>
      </c>
      <c r="U141" s="96"/>
      <c r="V141" s="8" t="s">
        <v>48</v>
      </c>
      <c r="W141" s="8"/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221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22</v>
      </c>
      <c r="O142" s="8" t="str">
        <f t="shared" ca="1" si="4"/>
        <v>NO PRAZO</v>
      </c>
      <c r="P142" s="8" t="s">
        <v>32</v>
      </c>
      <c r="Q142" s="96" t="s">
        <v>504</v>
      </c>
      <c r="R142" s="96" t="s">
        <v>505</v>
      </c>
      <c r="S142" s="96" t="s">
        <v>232</v>
      </c>
      <c r="T142" s="96" t="s">
        <v>383</v>
      </c>
      <c r="U142" s="96"/>
      <c r="V142" s="8" t="s">
        <v>48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221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22</v>
      </c>
      <c r="O143" s="8" t="str">
        <f t="shared" ca="1" si="4"/>
        <v>NO PRAZO</v>
      </c>
      <c r="P143" s="8" t="s">
        <v>32</v>
      </c>
      <c r="Q143" s="96" t="s">
        <v>504</v>
      </c>
      <c r="R143" s="96" t="s">
        <v>505</v>
      </c>
      <c r="S143" s="96" t="s">
        <v>232</v>
      </c>
      <c r="T143" s="96" t="s">
        <v>383</v>
      </c>
      <c r="U143" s="96"/>
      <c r="V143" s="8" t="s">
        <v>48</v>
      </c>
      <c r="W143" s="8"/>
    </row>
    <row r="144" spans="1:23" hidden="1" x14ac:dyDescent="0.25">
      <c r="A144" s="8">
        <v>2342</v>
      </c>
      <c r="B144" s="8">
        <v>1</v>
      </c>
      <c r="C144" s="8" t="s">
        <v>301</v>
      </c>
      <c r="D144" s="8" t="s">
        <v>63</v>
      </c>
      <c r="E144" s="8" t="s">
        <v>300</v>
      </c>
      <c r="F144" s="8" t="s">
        <v>302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7</v>
      </c>
      <c r="O144" s="8" t="str">
        <f ca="1">IF(N144&lt;0,"ATRASADO",IF(N144&lt;=15,"ATENÇÃO","NO PRAZO"))</f>
        <v>ATENÇÃO</v>
      </c>
      <c r="P144" s="8" t="s">
        <v>32</v>
      </c>
      <c r="Q144" s="93" t="s">
        <v>504</v>
      </c>
      <c r="R144" s="93" t="s">
        <v>505</v>
      </c>
      <c r="S144" s="93" t="s">
        <v>232</v>
      </c>
      <c r="T144" s="93" t="s">
        <v>383</v>
      </c>
      <c r="U144" s="93"/>
      <c r="V144" s="8" t="s">
        <v>334</v>
      </c>
      <c r="W144" s="8" t="s">
        <v>390</v>
      </c>
    </row>
    <row r="145" spans="1:23" hidden="1" x14ac:dyDescent="0.25">
      <c r="A145" s="8">
        <v>2342</v>
      </c>
      <c r="B145" s="8">
        <v>2</v>
      </c>
      <c r="C145" s="8" t="s">
        <v>301</v>
      </c>
      <c r="D145" s="8" t="s">
        <v>63</v>
      </c>
      <c r="E145" s="8" t="s">
        <v>300</v>
      </c>
      <c r="F145" s="8" t="s">
        <v>302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7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504</v>
      </c>
      <c r="R145" s="93" t="s">
        <v>505</v>
      </c>
      <c r="S145" s="93" t="s">
        <v>232</v>
      </c>
      <c r="T145" s="93" t="s">
        <v>383</v>
      </c>
      <c r="U145" s="93"/>
      <c r="V145" s="8" t="s">
        <v>334</v>
      </c>
      <c r="W145" s="8" t="s">
        <v>390</v>
      </c>
    </row>
    <row r="146" spans="1:23" hidden="1" x14ac:dyDescent="0.25">
      <c r="A146" s="8">
        <v>2342</v>
      </c>
      <c r="B146" s="8">
        <v>3</v>
      </c>
      <c r="C146" s="8" t="s">
        <v>301</v>
      </c>
      <c r="D146" s="8" t="s">
        <v>63</v>
      </c>
      <c r="E146" s="8" t="s">
        <v>300</v>
      </c>
      <c r="F146" s="8" t="s">
        <v>303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7</v>
      </c>
      <c r="O146" s="8" t="str">
        <f t="shared" ca="1" si="5"/>
        <v>ATENÇÃO</v>
      </c>
      <c r="P146" s="8" t="s">
        <v>32</v>
      </c>
      <c r="Q146" s="93" t="s">
        <v>504</v>
      </c>
      <c r="R146" s="93" t="s">
        <v>505</v>
      </c>
      <c r="S146" s="93" t="s">
        <v>232</v>
      </c>
      <c r="T146" s="93" t="s">
        <v>383</v>
      </c>
      <c r="U146" s="93"/>
      <c r="V146" s="8" t="s">
        <v>334</v>
      </c>
      <c r="W146" s="8" t="s">
        <v>390</v>
      </c>
    </row>
    <row r="147" spans="1:23" hidden="1" x14ac:dyDescent="0.25">
      <c r="A147" s="8">
        <v>2342</v>
      </c>
      <c r="B147" s="8">
        <v>4</v>
      </c>
      <c r="C147" s="8" t="s">
        <v>301</v>
      </c>
      <c r="D147" s="8" t="s">
        <v>63</v>
      </c>
      <c r="E147" s="8" t="s">
        <v>300</v>
      </c>
      <c r="F147" s="8" t="s">
        <v>303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7</v>
      </c>
      <c r="O147" s="8" t="str">
        <f t="shared" ca="1" si="5"/>
        <v>ATENÇÃO</v>
      </c>
      <c r="P147" s="8" t="s">
        <v>32</v>
      </c>
      <c r="Q147" s="93" t="s">
        <v>504</v>
      </c>
      <c r="R147" s="93" t="s">
        <v>505</v>
      </c>
      <c r="S147" s="93" t="s">
        <v>232</v>
      </c>
      <c r="T147" s="93" t="s">
        <v>383</v>
      </c>
      <c r="U147" s="93"/>
      <c r="V147" s="8" t="s">
        <v>334</v>
      </c>
      <c r="W147" s="8" t="s">
        <v>390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300</v>
      </c>
      <c r="F148" s="8" t="s">
        <v>304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7</v>
      </c>
      <c r="O148" s="8" t="str">
        <f t="shared" ca="1" si="5"/>
        <v>ATENÇÃO</v>
      </c>
      <c r="P148" s="8" t="s">
        <v>32</v>
      </c>
      <c r="Q148" s="93" t="s">
        <v>504</v>
      </c>
      <c r="R148" s="93" t="s">
        <v>505</v>
      </c>
      <c r="S148" s="93" t="s">
        <v>232</v>
      </c>
      <c r="T148" s="93" t="s">
        <v>383</v>
      </c>
      <c r="U148" s="93"/>
      <c r="V148" s="8" t="s">
        <v>334</v>
      </c>
      <c r="W148" s="8" t="s">
        <v>390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300</v>
      </c>
      <c r="F149" s="8" t="s">
        <v>304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7</v>
      </c>
      <c r="O149" s="8" t="str">
        <f t="shared" ca="1" si="5"/>
        <v>ATENÇÃO</v>
      </c>
      <c r="P149" s="8" t="s">
        <v>32</v>
      </c>
      <c r="Q149" s="93" t="s">
        <v>504</v>
      </c>
      <c r="R149" s="93" t="s">
        <v>505</v>
      </c>
      <c r="S149" s="93" t="s">
        <v>232</v>
      </c>
      <c r="T149" s="93" t="s">
        <v>383</v>
      </c>
      <c r="U149" s="93"/>
      <c r="V149" s="8" t="s">
        <v>334</v>
      </c>
      <c r="W149" s="8" t="s">
        <v>390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300</v>
      </c>
      <c r="F150" s="8" t="s">
        <v>305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7</v>
      </c>
      <c r="O150" s="8" t="str">
        <f t="shared" ca="1" si="5"/>
        <v>ATENÇÃO</v>
      </c>
      <c r="P150" s="8" t="s">
        <v>32</v>
      </c>
      <c r="Q150" s="93" t="s">
        <v>504</v>
      </c>
      <c r="R150" s="93" t="s">
        <v>505</v>
      </c>
      <c r="S150" s="93" t="s">
        <v>232</v>
      </c>
      <c r="T150" s="93" t="s">
        <v>383</v>
      </c>
      <c r="U150" s="93"/>
      <c r="V150" s="8" t="s">
        <v>334</v>
      </c>
      <c r="W150" s="8" t="s">
        <v>390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300</v>
      </c>
      <c r="F151" s="8" t="s">
        <v>305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7</v>
      </c>
      <c r="O151" s="8" t="str">
        <f t="shared" ca="1" si="5"/>
        <v>ATENÇÃO</v>
      </c>
      <c r="P151" s="8" t="s">
        <v>32</v>
      </c>
      <c r="Q151" s="93" t="s">
        <v>504</v>
      </c>
      <c r="R151" s="93" t="s">
        <v>505</v>
      </c>
      <c r="S151" s="93" t="s">
        <v>232</v>
      </c>
      <c r="T151" s="93" t="s">
        <v>383</v>
      </c>
      <c r="U151" s="93"/>
      <c r="V151" s="8" t="s">
        <v>334</v>
      </c>
      <c r="W151" s="8" t="s">
        <v>390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221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22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504</v>
      </c>
      <c r="R152" s="96" t="s">
        <v>505</v>
      </c>
      <c r="S152" s="96" t="s">
        <v>232</v>
      </c>
      <c r="T152" s="96" t="s">
        <v>383</v>
      </c>
      <c r="U152" s="96"/>
      <c r="V152" s="8" t="s">
        <v>48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220</v>
      </c>
      <c r="G153" s="8">
        <v>1</v>
      </c>
      <c r="H153" s="9">
        <v>46219</v>
      </c>
      <c r="I153" s="8"/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7</v>
      </c>
      <c r="O153" s="8" t="str">
        <f t="shared" ca="1" si="6"/>
        <v>ATENÇÃO</v>
      </c>
      <c r="P153" s="8" t="s">
        <v>32</v>
      </c>
      <c r="Q153" s="96" t="s">
        <v>504</v>
      </c>
      <c r="R153" s="96" t="s">
        <v>505</v>
      </c>
      <c r="S153" s="96" t="s">
        <v>232</v>
      </c>
      <c r="T153" s="96" t="s">
        <v>383</v>
      </c>
      <c r="U153" s="96"/>
      <c r="V153" s="8" t="s">
        <v>48</v>
      </c>
      <c r="W153" s="8"/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220</v>
      </c>
      <c r="G154" s="8">
        <v>1</v>
      </c>
      <c r="H154" s="9">
        <v>46219</v>
      </c>
      <c r="I154" s="8"/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7</v>
      </c>
      <c r="O154" s="8" t="str">
        <f t="shared" ca="1" si="6"/>
        <v>ATENÇÃO</v>
      </c>
      <c r="P154" s="8" t="s">
        <v>32</v>
      </c>
      <c r="Q154" s="96" t="s">
        <v>504</v>
      </c>
      <c r="R154" s="96" t="s">
        <v>505</v>
      </c>
      <c r="S154" s="96" t="s">
        <v>232</v>
      </c>
      <c r="T154" s="96" t="s">
        <v>383</v>
      </c>
      <c r="U154" s="96"/>
      <c r="V154" s="8" t="s">
        <v>48</v>
      </c>
      <c r="W154" s="8"/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220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22</v>
      </c>
      <c r="O155" s="8" t="str">
        <f t="shared" ca="1" si="6"/>
        <v>NO PRAZO</v>
      </c>
      <c r="P155" s="8" t="s">
        <v>32</v>
      </c>
      <c r="Q155" s="96" t="s">
        <v>504</v>
      </c>
      <c r="R155" s="96" t="s">
        <v>505</v>
      </c>
      <c r="S155" s="96" t="s">
        <v>232</v>
      </c>
      <c r="T155" s="96" t="s">
        <v>383</v>
      </c>
      <c r="U155" s="96"/>
      <c r="V155" s="8" t="s">
        <v>48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220</v>
      </c>
      <c r="G156" s="8">
        <v>1</v>
      </c>
      <c r="H156" s="9">
        <v>46219</v>
      </c>
      <c r="I156" s="8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22</v>
      </c>
      <c r="O156" s="8" t="str">
        <f t="shared" ca="1" si="6"/>
        <v>NO PRAZO</v>
      </c>
      <c r="P156" s="8" t="s">
        <v>32</v>
      </c>
      <c r="Q156" s="96" t="s">
        <v>504</v>
      </c>
      <c r="R156" s="96" t="s">
        <v>505</v>
      </c>
      <c r="S156" s="96" t="s">
        <v>232</v>
      </c>
      <c r="T156" s="96" t="s">
        <v>383</v>
      </c>
      <c r="U156" s="96"/>
      <c r="V156" s="8" t="s">
        <v>48</v>
      </c>
      <c r="W156" s="8"/>
    </row>
    <row r="157" spans="1:23" hidden="1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333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15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504</v>
      </c>
      <c r="R157" s="96" t="s">
        <v>505</v>
      </c>
      <c r="S157" s="96" t="s">
        <v>232</v>
      </c>
      <c r="T157" s="96" t="s">
        <v>383</v>
      </c>
      <c r="U157" s="96"/>
      <c r="V157" s="8" t="s">
        <v>48</v>
      </c>
      <c r="W157" s="8"/>
    </row>
    <row r="158" spans="1:23" hidden="1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333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15</v>
      </c>
      <c r="O158" s="8" t="str">
        <f t="shared" ca="1" si="7"/>
        <v>ATENÇÃO</v>
      </c>
      <c r="P158" s="8" t="s">
        <v>69</v>
      </c>
      <c r="Q158" s="96" t="s">
        <v>504</v>
      </c>
      <c r="R158" s="96" t="s">
        <v>505</v>
      </c>
      <c r="S158" s="96" t="s">
        <v>232</v>
      </c>
      <c r="T158" s="96" t="s">
        <v>383</v>
      </c>
      <c r="U158" s="96"/>
      <c r="V158" s="8" t="s">
        <v>48</v>
      </c>
      <c r="W158" s="8"/>
    </row>
    <row r="159" spans="1:23" hidden="1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333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15</v>
      </c>
      <c r="O159" s="8" t="str">
        <f t="shared" ca="1" si="7"/>
        <v>ATENÇÃO</v>
      </c>
      <c r="P159" s="8" t="s">
        <v>69</v>
      </c>
      <c r="Q159" s="96" t="s">
        <v>504</v>
      </c>
      <c r="R159" s="96" t="s">
        <v>505</v>
      </c>
      <c r="S159" s="96" t="s">
        <v>232</v>
      </c>
      <c r="T159" s="96" t="s">
        <v>383</v>
      </c>
      <c r="U159" s="96"/>
      <c r="V159" s="8" t="s">
        <v>48</v>
      </c>
      <c r="W159" s="8"/>
    </row>
    <row r="160" spans="1:23" hidden="1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333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15</v>
      </c>
      <c r="O160" s="8" t="str">
        <f t="shared" ca="1" si="7"/>
        <v>ATENÇÃO</v>
      </c>
      <c r="P160" s="8" t="s">
        <v>69</v>
      </c>
      <c r="Q160" s="96" t="s">
        <v>504</v>
      </c>
      <c r="R160" s="96" t="s">
        <v>505</v>
      </c>
      <c r="S160" s="96" t="s">
        <v>232</v>
      </c>
      <c r="T160" s="96" t="s">
        <v>383</v>
      </c>
      <c r="U160" s="96"/>
      <c r="V160" s="8" t="s">
        <v>48</v>
      </c>
      <c r="W160" s="8"/>
    </row>
    <row r="161" spans="1:23" hidden="1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333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15</v>
      </c>
      <c r="O161" s="8" t="str">
        <f t="shared" ca="1" si="7"/>
        <v>ATENÇÃO</v>
      </c>
      <c r="P161" s="8" t="s">
        <v>69</v>
      </c>
      <c r="Q161" s="96" t="s">
        <v>504</v>
      </c>
      <c r="R161" s="96" t="s">
        <v>505</v>
      </c>
      <c r="S161" s="96" t="s">
        <v>232</v>
      </c>
      <c r="T161" s="96" t="s">
        <v>383</v>
      </c>
      <c r="U161" s="96"/>
      <c r="V161" s="8" t="s">
        <v>48</v>
      </c>
      <c r="W161" s="8"/>
    </row>
    <row r="162" spans="1:23" hidden="1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333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15</v>
      </c>
      <c r="O162" s="8" t="str">
        <f t="shared" ca="1" si="7"/>
        <v>ATENÇÃO</v>
      </c>
      <c r="P162" s="8" t="s">
        <v>69</v>
      </c>
      <c r="Q162" s="96" t="s">
        <v>504</v>
      </c>
      <c r="R162" s="96" t="s">
        <v>505</v>
      </c>
      <c r="S162" s="96" t="s">
        <v>232</v>
      </c>
      <c r="T162" s="96" t="s">
        <v>383</v>
      </c>
      <c r="U162" s="96"/>
      <c r="V162" s="8" t="s">
        <v>48</v>
      </c>
      <c r="W162" s="8"/>
    </row>
    <row r="163" spans="1:23" hidden="1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332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15</v>
      </c>
      <c r="O163" s="8" t="str">
        <f t="shared" ca="1" si="7"/>
        <v>ATENÇÃO</v>
      </c>
      <c r="P163" s="8" t="s">
        <v>69</v>
      </c>
      <c r="Q163" s="96" t="s">
        <v>504</v>
      </c>
      <c r="R163" s="96" t="s">
        <v>505</v>
      </c>
      <c r="S163" s="96" t="s">
        <v>232</v>
      </c>
      <c r="T163" s="96" t="s">
        <v>383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219</v>
      </c>
      <c r="G164" s="8">
        <v>1</v>
      </c>
      <c r="H164" s="9">
        <v>46219</v>
      </c>
      <c r="I164" s="8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22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504</v>
      </c>
      <c r="R164" s="96" t="s">
        <v>505</v>
      </c>
      <c r="S164" s="96" t="s">
        <v>232</v>
      </c>
      <c r="T164" s="96" t="s">
        <v>383</v>
      </c>
      <c r="U164" s="96"/>
      <c r="V164" s="8" t="s">
        <v>48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219</v>
      </c>
      <c r="G165" s="8">
        <v>1</v>
      </c>
      <c r="H165" s="9">
        <v>46219</v>
      </c>
      <c r="I165" s="8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22</v>
      </c>
      <c r="O165" s="8" t="str">
        <f t="shared" ca="1" si="8"/>
        <v>NO PRAZO</v>
      </c>
      <c r="P165" s="8" t="s">
        <v>32</v>
      </c>
      <c r="Q165" s="96" t="s">
        <v>504</v>
      </c>
      <c r="R165" s="96" t="s">
        <v>505</v>
      </c>
      <c r="S165" s="96" t="s">
        <v>232</v>
      </c>
      <c r="T165" s="96" t="s">
        <v>383</v>
      </c>
      <c r="U165" s="96"/>
      <c r="V165" s="8" t="s">
        <v>48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219</v>
      </c>
      <c r="G166" s="8">
        <v>1</v>
      </c>
      <c r="H166" s="9">
        <v>46219</v>
      </c>
      <c r="I166" s="8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22</v>
      </c>
      <c r="O166" s="8" t="str">
        <f t="shared" ca="1" si="8"/>
        <v>NO PRAZO</v>
      </c>
      <c r="P166" s="8" t="s">
        <v>32</v>
      </c>
      <c r="Q166" s="96" t="s">
        <v>504</v>
      </c>
      <c r="R166" s="96" t="s">
        <v>505</v>
      </c>
      <c r="S166" s="96" t="s">
        <v>232</v>
      </c>
      <c r="T166" s="96" t="s">
        <v>383</v>
      </c>
      <c r="U166" s="96"/>
      <c r="V166" s="8" t="s">
        <v>48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219</v>
      </c>
      <c r="G167" s="8">
        <v>1</v>
      </c>
      <c r="H167" s="9">
        <v>46219</v>
      </c>
      <c r="I167" s="8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22</v>
      </c>
      <c r="O167" s="8" t="str">
        <f t="shared" ca="1" si="8"/>
        <v>NO PRAZO</v>
      </c>
      <c r="P167" s="8" t="s">
        <v>32</v>
      </c>
      <c r="Q167" s="96" t="s">
        <v>504</v>
      </c>
      <c r="R167" s="96" t="s">
        <v>505</v>
      </c>
      <c r="S167" s="96" t="s">
        <v>232</v>
      </c>
      <c r="T167" s="96" t="s">
        <v>383</v>
      </c>
      <c r="U167" s="96"/>
      <c r="V167" s="8" t="s">
        <v>48</v>
      </c>
      <c r="W167" s="8"/>
    </row>
    <row r="168" spans="1:23" hidden="1" x14ac:dyDescent="0.25">
      <c r="A168" s="8">
        <v>2358</v>
      </c>
      <c r="B168" s="99">
        <v>25</v>
      </c>
      <c r="C168" s="8">
        <v>24657</v>
      </c>
      <c r="D168" s="8">
        <v>19</v>
      </c>
      <c r="E168" s="8" t="s">
        <v>106</v>
      </c>
      <c r="F168" s="101" t="s">
        <v>525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160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504</v>
      </c>
      <c r="R168" s="96" t="s">
        <v>505</v>
      </c>
      <c r="S168" s="96" t="s">
        <v>232</v>
      </c>
      <c r="T168" s="96" t="s">
        <v>383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99">
        <v>26</v>
      </c>
      <c r="C169" s="8">
        <v>24657</v>
      </c>
      <c r="D169" s="8">
        <v>20</v>
      </c>
      <c r="E169" s="8" t="s">
        <v>106</v>
      </c>
      <c r="F169" s="101" t="s">
        <v>525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160</v>
      </c>
      <c r="O169" s="8" t="str">
        <f t="shared" ca="1" si="9"/>
        <v>NO PRAZO</v>
      </c>
      <c r="P169" s="8" t="s">
        <v>32</v>
      </c>
      <c r="Q169" s="96" t="s">
        <v>504</v>
      </c>
      <c r="R169" s="96" t="s">
        <v>505</v>
      </c>
      <c r="S169" s="96" t="s">
        <v>232</v>
      </c>
      <c r="T169" s="96" t="s">
        <v>383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99">
        <v>27</v>
      </c>
      <c r="C170" s="8">
        <v>24657</v>
      </c>
      <c r="D170" s="8">
        <v>21</v>
      </c>
      <c r="E170" s="8" t="s">
        <v>106</v>
      </c>
      <c r="F170" s="101" t="s">
        <v>525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160</v>
      </c>
      <c r="O170" s="8" t="str">
        <f t="shared" ca="1" si="9"/>
        <v>NO PRAZO</v>
      </c>
      <c r="P170" s="8" t="s">
        <v>32</v>
      </c>
      <c r="Q170" s="96" t="s">
        <v>504</v>
      </c>
      <c r="R170" s="96" t="s">
        <v>505</v>
      </c>
      <c r="S170" s="96" t="s">
        <v>232</v>
      </c>
      <c r="T170" s="96" t="s">
        <v>383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99">
        <v>28</v>
      </c>
      <c r="C171" s="8">
        <v>24657</v>
      </c>
      <c r="D171" s="8">
        <v>22</v>
      </c>
      <c r="E171" s="8" t="s">
        <v>106</v>
      </c>
      <c r="F171" s="101" t="s">
        <v>525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160</v>
      </c>
      <c r="O171" s="8" t="str">
        <f t="shared" ca="1" si="9"/>
        <v>NO PRAZO</v>
      </c>
      <c r="P171" s="8" t="s">
        <v>32</v>
      </c>
      <c r="Q171" s="96" t="s">
        <v>504</v>
      </c>
      <c r="R171" s="96" t="s">
        <v>505</v>
      </c>
      <c r="S171" s="96" t="s">
        <v>232</v>
      </c>
      <c r="T171" s="96" t="s">
        <v>383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99">
        <v>29</v>
      </c>
      <c r="C172" s="8">
        <v>24657</v>
      </c>
      <c r="D172" s="8">
        <v>23</v>
      </c>
      <c r="E172" s="8" t="s">
        <v>106</v>
      </c>
      <c r="F172" s="101" t="s">
        <v>525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160</v>
      </c>
      <c r="O172" s="8" t="str">
        <f t="shared" ca="1" si="9"/>
        <v>NO PRAZO</v>
      </c>
      <c r="P172" s="8" t="s">
        <v>32</v>
      </c>
      <c r="Q172" s="96" t="s">
        <v>504</v>
      </c>
      <c r="R172" s="96" t="s">
        <v>505</v>
      </c>
      <c r="S172" s="96" t="s">
        <v>232</v>
      </c>
      <c r="T172" s="96" t="s">
        <v>383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99">
        <v>30</v>
      </c>
      <c r="C173" s="8">
        <v>24657</v>
      </c>
      <c r="D173" s="8">
        <v>24</v>
      </c>
      <c r="E173" s="8" t="s">
        <v>106</v>
      </c>
      <c r="F173" s="101" t="s">
        <v>526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160</v>
      </c>
      <c r="O173" s="8" t="str">
        <f t="shared" ca="1" si="9"/>
        <v>NO PRAZO</v>
      </c>
      <c r="P173" s="8" t="s">
        <v>32</v>
      </c>
      <c r="Q173" s="96" t="s">
        <v>504</v>
      </c>
      <c r="R173" s="96" t="s">
        <v>505</v>
      </c>
      <c r="S173" s="96" t="s">
        <v>232</v>
      </c>
      <c r="T173" s="96" t="s">
        <v>383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99">
        <v>31</v>
      </c>
      <c r="C174" s="8">
        <v>24657</v>
      </c>
      <c r="D174" s="8">
        <v>25</v>
      </c>
      <c r="E174" s="8" t="s">
        <v>106</v>
      </c>
      <c r="F174" s="101" t="s">
        <v>527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160</v>
      </c>
      <c r="O174" s="8" t="str">
        <f t="shared" ca="1" si="9"/>
        <v>NO PRAZO</v>
      </c>
      <c r="P174" s="8" t="s">
        <v>32</v>
      </c>
      <c r="Q174" s="96" t="s">
        <v>504</v>
      </c>
      <c r="R174" s="96" t="s">
        <v>505</v>
      </c>
      <c r="S174" s="96" t="s">
        <v>232</v>
      </c>
      <c r="T174" s="96" t="s">
        <v>383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99">
        <v>32</v>
      </c>
      <c r="C175" s="8">
        <v>24657</v>
      </c>
      <c r="D175" s="8">
        <v>26</v>
      </c>
      <c r="E175" s="8" t="s">
        <v>106</v>
      </c>
      <c r="F175" s="101" t="s">
        <v>528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160</v>
      </c>
      <c r="O175" s="8" t="str">
        <f t="shared" ca="1" si="9"/>
        <v>NO PRAZO</v>
      </c>
      <c r="P175" s="8" t="s">
        <v>32</v>
      </c>
      <c r="Q175" s="96" t="s">
        <v>504</v>
      </c>
      <c r="R175" s="96" t="s">
        <v>505</v>
      </c>
      <c r="S175" s="96" t="s">
        <v>232</v>
      </c>
      <c r="T175" s="96" t="s">
        <v>383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99">
        <v>33</v>
      </c>
      <c r="C176" s="8">
        <v>24657</v>
      </c>
      <c r="D176" s="8">
        <v>27</v>
      </c>
      <c r="E176" s="8" t="s">
        <v>106</v>
      </c>
      <c r="F176" s="101" t="s">
        <v>528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160</v>
      </c>
      <c r="O176" s="8" t="str">
        <f t="shared" ca="1" si="9"/>
        <v>NO PRAZO</v>
      </c>
      <c r="P176" s="8" t="s">
        <v>32</v>
      </c>
      <c r="Q176" s="96" t="s">
        <v>504</v>
      </c>
      <c r="R176" s="96" t="s">
        <v>505</v>
      </c>
      <c r="S176" s="96" t="s">
        <v>232</v>
      </c>
      <c r="T176" s="96" t="s">
        <v>383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99">
        <v>34</v>
      </c>
      <c r="C177" s="8">
        <v>24657</v>
      </c>
      <c r="D177" s="8">
        <v>28</v>
      </c>
      <c r="E177" s="8" t="s">
        <v>106</v>
      </c>
      <c r="F177" s="101" t="s">
        <v>529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160</v>
      </c>
      <c r="O177" s="8" t="str">
        <f t="shared" ca="1" si="9"/>
        <v>NO PRAZO</v>
      </c>
      <c r="P177" s="8" t="s">
        <v>32</v>
      </c>
      <c r="Q177" s="96" t="s">
        <v>504</v>
      </c>
      <c r="R177" s="96" t="s">
        <v>505</v>
      </c>
      <c r="S177" s="96" t="s">
        <v>232</v>
      </c>
      <c r="T177" s="96" t="s">
        <v>383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99">
        <v>35</v>
      </c>
      <c r="C178" s="8">
        <v>24657</v>
      </c>
      <c r="D178" s="8">
        <v>29</v>
      </c>
      <c r="E178" s="8" t="s">
        <v>106</v>
      </c>
      <c r="F178" s="101" t="s">
        <v>529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160</v>
      </c>
      <c r="O178" s="8" t="str">
        <f t="shared" ca="1" si="9"/>
        <v>NO PRAZO</v>
      </c>
      <c r="P178" s="8" t="s">
        <v>32</v>
      </c>
      <c r="Q178" s="96" t="s">
        <v>504</v>
      </c>
      <c r="R178" s="96" t="s">
        <v>505</v>
      </c>
      <c r="S178" s="96" t="s">
        <v>232</v>
      </c>
      <c r="T178" s="96" t="s">
        <v>383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99">
        <v>36</v>
      </c>
      <c r="C179" s="8">
        <v>24657</v>
      </c>
      <c r="D179" s="8">
        <v>30</v>
      </c>
      <c r="E179" s="8" t="s">
        <v>106</v>
      </c>
      <c r="F179" s="101" t="s">
        <v>529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160</v>
      </c>
      <c r="O179" s="8" t="str">
        <f t="shared" ca="1" si="9"/>
        <v>NO PRAZO</v>
      </c>
      <c r="P179" s="8" t="s">
        <v>32</v>
      </c>
      <c r="Q179" s="96" t="s">
        <v>504</v>
      </c>
      <c r="R179" s="96" t="s">
        <v>505</v>
      </c>
      <c r="S179" s="96" t="s">
        <v>232</v>
      </c>
      <c r="T179" s="96" t="s">
        <v>383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99">
        <v>37</v>
      </c>
      <c r="C180" s="8">
        <v>24657</v>
      </c>
      <c r="D180" s="8">
        <v>31</v>
      </c>
      <c r="E180" s="8" t="s">
        <v>106</v>
      </c>
      <c r="F180" s="101" t="s">
        <v>529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160</v>
      </c>
      <c r="O180" s="8" t="str">
        <f t="shared" ca="1" si="9"/>
        <v>NO PRAZO</v>
      </c>
      <c r="P180" s="8" t="s">
        <v>32</v>
      </c>
      <c r="Q180" s="96" t="s">
        <v>504</v>
      </c>
      <c r="R180" s="96" t="s">
        <v>505</v>
      </c>
      <c r="S180" s="96" t="s">
        <v>232</v>
      </c>
      <c r="T180" s="96" t="s">
        <v>383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99">
        <v>38</v>
      </c>
      <c r="C181" s="8">
        <v>24657</v>
      </c>
      <c r="D181" s="8">
        <v>32</v>
      </c>
      <c r="E181" s="8" t="s">
        <v>106</v>
      </c>
      <c r="F181" s="101" t="s">
        <v>529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160</v>
      </c>
      <c r="O181" s="8" t="str">
        <f t="shared" ca="1" si="9"/>
        <v>NO PRAZO</v>
      </c>
      <c r="P181" s="8" t="s">
        <v>32</v>
      </c>
      <c r="Q181" s="96" t="s">
        <v>504</v>
      </c>
      <c r="R181" s="96" t="s">
        <v>505</v>
      </c>
      <c r="S181" s="96" t="s">
        <v>232</v>
      </c>
      <c r="T181" s="96" t="s">
        <v>383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99">
        <v>39</v>
      </c>
      <c r="C182" s="8">
        <v>24657</v>
      </c>
      <c r="D182" s="8">
        <v>33</v>
      </c>
      <c r="E182" s="8" t="s">
        <v>106</v>
      </c>
      <c r="F182" s="101" t="s">
        <v>527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160</v>
      </c>
      <c r="O182" s="8" t="str">
        <f t="shared" ca="1" si="9"/>
        <v>NO PRAZO</v>
      </c>
      <c r="P182" s="8" t="s">
        <v>32</v>
      </c>
      <c r="Q182" s="96" t="s">
        <v>504</v>
      </c>
      <c r="R182" s="96" t="s">
        <v>505</v>
      </c>
      <c r="S182" s="96" t="s">
        <v>232</v>
      </c>
      <c r="T182" s="96" t="s">
        <v>383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99">
        <v>40</v>
      </c>
      <c r="C183" s="8">
        <v>24657</v>
      </c>
      <c r="D183" s="8">
        <v>34</v>
      </c>
      <c r="E183" s="8" t="s">
        <v>106</v>
      </c>
      <c r="F183" s="101" t="s">
        <v>528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160</v>
      </c>
      <c r="O183" s="8" t="str">
        <f t="shared" ca="1" si="9"/>
        <v>NO PRAZO</v>
      </c>
      <c r="P183" s="8" t="s">
        <v>32</v>
      </c>
      <c r="Q183" s="96" t="s">
        <v>504</v>
      </c>
      <c r="R183" s="96" t="s">
        <v>505</v>
      </c>
      <c r="S183" s="96" t="s">
        <v>232</v>
      </c>
      <c r="T183" s="96" t="s">
        <v>383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99">
        <v>41</v>
      </c>
      <c r="C184" s="8" t="s">
        <v>301</v>
      </c>
      <c r="D184" s="8" t="s">
        <v>63</v>
      </c>
      <c r="E184" s="8" t="s">
        <v>106</v>
      </c>
      <c r="F184" s="101" t="s">
        <v>530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160</v>
      </c>
      <c r="O184" s="8" t="str">
        <f t="shared" ca="1" si="9"/>
        <v>NO PRAZO</v>
      </c>
      <c r="P184" s="8" t="s">
        <v>32</v>
      </c>
      <c r="Q184" s="96" t="s">
        <v>504</v>
      </c>
      <c r="R184" s="96" t="s">
        <v>505</v>
      </c>
      <c r="S184" s="96" t="s">
        <v>232</v>
      </c>
      <c r="T184" s="96" t="s">
        <v>383</v>
      </c>
      <c r="U184" s="96"/>
      <c r="V184" s="8" t="s">
        <v>497</v>
      </c>
      <c r="W184" s="8" t="s">
        <v>536</v>
      </c>
    </row>
    <row r="185" spans="1:23" hidden="1" x14ac:dyDescent="0.25">
      <c r="A185" s="8">
        <v>2358</v>
      </c>
      <c r="B185" s="99">
        <v>42</v>
      </c>
      <c r="C185" s="8" t="s">
        <v>301</v>
      </c>
      <c r="D185" s="8" t="s">
        <v>63</v>
      </c>
      <c r="E185" s="8" t="s">
        <v>106</v>
      </c>
      <c r="F185" s="101" t="s">
        <v>530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160</v>
      </c>
      <c r="O185" s="8" t="str">
        <f t="shared" ca="1" si="9"/>
        <v>NO PRAZO</v>
      </c>
      <c r="P185" s="8" t="s">
        <v>32</v>
      </c>
      <c r="Q185" s="96" t="s">
        <v>504</v>
      </c>
      <c r="R185" s="96" t="s">
        <v>505</v>
      </c>
      <c r="S185" s="96" t="s">
        <v>232</v>
      </c>
      <c r="T185" s="96" t="s">
        <v>383</v>
      </c>
      <c r="U185" s="96"/>
      <c r="V185" s="8" t="s">
        <v>497</v>
      </c>
      <c r="W185" s="8" t="s">
        <v>536</v>
      </c>
    </row>
    <row r="186" spans="1:23" hidden="1" x14ac:dyDescent="0.25">
      <c r="A186" s="8">
        <v>2358</v>
      </c>
      <c r="B186" s="99">
        <v>43</v>
      </c>
      <c r="C186" s="8" t="s">
        <v>301</v>
      </c>
      <c r="D186" s="8" t="s">
        <v>63</v>
      </c>
      <c r="E186" s="8" t="s">
        <v>106</v>
      </c>
      <c r="F186" s="101" t="s">
        <v>530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160</v>
      </c>
      <c r="O186" s="8" t="str">
        <f t="shared" ca="1" si="9"/>
        <v>NO PRAZO</v>
      </c>
      <c r="P186" s="8" t="s">
        <v>32</v>
      </c>
      <c r="Q186" s="96" t="s">
        <v>504</v>
      </c>
      <c r="R186" s="96" t="s">
        <v>505</v>
      </c>
      <c r="S186" s="96" t="s">
        <v>232</v>
      </c>
      <c r="T186" s="96" t="s">
        <v>383</v>
      </c>
      <c r="U186" s="96"/>
      <c r="V186" s="8" t="s">
        <v>497</v>
      </c>
      <c r="W186" s="8" t="s">
        <v>536</v>
      </c>
    </row>
    <row r="187" spans="1:23" hidden="1" x14ac:dyDescent="0.25">
      <c r="A187" s="8">
        <v>2358</v>
      </c>
      <c r="B187" s="99">
        <v>44</v>
      </c>
      <c r="C187" s="8" t="s">
        <v>301</v>
      </c>
      <c r="D187" s="8" t="s">
        <v>63</v>
      </c>
      <c r="E187" s="8" t="s">
        <v>106</v>
      </c>
      <c r="F187" s="101" t="s">
        <v>530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160</v>
      </c>
      <c r="O187" s="8" t="str">
        <f t="shared" ca="1" si="9"/>
        <v>NO PRAZO</v>
      </c>
      <c r="P187" s="8" t="s">
        <v>32</v>
      </c>
      <c r="Q187" s="96" t="s">
        <v>504</v>
      </c>
      <c r="R187" s="96" t="s">
        <v>505</v>
      </c>
      <c r="S187" s="96" t="s">
        <v>232</v>
      </c>
      <c r="T187" s="96" t="s">
        <v>383</v>
      </c>
      <c r="U187" s="96"/>
      <c r="V187" s="8" t="s">
        <v>497</v>
      </c>
      <c r="W187" s="8" t="s">
        <v>536</v>
      </c>
    </row>
    <row r="188" spans="1:23" hidden="1" x14ac:dyDescent="0.25">
      <c r="A188" s="8">
        <v>2358</v>
      </c>
      <c r="B188" s="99">
        <v>45</v>
      </c>
      <c r="C188" s="8" t="s">
        <v>301</v>
      </c>
      <c r="D188" s="8" t="s">
        <v>63</v>
      </c>
      <c r="E188" s="8" t="s">
        <v>106</v>
      </c>
      <c r="F188" s="101" t="s">
        <v>531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160</v>
      </c>
      <c r="O188" s="8" t="str">
        <f t="shared" ca="1" si="9"/>
        <v>NO PRAZO</v>
      </c>
      <c r="P188" s="8" t="s">
        <v>32</v>
      </c>
      <c r="Q188" s="96" t="s">
        <v>504</v>
      </c>
      <c r="R188" s="96" t="s">
        <v>505</v>
      </c>
      <c r="S188" s="96" t="s">
        <v>232</v>
      </c>
      <c r="T188" s="96" t="s">
        <v>383</v>
      </c>
      <c r="U188" s="96"/>
      <c r="V188" s="8" t="s">
        <v>497</v>
      </c>
      <c r="W188" s="8" t="s">
        <v>536</v>
      </c>
    </row>
    <row r="189" spans="1:23" ht="15" hidden="1" customHeight="1" x14ac:dyDescent="0.25">
      <c r="A189" s="8">
        <v>2358</v>
      </c>
      <c r="B189" s="99">
        <v>46</v>
      </c>
      <c r="C189" s="8" t="s">
        <v>301</v>
      </c>
      <c r="D189" s="8" t="s">
        <v>63</v>
      </c>
      <c r="E189" s="8" t="s">
        <v>106</v>
      </c>
      <c r="F189" s="101" t="s">
        <v>532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160</v>
      </c>
      <c r="O189" s="8" t="str">
        <f t="shared" ca="1" si="9"/>
        <v>NO PRAZO</v>
      </c>
      <c r="P189" s="8" t="s">
        <v>32</v>
      </c>
      <c r="Q189" s="96" t="s">
        <v>504</v>
      </c>
      <c r="R189" s="96" t="s">
        <v>505</v>
      </c>
      <c r="S189" s="96" t="s">
        <v>232</v>
      </c>
      <c r="T189" s="96" t="s">
        <v>383</v>
      </c>
      <c r="U189" s="96"/>
      <c r="V189" s="8" t="s">
        <v>497</v>
      </c>
      <c r="W189" s="8" t="s">
        <v>536</v>
      </c>
    </row>
    <row r="190" spans="1:23" ht="15" hidden="1" customHeight="1" x14ac:dyDescent="0.25">
      <c r="A190" s="8">
        <v>2358</v>
      </c>
      <c r="B190" s="99">
        <v>47</v>
      </c>
      <c r="C190" s="8" t="s">
        <v>301</v>
      </c>
      <c r="D190" s="8" t="s">
        <v>63</v>
      </c>
      <c r="E190" s="8" t="s">
        <v>106</v>
      </c>
      <c r="F190" s="101" t="s">
        <v>533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160</v>
      </c>
      <c r="O190" s="8" t="str">
        <f t="shared" ca="1" si="9"/>
        <v>NO PRAZO</v>
      </c>
      <c r="P190" s="8" t="s">
        <v>32</v>
      </c>
      <c r="Q190" s="96" t="s">
        <v>504</v>
      </c>
      <c r="R190" s="96" t="s">
        <v>505</v>
      </c>
      <c r="S190" s="96" t="s">
        <v>232</v>
      </c>
      <c r="T190" s="96" t="s">
        <v>383</v>
      </c>
      <c r="U190" s="96"/>
      <c r="V190" s="8" t="s">
        <v>497</v>
      </c>
      <c r="W190" s="8" t="s">
        <v>536</v>
      </c>
    </row>
    <row r="191" spans="1:23" ht="15" hidden="1" customHeight="1" x14ac:dyDescent="0.25">
      <c r="A191" s="8">
        <v>2358</v>
      </c>
      <c r="B191" s="99">
        <v>48</v>
      </c>
      <c r="C191" s="8" t="s">
        <v>301</v>
      </c>
      <c r="D191" s="8" t="s">
        <v>63</v>
      </c>
      <c r="E191" s="8" t="s">
        <v>106</v>
      </c>
      <c r="F191" s="101" t="s">
        <v>534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160</v>
      </c>
      <c r="O191" s="8" t="str">
        <f t="shared" ca="1" si="9"/>
        <v>NO PRAZO</v>
      </c>
      <c r="P191" s="8" t="s">
        <v>32</v>
      </c>
      <c r="Q191" s="96" t="s">
        <v>504</v>
      </c>
      <c r="R191" s="96" t="s">
        <v>505</v>
      </c>
      <c r="S191" s="96" t="s">
        <v>232</v>
      </c>
      <c r="T191" s="96" t="s">
        <v>383</v>
      </c>
      <c r="U191" s="96"/>
      <c r="V191" s="8" t="s">
        <v>497</v>
      </c>
      <c r="W191" s="8" t="s">
        <v>536</v>
      </c>
    </row>
    <row r="192" spans="1:23" ht="15" hidden="1" customHeight="1" x14ac:dyDescent="0.25">
      <c r="A192" s="8">
        <v>2358</v>
      </c>
      <c r="B192" s="99">
        <v>49</v>
      </c>
      <c r="C192" s="8" t="s">
        <v>301</v>
      </c>
      <c r="D192" s="8" t="s">
        <v>63</v>
      </c>
      <c r="E192" s="8" t="s">
        <v>106</v>
      </c>
      <c r="F192" s="101" t="s">
        <v>534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160</v>
      </c>
      <c r="O192" s="8" t="str">
        <f t="shared" ca="1" si="9"/>
        <v>NO PRAZO</v>
      </c>
      <c r="P192" s="8" t="s">
        <v>32</v>
      </c>
      <c r="Q192" s="96" t="s">
        <v>504</v>
      </c>
      <c r="R192" s="96" t="s">
        <v>505</v>
      </c>
      <c r="S192" s="96" t="s">
        <v>232</v>
      </c>
      <c r="T192" s="96" t="s">
        <v>383</v>
      </c>
      <c r="U192" s="96"/>
      <c r="V192" s="8" t="s">
        <v>497</v>
      </c>
      <c r="W192" s="8" t="s">
        <v>536</v>
      </c>
    </row>
    <row r="193" spans="1:23" ht="15" hidden="1" customHeight="1" x14ac:dyDescent="0.25">
      <c r="A193" s="8">
        <v>2358</v>
      </c>
      <c r="B193" s="99">
        <v>50</v>
      </c>
      <c r="C193" s="8" t="s">
        <v>301</v>
      </c>
      <c r="D193" s="8" t="s">
        <v>63</v>
      </c>
      <c r="E193" s="8" t="s">
        <v>106</v>
      </c>
      <c r="F193" s="101" t="s">
        <v>534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160</v>
      </c>
      <c r="O193" s="8" t="str">
        <f t="shared" ca="1" si="9"/>
        <v>NO PRAZO</v>
      </c>
      <c r="P193" s="8" t="s">
        <v>32</v>
      </c>
      <c r="Q193" s="96" t="s">
        <v>504</v>
      </c>
      <c r="R193" s="96" t="s">
        <v>505</v>
      </c>
      <c r="S193" s="96" t="s">
        <v>232</v>
      </c>
      <c r="T193" s="96" t="s">
        <v>383</v>
      </c>
      <c r="U193" s="96"/>
      <c r="V193" s="8" t="s">
        <v>497</v>
      </c>
      <c r="W193" s="8" t="s">
        <v>536</v>
      </c>
    </row>
    <row r="194" spans="1:23" ht="15" hidden="1" customHeight="1" x14ac:dyDescent="0.25">
      <c r="A194" s="8">
        <v>2358</v>
      </c>
      <c r="B194" s="99">
        <v>51</v>
      </c>
      <c r="C194" s="8" t="s">
        <v>301</v>
      </c>
      <c r="D194" s="8" t="s">
        <v>63</v>
      </c>
      <c r="E194" s="8" t="s">
        <v>106</v>
      </c>
      <c r="F194" s="101" t="s">
        <v>534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160</v>
      </c>
      <c r="O194" s="8" t="str">
        <f t="shared" ca="1" si="9"/>
        <v>NO PRAZO</v>
      </c>
      <c r="P194" s="8" t="s">
        <v>32</v>
      </c>
      <c r="Q194" s="96" t="s">
        <v>504</v>
      </c>
      <c r="R194" s="96" t="s">
        <v>505</v>
      </c>
      <c r="S194" s="96" t="s">
        <v>232</v>
      </c>
      <c r="T194" s="96" t="s">
        <v>383</v>
      </c>
      <c r="U194" s="96"/>
      <c r="V194" s="8" t="s">
        <v>497</v>
      </c>
      <c r="W194" s="8" t="s">
        <v>536</v>
      </c>
    </row>
    <row r="195" spans="1:23" ht="15" hidden="1" customHeight="1" x14ac:dyDescent="0.25">
      <c r="A195" s="8">
        <v>2358</v>
      </c>
      <c r="B195" s="99">
        <v>52</v>
      </c>
      <c r="C195" s="8" t="s">
        <v>301</v>
      </c>
      <c r="D195" s="8" t="s">
        <v>63</v>
      </c>
      <c r="E195" s="8" t="s">
        <v>106</v>
      </c>
      <c r="F195" s="101" t="s">
        <v>534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160</v>
      </c>
      <c r="O195" s="8" t="str">
        <f t="shared" ca="1" si="9"/>
        <v>NO PRAZO</v>
      </c>
      <c r="P195" s="8" t="s">
        <v>32</v>
      </c>
      <c r="Q195" s="96" t="s">
        <v>504</v>
      </c>
      <c r="R195" s="96" t="s">
        <v>505</v>
      </c>
      <c r="S195" s="96" t="s">
        <v>232</v>
      </c>
      <c r="T195" s="96" t="s">
        <v>383</v>
      </c>
      <c r="U195" s="96"/>
      <c r="V195" s="8" t="s">
        <v>497</v>
      </c>
      <c r="W195" s="8" t="s">
        <v>536</v>
      </c>
    </row>
    <row r="196" spans="1:23" ht="15" hidden="1" customHeight="1" x14ac:dyDescent="0.25">
      <c r="A196" s="8">
        <v>2358</v>
      </c>
      <c r="B196" s="99">
        <v>53</v>
      </c>
      <c r="C196" s="8" t="s">
        <v>301</v>
      </c>
      <c r="D196" s="8" t="s">
        <v>63</v>
      </c>
      <c r="E196" s="8" t="s">
        <v>106</v>
      </c>
      <c r="F196" s="101" t="s">
        <v>535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160</v>
      </c>
      <c r="O196" s="8" t="str">
        <f t="shared" ca="1" si="9"/>
        <v>NO PRAZO</v>
      </c>
      <c r="P196" s="8" t="s">
        <v>32</v>
      </c>
      <c r="Q196" s="96" t="s">
        <v>504</v>
      </c>
      <c r="R196" s="96" t="s">
        <v>505</v>
      </c>
      <c r="S196" s="96" t="s">
        <v>232</v>
      </c>
      <c r="T196" s="96" t="s">
        <v>383</v>
      </c>
      <c r="U196" s="96"/>
      <c r="V196" s="8" t="s">
        <v>497</v>
      </c>
      <c r="W196" s="8" t="s">
        <v>536</v>
      </c>
    </row>
    <row r="197" spans="1:23" ht="15" hidden="1" customHeight="1" x14ac:dyDescent="0.25">
      <c r="A197" s="8">
        <v>2358</v>
      </c>
      <c r="B197" s="99">
        <v>54</v>
      </c>
      <c r="C197" s="8" t="s">
        <v>301</v>
      </c>
      <c r="D197" s="8" t="s">
        <v>63</v>
      </c>
      <c r="E197" s="8" t="s">
        <v>106</v>
      </c>
      <c r="F197" s="101" t="s">
        <v>532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160</v>
      </c>
      <c r="O197" s="8" t="str">
        <f t="shared" ca="1" si="9"/>
        <v>NO PRAZO</v>
      </c>
      <c r="P197" s="8" t="s">
        <v>32</v>
      </c>
      <c r="Q197" s="96" t="s">
        <v>504</v>
      </c>
      <c r="R197" s="96" t="s">
        <v>505</v>
      </c>
      <c r="S197" s="96" t="s">
        <v>232</v>
      </c>
      <c r="T197" s="96" t="s">
        <v>383</v>
      </c>
      <c r="U197" s="96"/>
      <c r="V197" s="8" t="s">
        <v>497</v>
      </c>
      <c r="W197" s="8" t="s">
        <v>536</v>
      </c>
    </row>
    <row r="198" spans="1:23" ht="15" hidden="1" customHeight="1" x14ac:dyDescent="0.25">
      <c r="A198" s="8">
        <v>2358</v>
      </c>
      <c r="B198" s="100">
        <v>55</v>
      </c>
      <c r="C198" s="8" t="s">
        <v>301</v>
      </c>
      <c r="D198" s="8" t="s">
        <v>63</v>
      </c>
      <c r="E198" s="8" t="s">
        <v>106</v>
      </c>
      <c r="F198" s="101" t="s">
        <v>533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160</v>
      </c>
      <c r="O198" s="8" t="str">
        <f t="shared" ca="1" si="9"/>
        <v>NO PRAZO</v>
      </c>
      <c r="P198" s="8" t="s">
        <v>32</v>
      </c>
      <c r="Q198" s="96" t="s">
        <v>504</v>
      </c>
      <c r="R198" s="96" t="s">
        <v>505</v>
      </c>
      <c r="S198" s="96" t="s">
        <v>232</v>
      </c>
      <c r="T198" s="96" t="s">
        <v>383</v>
      </c>
      <c r="U198" s="96"/>
      <c r="V198" s="8" t="s">
        <v>497</v>
      </c>
      <c r="W198" s="8" t="s">
        <v>536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503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235</v>
      </c>
      <c r="R1" s="27" t="s">
        <v>236</v>
      </c>
      <c r="S1" s="27" t="s">
        <v>237</v>
      </c>
      <c r="T1" s="27" t="s">
        <v>238</v>
      </c>
      <c r="U1" s="27" t="s">
        <v>239</v>
      </c>
      <c r="V1" s="27" t="s">
        <v>240</v>
      </c>
      <c r="W1" s="27" t="s">
        <v>241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43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508</v>
      </c>
      <c r="R2" s="1" t="s">
        <v>510</v>
      </c>
      <c r="S2" s="1" t="s">
        <v>511</v>
      </c>
      <c r="T2" s="1" t="s">
        <v>225</v>
      </c>
      <c r="U2" s="1" t="s">
        <v>509</v>
      </c>
      <c r="V2" s="1" t="s">
        <v>232</v>
      </c>
      <c r="W2" s="1" t="s">
        <v>385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43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508</v>
      </c>
      <c r="R3" s="1" t="s">
        <v>510</v>
      </c>
      <c r="S3" s="1" t="s">
        <v>511</v>
      </c>
      <c r="T3" s="1" t="s">
        <v>225</v>
      </c>
      <c r="U3" s="1" t="s">
        <v>509</v>
      </c>
      <c r="V3" s="1" t="s">
        <v>232</v>
      </c>
      <c r="W3" s="1" t="s">
        <v>385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13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13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13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69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13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40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40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40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40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40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69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69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69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54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508</v>
      </c>
      <c r="R17" s="1" t="s">
        <v>510</v>
      </c>
      <c r="S17" s="1" t="s">
        <v>511</v>
      </c>
      <c r="T17" s="1" t="s">
        <v>225</v>
      </c>
      <c r="U17" s="1" t="s">
        <v>509</v>
      </c>
      <c r="V17" s="1" t="s">
        <v>232</v>
      </c>
      <c r="W17" s="1" t="s">
        <v>385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54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508</v>
      </c>
      <c r="R18" s="1" t="s">
        <v>510</v>
      </c>
      <c r="S18" s="1" t="s">
        <v>511</v>
      </c>
      <c r="T18" s="1" t="s">
        <v>225</v>
      </c>
      <c r="U18" s="1" t="s">
        <v>509</v>
      </c>
      <c r="V18" s="1" t="s">
        <v>232</v>
      </c>
      <c r="W18" s="1" t="s">
        <v>385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54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508</v>
      </c>
      <c r="R19" s="1" t="s">
        <v>510</v>
      </c>
      <c r="S19" s="1" t="s">
        <v>511</v>
      </c>
      <c r="T19" s="1" t="s">
        <v>225</v>
      </c>
      <c r="U19" s="1" t="s">
        <v>509</v>
      </c>
      <c r="V19" s="1" t="s">
        <v>232</v>
      </c>
      <c r="W19" s="1" t="s">
        <v>385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54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508</v>
      </c>
      <c r="R20" s="1" t="s">
        <v>510</v>
      </c>
      <c r="S20" s="1" t="s">
        <v>511</v>
      </c>
      <c r="T20" s="1" t="s">
        <v>225</v>
      </c>
      <c r="U20" s="1" t="s">
        <v>509</v>
      </c>
      <c r="V20" s="1" t="s">
        <v>232</v>
      </c>
      <c r="W20" s="1" t="s">
        <v>385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54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508</v>
      </c>
      <c r="R21" s="1" t="s">
        <v>510</v>
      </c>
      <c r="S21" s="1" t="s">
        <v>511</v>
      </c>
      <c r="T21" s="1" t="s">
        <v>225</v>
      </c>
      <c r="U21" s="1" t="s">
        <v>509</v>
      </c>
      <c r="V21" s="1" t="s">
        <v>232</v>
      </c>
      <c r="W21" s="1" t="s">
        <v>385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54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508</v>
      </c>
      <c r="R22" s="1" t="s">
        <v>510</v>
      </c>
      <c r="S22" s="1" t="s">
        <v>511</v>
      </c>
      <c r="T22" s="1" t="s">
        <v>225</v>
      </c>
      <c r="U22" s="1" t="s">
        <v>509</v>
      </c>
      <c r="V22" s="1" t="s">
        <v>232</v>
      </c>
      <c r="W22" s="1" t="s">
        <v>385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54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508</v>
      </c>
      <c r="R23" s="1" t="s">
        <v>510</v>
      </c>
      <c r="S23" s="1" t="s">
        <v>511</v>
      </c>
      <c r="T23" s="1" t="s">
        <v>225</v>
      </c>
      <c r="U23" s="1" t="s">
        <v>509</v>
      </c>
      <c r="V23" s="1" t="s">
        <v>232</v>
      </c>
      <c r="W23" s="1" t="s">
        <v>385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54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508</v>
      </c>
      <c r="R24" s="1" t="s">
        <v>510</v>
      </c>
      <c r="S24" s="1" t="s">
        <v>511</v>
      </c>
      <c r="T24" s="1" t="s">
        <v>225</v>
      </c>
      <c r="U24" s="1" t="s">
        <v>509</v>
      </c>
      <c r="V24" s="1" t="s">
        <v>232</v>
      </c>
      <c r="W24" s="1" t="s">
        <v>385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54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508</v>
      </c>
      <c r="R25" s="1" t="s">
        <v>510</v>
      </c>
      <c r="S25" s="1" t="s">
        <v>511</v>
      </c>
      <c r="T25" s="1" t="s">
        <v>225</v>
      </c>
      <c r="U25" s="1" t="s">
        <v>509</v>
      </c>
      <c r="V25" s="1" t="s">
        <v>232</v>
      </c>
      <c r="W25" s="1" t="s">
        <v>385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148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508</v>
      </c>
      <c r="R26" s="1" t="s">
        <v>510</v>
      </c>
      <c r="S26" s="1" t="s">
        <v>511</v>
      </c>
      <c r="T26" s="1" t="s">
        <v>225</v>
      </c>
      <c r="U26" s="1" t="s">
        <v>509</v>
      </c>
      <c r="V26" s="1" t="s">
        <v>232</v>
      </c>
      <c r="W26" s="1" t="s">
        <v>385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148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508</v>
      </c>
      <c r="R27" s="1" t="s">
        <v>510</v>
      </c>
      <c r="S27" s="1" t="s">
        <v>511</v>
      </c>
      <c r="T27" s="1" t="s">
        <v>225</v>
      </c>
      <c r="U27" s="1" t="s">
        <v>509</v>
      </c>
      <c r="V27" s="1" t="s">
        <v>232</v>
      </c>
      <c r="W27" s="1" t="s">
        <v>385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148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508</v>
      </c>
      <c r="R28" s="1" t="s">
        <v>510</v>
      </c>
      <c r="S28" s="1" t="s">
        <v>511</v>
      </c>
      <c r="T28" s="1" t="s">
        <v>225</v>
      </c>
      <c r="U28" s="1" t="s">
        <v>509</v>
      </c>
      <c r="V28" s="1" t="s">
        <v>232</v>
      </c>
      <c r="W28" s="1" t="s">
        <v>385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60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508</v>
      </c>
      <c r="R29" s="1" t="s">
        <v>510</v>
      </c>
      <c r="S29" s="1" t="s">
        <v>511</v>
      </c>
      <c r="T29" s="1" t="s">
        <v>225</v>
      </c>
      <c r="U29" s="1" t="s">
        <v>509</v>
      </c>
      <c r="V29" s="1" t="s">
        <v>232</v>
      </c>
      <c r="W29" s="1" t="s">
        <v>385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60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508</v>
      </c>
      <c r="R30" s="1" t="s">
        <v>510</v>
      </c>
      <c r="S30" s="1" t="s">
        <v>511</v>
      </c>
      <c r="T30" s="1" t="s">
        <v>225</v>
      </c>
      <c r="U30" s="1" t="s">
        <v>509</v>
      </c>
      <c r="V30" s="1" t="s">
        <v>232</v>
      </c>
      <c r="W30" s="1" t="s">
        <v>385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60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508</v>
      </c>
      <c r="R31" s="1" t="s">
        <v>510</v>
      </c>
      <c r="S31" s="1" t="s">
        <v>511</v>
      </c>
      <c r="T31" s="1" t="s">
        <v>225</v>
      </c>
      <c r="U31" s="1" t="s">
        <v>509</v>
      </c>
      <c r="V31" s="1" t="s">
        <v>232</v>
      </c>
      <c r="W31" s="1" t="s">
        <v>385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148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508</v>
      </c>
      <c r="R32" s="1" t="s">
        <v>510</v>
      </c>
      <c r="S32" s="1" t="s">
        <v>511</v>
      </c>
      <c r="T32" s="1" t="s">
        <v>225</v>
      </c>
      <c r="U32" s="1" t="s">
        <v>509</v>
      </c>
      <c r="V32" s="1" t="s">
        <v>232</v>
      </c>
      <c r="W32" s="1" t="s">
        <v>385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148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508</v>
      </c>
      <c r="R33" s="1" t="s">
        <v>510</v>
      </c>
      <c r="S33" s="1" t="s">
        <v>511</v>
      </c>
      <c r="T33" s="1" t="s">
        <v>225</v>
      </c>
      <c r="U33" s="1" t="s">
        <v>509</v>
      </c>
      <c r="V33" s="1" t="s">
        <v>232</v>
      </c>
      <c r="W33" s="1" t="s">
        <v>385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148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508</v>
      </c>
      <c r="R34" s="1" t="s">
        <v>510</v>
      </c>
      <c r="S34" s="1" t="s">
        <v>511</v>
      </c>
      <c r="T34" s="1" t="s">
        <v>225</v>
      </c>
      <c r="U34" s="1" t="s">
        <v>509</v>
      </c>
      <c r="V34" s="1" t="s">
        <v>232</v>
      </c>
      <c r="W34" s="1" t="s">
        <v>385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148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508</v>
      </c>
      <c r="R35" s="1" t="s">
        <v>510</v>
      </c>
      <c r="S35" s="1" t="s">
        <v>511</v>
      </c>
      <c r="T35" s="1" t="s">
        <v>225</v>
      </c>
      <c r="U35" s="1" t="s">
        <v>509</v>
      </c>
      <c r="V35" s="1" t="s">
        <v>232</v>
      </c>
      <c r="W35" s="1" t="s">
        <v>385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222</v>
      </c>
      <c r="F36" s="6" t="s">
        <v>223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69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508</v>
      </c>
      <c r="R36" s="1" t="s">
        <v>510</v>
      </c>
      <c r="S36" s="1" t="s">
        <v>511</v>
      </c>
      <c r="T36" s="1" t="s">
        <v>225</v>
      </c>
      <c r="U36" s="1" t="s">
        <v>509</v>
      </c>
      <c r="V36" s="1" t="s">
        <v>232</v>
      </c>
      <c r="W36" s="1" t="s">
        <v>385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222</v>
      </c>
      <c r="F37" s="6" t="s">
        <v>224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69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508</v>
      </c>
      <c r="R37" s="1" t="s">
        <v>510</v>
      </c>
      <c r="S37" s="1" t="s">
        <v>511</v>
      </c>
      <c r="T37" s="1" t="s">
        <v>225</v>
      </c>
      <c r="U37" s="1" t="s">
        <v>509</v>
      </c>
      <c r="V37" s="1" t="s">
        <v>232</v>
      </c>
      <c r="W37" s="1" t="s">
        <v>385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222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69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508</v>
      </c>
      <c r="R38" s="1" t="s">
        <v>510</v>
      </c>
      <c r="S38" s="1" t="s">
        <v>511</v>
      </c>
      <c r="T38" s="1" t="s">
        <v>225</v>
      </c>
      <c r="U38" s="1" t="s">
        <v>509</v>
      </c>
      <c r="V38" s="1" t="s">
        <v>232</v>
      </c>
      <c r="W38" s="1" t="s">
        <v>385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222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69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508</v>
      </c>
      <c r="R39" s="1" t="s">
        <v>510</v>
      </c>
      <c r="S39" s="1" t="s">
        <v>511</v>
      </c>
      <c r="T39" s="1" t="s">
        <v>225</v>
      </c>
      <c r="U39" s="1" t="s">
        <v>509</v>
      </c>
      <c r="V39" s="1" t="s">
        <v>232</v>
      </c>
      <c r="W39" s="1" t="s">
        <v>385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487</v>
      </c>
      <c r="F40" s="6" t="s">
        <v>517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103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508</v>
      </c>
      <c r="R40" s="1" t="s">
        <v>510</v>
      </c>
      <c r="S40" s="1" t="s">
        <v>511</v>
      </c>
      <c r="T40" s="1" t="s">
        <v>225</v>
      </c>
      <c r="U40" s="1" t="s">
        <v>509</v>
      </c>
      <c r="V40" s="1" t="s">
        <v>232</v>
      </c>
      <c r="W40" s="1" t="s">
        <v>385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487</v>
      </c>
      <c r="F41" s="6" t="s">
        <v>517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103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508</v>
      </c>
      <c r="R41" s="1" t="s">
        <v>510</v>
      </c>
      <c r="S41" s="1" t="s">
        <v>511</v>
      </c>
      <c r="T41" s="1" t="s">
        <v>225</v>
      </c>
      <c r="U41" s="1" t="s">
        <v>509</v>
      </c>
      <c r="V41" s="1" t="s">
        <v>232</v>
      </c>
      <c r="W41" s="1" t="s">
        <v>385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487</v>
      </c>
      <c r="F42" s="6" t="s">
        <v>517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103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508</v>
      </c>
      <c r="R42" s="1" t="s">
        <v>510</v>
      </c>
      <c r="S42" s="1" t="s">
        <v>511</v>
      </c>
      <c r="T42" s="1" t="s">
        <v>225</v>
      </c>
      <c r="U42" s="1" t="s">
        <v>509</v>
      </c>
      <c r="V42" s="1" t="s">
        <v>232</v>
      </c>
      <c r="W42" s="1" t="s">
        <v>385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487</v>
      </c>
      <c r="F43" s="6" t="s">
        <v>517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103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508</v>
      </c>
      <c r="R43" s="1" t="s">
        <v>510</v>
      </c>
      <c r="S43" s="1" t="s">
        <v>511</v>
      </c>
      <c r="T43" s="1" t="s">
        <v>225</v>
      </c>
      <c r="U43" s="1" t="s">
        <v>509</v>
      </c>
      <c r="V43" s="1" t="s">
        <v>232</v>
      </c>
      <c r="W43" s="1" t="s">
        <v>385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487</v>
      </c>
      <c r="F44" s="6" t="s">
        <v>517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103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508</v>
      </c>
      <c r="R44" s="1" t="s">
        <v>510</v>
      </c>
      <c r="S44" s="1" t="s">
        <v>511</v>
      </c>
      <c r="T44" s="1" t="s">
        <v>225</v>
      </c>
      <c r="U44" s="1" t="s">
        <v>509</v>
      </c>
      <c r="V44" s="1" t="s">
        <v>232</v>
      </c>
      <c r="W44" s="1" t="s">
        <v>385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487</v>
      </c>
      <c r="F45" s="6" t="s">
        <v>517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103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508</v>
      </c>
      <c r="R45" s="1" t="s">
        <v>510</v>
      </c>
      <c r="S45" s="1" t="s">
        <v>511</v>
      </c>
      <c r="T45" s="1" t="s">
        <v>225</v>
      </c>
      <c r="U45" s="1" t="s">
        <v>509</v>
      </c>
      <c r="V45" s="1" t="s">
        <v>232</v>
      </c>
      <c r="W45" s="1" t="s">
        <v>385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487</v>
      </c>
      <c r="F46" s="6" t="s">
        <v>223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103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508</v>
      </c>
      <c r="R46" s="1" t="s">
        <v>510</v>
      </c>
      <c r="S46" s="1" t="s">
        <v>511</v>
      </c>
      <c r="T46" s="1" t="s">
        <v>225</v>
      </c>
      <c r="U46" s="1" t="s">
        <v>509</v>
      </c>
      <c r="V46" s="1" t="s">
        <v>232</v>
      </c>
      <c r="W46" s="1" t="s">
        <v>385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487</v>
      </c>
      <c r="F47" s="6" t="s">
        <v>223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103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508</v>
      </c>
      <c r="R47" s="1" t="s">
        <v>510</v>
      </c>
      <c r="S47" s="1" t="s">
        <v>511</v>
      </c>
      <c r="T47" s="1" t="s">
        <v>225</v>
      </c>
      <c r="U47" s="1" t="s">
        <v>509</v>
      </c>
      <c r="V47" s="1" t="s">
        <v>232</v>
      </c>
      <c r="W47" s="1" t="s">
        <v>385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487</v>
      </c>
      <c r="F48" s="6" t="s">
        <v>223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103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508</v>
      </c>
      <c r="R48" s="1" t="s">
        <v>510</v>
      </c>
      <c r="S48" s="1" t="s">
        <v>511</v>
      </c>
      <c r="T48" s="1" t="s">
        <v>225</v>
      </c>
      <c r="U48" s="1" t="s">
        <v>509</v>
      </c>
      <c r="V48" s="1" t="s">
        <v>232</v>
      </c>
      <c r="W48" s="1" t="s">
        <v>385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487</v>
      </c>
      <c r="F49" s="6" t="s">
        <v>223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103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508</v>
      </c>
      <c r="R49" s="1" t="s">
        <v>510</v>
      </c>
      <c r="S49" s="1" t="s">
        <v>511</v>
      </c>
      <c r="T49" s="1" t="s">
        <v>225</v>
      </c>
      <c r="U49" s="1" t="s">
        <v>509</v>
      </c>
      <c r="V49" s="1" t="s">
        <v>232</v>
      </c>
      <c r="W49" s="1" t="s">
        <v>385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487</v>
      </c>
      <c r="F50" s="6" t="s">
        <v>223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103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508</v>
      </c>
      <c r="R50" s="1" t="s">
        <v>510</v>
      </c>
      <c r="S50" s="1" t="s">
        <v>511</v>
      </c>
      <c r="T50" s="1" t="s">
        <v>225</v>
      </c>
      <c r="U50" s="1" t="s">
        <v>509</v>
      </c>
      <c r="V50" s="1" t="s">
        <v>232</v>
      </c>
      <c r="W50" s="1" t="s">
        <v>385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487</v>
      </c>
      <c r="F51" s="6" t="s">
        <v>223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103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508</v>
      </c>
      <c r="R51" s="1" t="s">
        <v>510</v>
      </c>
      <c r="S51" s="1" t="s">
        <v>511</v>
      </c>
      <c r="T51" s="1" t="s">
        <v>225</v>
      </c>
      <c r="U51" s="1" t="s">
        <v>509</v>
      </c>
      <c r="V51" s="1" t="s">
        <v>232</v>
      </c>
      <c r="W51" s="1" t="s">
        <v>385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518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160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508</v>
      </c>
      <c r="R52" s="1" t="s">
        <v>510</v>
      </c>
      <c r="S52" s="1" t="s">
        <v>511</v>
      </c>
      <c r="T52" s="1" t="s">
        <v>225</v>
      </c>
      <c r="U52" s="1" t="s">
        <v>509</v>
      </c>
      <c r="V52" s="1" t="s">
        <v>232</v>
      </c>
      <c r="W52" s="1" t="s">
        <v>385</v>
      </c>
      <c r="X52" t="str">
        <f>IF(I52="","AG. FUNDIDO",IF(W52="OK","LIBERADA","EM USINAGEM"))</f>
        <v>AG. FUNDIDO</v>
      </c>
      <c r="Y52" t="s">
        <v>519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520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160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508</v>
      </c>
      <c r="R53" s="1" t="s">
        <v>510</v>
      </c>
      <c r="S53" s="1" t="s">
        <v>511</v>
      </c>
      <c r="T53" s="1" t="s">
        <v>225</v>
      </c>
      <c r="U53" s="1" t="s">
        <v>509</v>
      </c>
      <c r="V53" s="1" t="s">
        <v>232</v>
      </c>
      <c r="W53" s="1" t="s">
        <v>385</v>
      </c>
      <c r="X53" t="str">
        <f t="shared" ref="X53:X54" si="14">IF(I53="","AG. FUNDIDO",IF(W53="OK","LIBERADA","EM USINAGEM"))</f>
        <v>AG. FUNDIDO</v>
      </c>
      <c r="Y53" t="s">
        <v>521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520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160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508</v>
      </c>
      <c r="R54" s="1" t="s">
        <v>510</v>
      </c>
      <c r="S54" s="1" t="s">
        <v>511</v>
      </c>
      <c r="T54" s="1" t="s">
        <v>225</v>
      </c>
      <c r="U54" s="1" t="s">
        <v>509</v>
      </c>
      <c r="V54" s="1" t="s">
        <v>232</v>
      </c>
      <c r="W54" s="1" t="s">
        <v>385</v>
      </c>
      <c r="X54" t="str">
        <f t="shared" si="14"/>
        <v>AG. FUNDIDO</v>
      </c>
      <c r="Y54" t="s">
        <v>522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537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160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508</v>
      </c>
      <c r="R55" s="1" t="s">
        <v>510</v>
      </c>
      <c r="S55" s="1" t="s">
        <v>511</v>
      </c>
      <c r="T55" s="1" t="s">
        <v>225</v>
      </c>
      <c r="U55" s="1" t="s">
        <v>509</v>
      </c>
      <c r="V55" s="1" t="s">
        <v>232</v>
      </c>
      <c r="W55" s="1" t="s">
        <v>385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537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160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508</v>
      </c>
      <c r="R56" s="1" t="s">
        <v>510</v>
      </c>
      <c r="S56" s="1" t="s">
        <v>511</v>
      </c>
      <c r="T56" s="1" t="s">
        <v>225</v>
      </c>
      <c r="U56" s="1" t="s">
        <v>509</v>
      </c>
      <c r="V56" s="1" t="s">
        <v>232</v>
      </c>
      <c r="W56" s="1" t="s">
        <v>385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57"/>
  <sheetViews>
    <sheetView topLeftCell="A27" workbookViewId="0">
      <selection activeCell="E54" sqref="E5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204</v>
      </c>
      <c r="H1" s="87" t="s">
        <v>84</v>
      </c>
      <c r="I1" s="49" t="s">
        <v>68</v>
      </c>
      <c r="J1" s="87" t="s">
        <v>53</v>
      </c>
      <c r="K1" s="49" t="s">
        <v>235</v>
      </c>
      <c r="L1" s="49" t="s">
        <v>236</v>
      </c>
      <c r="M1" s="49" t="s">
        <v>237</v>
      </c>
      <c r="N1" s="49" t="s">
        <v>238</v>
      </c>
      <c r="O1" s="49" t="s">
        <v>239</v>
      </c>
      <c r="P1" s="49" t="s">
        <v>240</v>
      </c>
      <c r="Q1" s="49" t="s">
        <v>241</v>
      </c>
      <c r="R1" s="49" t="s">
        <v>242</v>
      </c>
      <c r="S1" s="49" t="s">
        <v>243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384</v>
      </c>
      <c r="E2" s="81">
        <v>4</v>
      </c>
      <c r="F2" s="81" t="s">
        <v>269</v>
      </c>
      <c r="G2" s="81" t="s">
        <v>206</v>
      </c>
      <c r="H2" s="88">
        <v>46388</v>
      </c>
      <c r="I2" s="81" t="s">
        <v>58</v>
      </c>
      <c r="J2" s="88">
        <v>46423</v>
      </c>
      <c r="K2" s="81" t="s">
        <v>378</v>
      </c>
      <c r="L2" s="81" t="s">
        <v>385</v>
      </c>
      <c r="M2" s="81" t="s">
        <v>247</v>
      </c>
      <c r="N2" s="81"/>
      <c r="O2" s="81"/>
      <c r="P2" s="81"/>
      <c r="Q2" s="81"/>
      <c r="R2" s="81"/>
      <c r="S2" s="81"/>
      <c r="T2" s="81" t="s">
        <v>201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384</v>
      </c>
      <c r="E3" s="81">
        <v>4</v>
      </c>
      <c r="F3" s="81" t="s">
        <v>269</v>
      </c>
      <c r="G3" s="81" t="s">
        <v>207</v>
      </c>
      <c r="H3" s="88">
        <v>46388</v>
      </c>
      <c r="I3" s="81" t="s">
        <v>58</v>
      </c>
      <c r="J3" s="88">
        <v>46423</v>
      </c>
      <c r="K3" s="81" t="s">
        <v>378</v>
      </c>
      <c r="L3" s="81" t="s">
        <v>385</v>
      </c>
      <c r="M3" s="81" t="s">
        <v>247</v>
      </c>
      <c r="N3" s="81"/>
      <c r="O3" s="81"/>
      <c r="P3" s="81"/>
      <c r="Q3" s="81"/>
      <c r="R3" s="81"/>
      <c r="S3" s="81"/>
      <c r="T3" s="81" t="s">
        <v>201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386</v>
      </c>
      <c r="E4" s="81">
        <v>1</v>
      </c>
      <c r="F4" s="81" t="s">
        <v>269</v>
      </c>
      <c r="G4" s="81" t="s">
        <v>207</v>
      </c>
      <c r="H4" s="88">
        <v>46388</v>
      </c>
      <c r="I4" s="81" t="s">
        <v>58</v>
      </c>
      <c r="J4" s="88">
        <v>46414</v>
      </c>
      <c r="K4" s="81" t="s">
        <v>378</v>
      </c>
      <c r="L4" s="81" t="s">
        <v>385</v>
      </c>
      <c r="M4" s="81" t="s">
        <v>247</v>
      </c>
      <c r="N4" s="81"/>
      <c r="O4" s="81"/>
      <c r="P4" s="81"/>
      <c r="Q4" s="81"/>
      <c r="R4" s="81"/>
      <c r="S4" s="81"/>
      <c r="T4" s="81" t="s">
        <v>201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387</v>
      </c>
      <c r="E5" s="81">
        <v>2</v>
      </c>
      <c r="F5" s="81" t="s">
        <v>269</v>
      </c>
      <c r="G5" s="81" t="s">
        <v>207</v>
      </c>
      <c r="H5" s="88">
        <v>46388</v>
      </c>
      <c r="I5" s="81" t="s">
        <v>58</v>
      </c>
      <c r="J5" s="88">
        <v>46376</v>
      </c>
      <c r="K5" s="82" t="s">
        <v>378</v>
      </c>
      <c r="L5" s="81" t="s">
        <v>385</v>
      </c>
      <c r="M5" s="81" t="s">
        <v>247</v>
      </c>
      <c r="N5" s="81"/>
      <c r="O5" s="81"/>
      <c r="P5" s="81"/>
      <c r="Q5" s="81"/>
      <c r="R5" s="81"/>
      <c r="S5" s="81"/>
      <c r="T5" s="81" t="s">
        <v>388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387</v>
      </c>
      <c r="E6" s="81">
        <v>2</v>
      </c>
      <c r="F6" s="81" t="s">
        <v>269</v>
      </c>
      <c r="G6" s="81" t="s">
        <v>207</v>
      </c>
      <c r="H6" s="88">
        <v>46388</v>
      </c>
      <c r="I6" s="81" t="s">
        <v>58</v>
      </c>
      <c r="J6" s="88">
        <v>46407</v>
      </c>
      <c r="K6" s="81" t="s">
        <v>378</v>
      </c>
      <c r="L6" s="81" t="s">
        <v>385</v>
      </c>
      <c r="M6" s="81" t="s">
        <v>247</v>
      </c>
      <c r="N6" s="81"/>
      <c r="O6" s="81"/>
      <c r="P6" s="81"/>
      <c r="Q6" s="81"/>
      <c r="R6" s="81"/>
      <c r="S6" s="81"/>
      <c r="T6" s="81" t="s">
        <v>201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387</v>
      </c>
      <c r="E7" s="81">
        <v>4</v>
      </c>
      <c r="F7" s="81" t="s">
        <v>269</v>
      </c>
      <c r="G7" s="81" t="s">
        <v>208</v>
      </c>
      <c r="H7" s="88">
        <v>46388</v>
      </c>
      <c r="I7" s="81" t="s">
        <v>58</v>
      </c>
      <c r="J7" s="88">
        <v>46407</v>
      </c>
      <c r="K7" s="81" t="s">
        <v>378</v>
      </c>
      <c r="L7" s="81" t="s">
        <v>385</v>
      </c>
      <c r="M7" s="81" t="s">
        <v>247</v>
      </c>
      <c r="N7" s="81"/>
      <c r="O7" s="81"/>
      <c r="P7" s="81"/>
      <c r="Q7" s="81"/>
      <c r="R7" s="81"/>
      <c r="S7" s="81"/>
      <c r="T7" s="81" t="s">
        <v>201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387</v>
      </c>
      <c r="E8" s="81">
        <v>4</v>
      </c>
      <c r="F8" s="81" t="s">
        <v>269</v>
      </c>
      <c r="G8" s="81" t="s">
        <v>209</v>
      </c>
      <c r="H8" s="88">
        <v>46388</v>
      </c>
      <c r="I8" s="81" t="s">
        <v>58</v>
      </c>
      <c r="J8" s="88">
        <v>46407</v>
      </c>
      <c r="K8" s="81" t="s">
        <v>378</v>
      </c>
      <c r="L8" s="81" t="s">
        <v>385</v>
      </c>
      <c r="M8" s="81" t="s">
        <v>247</v>
      </c>
      <c r="N8" s="81"/>
      <c r="O8" s="81"/>
      <c r="P8" s="81"/>
      <c r="Q8" s="81"/>
      <c r="R8" s="81"/>
      <c r="S8" s="81"/>
      <c r="T8" s="81" t="s">
        <v>201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389</v>
      </c>
      <c r="E9" s="81">
        <v>2</v>
      </c>
      <c r="F9" s="81" t="s">
        <v>269</v>
      </c>
      <c r="G9" s="81" t="s">
        <v>208</v>
      </c>
      <c r="H9" s="88" t="s">
        <v>56</v>
      </c>
      <c r="I9" s="81" t="s">
        <v>558</v>
      </c>
      <c r="J9" s="88">
        <v>46376</v>
      </c>
      <c r="K9" s="81" t="s">
        <v>498</v>
      </c>
      <c r="L9" s="81" t="s">
        <v>499</v>
      </c>
      <c r="M9" s="81" t="s">
        <v>225</v>
      </c>
      <c r="N9" s="81" t="s">
        <v>402</v>
      </c>
      <c r="O9" s="81" t="s">
        <v>500</v>
      </c>
      <c r="P9" s="81" t="s">
        <v>383</v>
      </c>
      <c r="Q9" s="81"/>
      <c r="R9" s="81"/>
      <c r="S9" s="81"/>
      <c r="T9" s="81" t="s">
        <v>203</v>
      </c>
      <c r="U9" s="81" t="s">
        <v>501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389</v>
      </c>
      <c r="E10" s="81">
        <v>2</v>
      </c>
      <c r="F10" s="81" t="s">
        <v>202</v>
      </c>
      <c r="G10" s="81" t="s">
        <v>209</v>
      </c>
      <c r="H10" s="88" t="s">
        <v>56</v>
      </c>
      <c r="I10" s="81" t="s">
        <v>558</v>
      </c>
      <c r="J10" s="88">
        <v>46376</v>
      </c>
      <c r="K10" s="81" t="s">
        <v>498</v>
      </c>
      <c r="L10" s="81" t="s">
        <v>499</v>
      </c>
      <c r="M10" s="81" t="s">
        <v>225</v>
      </c>
      <c r="N10" s="81" t="s">
        <v>402</v>
      </c>
      <c r="O10" s="81" t="s">
        <v>500</v>
      </c>
      <c r="P10" s="81" t="s">
        <v>383</v>
      </c>
      <c r="Q10" s="81"/>
      <c r="R10" s="81"/>
      <c r="S10" s="81"/>
      <c r="T10" s="81" t="s">
        <v>203</v>
      </c>
      <c r="U10" s="81" t="s">
        <v>502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400</v>
      </c>
      <c r="E11" s="81">
        <v>3</v>
      </c>
      <c r="F11" s="81" t="s">
        <v>202</v>
      </c>
      <c r="G11" s="81" t="s">
        <v>205</v>
      </c>
      <c r="H11" s="88">
        <v>46388</v>
      </c>
      <c r="I11" s="81" t="s">
        <v>58</v>
      </c>
      <c r="J11" s="88">
        <v>46408</v>
      </c>
      <c r="K11" s="81" t="s">
        <v>378</v>
      </c>
      <c r="L11" s="81" t="s">
        <v>385</v>
      </c>
      <c r="M11" s="81" t="s">
        <v>247</v>
      </c>
      <c r="N11" s="81"/>
      <c r="O11" s="81"/>
      <c r="P11" s="81"/>
      <c r="Q11" s="81"/>
      <c r="R11" s="81"/>
      <c r="S11" s="81"/>
      <c r="T11" s="81" t="s">
        <v>201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405</v>
      </c>
      <c r="E12" s="81">
        <v>1</v>
      </c>
      <c r="F12" s="51" t="s">
        <v>202</v>
      </c>
      <c r="G12" s="51" t="s">
        <v>205</v>
      </c>
      <c r="H12" s="88">
        <v>46388</v>
      </c>
      <c r="I12" s="81" t="s">
        <v>58</v>
      </c>
      <c r="J12" s="86">
        <v>46416</v>
      </c>
      <c r="K12" s="81" t="s">
        <v>378</v>
      </c>
      <c r="L12" s="81" t="s">
        <v>420</v>
      </c>
      <c r="M12" s="81" t="s">
        <v>385</v>
      </c>
      <c r="N12" s="81" t="s">
        <v>247</v>
      </c>
      <c r="O12" s="81" t="s">
        <v>421</v>
      </c>
      <c r="P12" s="81"/>
      <c r="Q12" s="81"/>
      <c r="R12" s="81"/>
      <c r="S12" s="81"/>
      <c r="T12" s="81" t="s">
        <v>201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406</v>
      </c>
      <c r="E13" s="81">
        <v>1</v>
      </c>
      <c r="F13" s="51" t="s">
        <v>202</v>
      </c>
      <c r="G13" s="51" t="s">
        <v>205</v>
      </c>
      <c r="H13" s="88">
        <v>46388</v>
      </c>
      <c r="I13" s="81" t="s">
        <v>58</v>
      </c>
      <c r="J13" s="86">
        <v>46417</v>
      </c>
      <c r="K13" s="81" t="s">
        <v>378</v>
      </c>
      <c r="L13" s="81" t="s">
        <v>420</v>
      </c>
      <c r="M13" s="81" t="s">
        <v>385</v>
      </c>
      <c r="N13" s="81" t="s">
        <v>247</v>
      </c>
      <c r="O13" s="81" t="s">
        <v>421</v>
      </c>
      <c r="P13" s="81"/>
      <c r="Q13" s="81"/>
      <c r="R13" s="81"/>
      <c r="S13" s="81"/>
      <c r="T13" s="81" t="s">
        <v>201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407</v>
      </c>
      <c r="E14" s="81">
        <v>1</v>
      </c>
      <c r="F14" s="51" t="s">
        <v>202</v>
      </c>
      <c r="G14" s="51" t="s">
        <v>206</v>
      </c>
      <c r="H14" s="88">
        <v>46388</v>
      </c>
      <c r="I14" s="81" t="s">
        <v>58</v>
      </c>
      <c r="J14" s="86">
        <v>46420</v>
      </c>
      <c r="K14" s="81" t="s">
        <v>378</v>
      </c>
      <c r="L14" s="81" t="s">
        <v>420</v>
      </c>
      <c r="M14" s="81" t="s">
        <v>385</v>
      </c>
      <c r="N14" s="81" t="s">
        <v>247</v>
      </c>
      <c r="O14" s="81" t="s">
        <v>421</v>
      </c>
      <c r="P14" s="81"/>
      <c r="Q14" s="81"/>
      <c r="R14" s="81"/>
      <c r="S14" s="81"/>
      <c r="T14" s="81" t="s">
        <v>201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408</v>
      </c>
      <c r="E15" s="81">
        <v>1</v>
      </c>
      <c r="F15" s="51">
        <v>1700</v>
      </c>
      <c r="G15" s="51" t="s">
        <v>206</v>
      </c>
      <c r="H15" s="88">
        <v>46388</v>
      </c>
      <c r="I15" s="81" t="s">
        <v>58</v>
      </c>
      <c r="J15" s="86">
        <v>46421</v>
      </c>
      <c r="K15" s="81" t="s">
        <v>378</v>
      </c>
      <c r="L15" s="81" t="s">
        <v>420</v>
      </c>
      <c r="M15" s="81" t="s">
        <v>385</v>
      </c>
      <c r="N15" s="81" t="s">
        <v>247</v>
      </c>
      <c r="O15" s="81" t="s">
        <v>421</v>
      </c>
      <c r="P15" s="81"/>
      <c r="Q15" s="81"/>
      <c r="R15" s="81"/>
      <c r="S15" s="81"/>
      <c r="T15" s="81" t="s">
        <v>201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409</v>
      </c>
      <c r="E16" s="81">
        <v>1</v>
      </c>
      <c r="F16" s="51">
        <v>1700</v>
      </c>
      <c r="G16" s="51" t="s">
        <v>207</v>
      </c>
      <c r="H16" s="88">
        <v>46388</v>
      </c>
      <c r="I16" s="81" t="s">
        <v>58</v>
      </c>
      <c r="J16" s="86">
        <v>46423</v>
      </c>
      <c r="K16" s="81" t="s">
        <v>378</v>
      </c>
      <c r="L16" s="81" t="s">
        <v>420</v>
      </c>
      <c r="M16" s="81" t="s">
        <v>385</v>
      </c>
      <c r="N16" s="81" t="s">
        <v>247</v>
      </c>
      <c r="O16" s="81" t="s">
        <v>421</v>
      </c>
      <c r="P16" s="81"/>
      <c r="Q16" s="81"/>
      <c r="R16" s="81"/>
      <c r="S16" s="81"/>
      <c r="T16" s="81" t="s">
        <v>201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410</v>
      </c>
      <c r="E17" s="81">
        <v>1</v>
      </c>
      <c r="F17" s="51">
        <v>1700</v>
      </c>
      <c r="G17" s="51" t="s">
        <v>207</v>
      </c>
      <c r="H17" s="88">
        <v>46388</v>
      </c>
      <c r="I17" s="81" t="s">
        <v>58</v>
      </c>
      <c r="J17" s="86">
        <v>46414</v>
      </c>
      <c r="K17" s="81" t="s">
        <v>378</v>
      </c>
      <c r="L17" s="81" t="s">
        <v>420</v>
      </c>
      <c r="M17" s="81" t="s">
        <v>385</v>
      </c>
      <c r="N17" s="81" t="s">
        <v>247</v>
      </c>
      <c r="O17" s="81" t="s">
        <v>421</v>
      </c>
      <c r="P17" s="81"/>
      <c r="Q17" s="81"/>
      <c r="R17" s="81"/>
      <c r="S17" s="81"/>
      <c r="T17" s="81" t="s">
        <v>201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411</v>
      </c>
      <c r="E18" s="81">
        <v>1</v>
      </c>
      <c r="F18" s="51">
        <v>1700</v>
      </c>
      <c r="G18" s="51" t="s">
        <v>208</v>
      </c>
      <c r="H18" s="88">
        <v>46388</v>
      </c>
      <c r="I18" s="81" t="s">
        <v>58</v>
      </c>
      <c r="J18" s="86">
        <v>46424</v>
      </c>
      <c r="K18" s="81" t="s">
        <v>378</v>
      </c>
      <c r="L18" s="81" t="s">
        <v>420</v>
      </c>
      <c r="M18" s="81" t="s">
        <v>385</v>
      </c>
      <c r="N18" s="81" t="s">
        <v>247</v>
      </c>
      <c r="O18" s="81" t="s">
        <v>421</v>
      </c>
      <c r="P18" s="81"/>
      <c r="Q18" s="81"/>
      <c r="R18" s="81"/>
      <c r="S18" s="81"/>
      <c r="T18" s="81" t="s">
        <v>201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412</v>
      </c>
      <c r="E19" s="81">
        <v>1</v>
      </c>
      <c r="F19" s="51">
        <v>1700</v>
      </c>
      <c r="G19" s="51" t="s">
        <v>208</v>
      </c>
      <c r="H19" s="88">
        <v>46388</v>
      </c>
      <c r="I19" s="81" t="s">
        <v>58</v>
      </c>
      <c r="J19" s="86">
        <v>46408</v>
      </c>
      <c r="K19" s="81" t="s">
        <v>378</v>
      </c>
      <c r="L19" s="81" t="s">
        <v>420</v>
      </c>
      <c r="M19" s="81" t="s">
        <v>385</v>
      </c>
      <c r="N19" s="81" t="s">
        <v>247</v>
      </c>
      <c r="O19" s="81" t="s">
        <v>421</v>
      </c>
      <c r="P19" s="81"/>
      <c r="Q19" s="81"/>
      <c r="R19" s="81"/>
      <c r="S19" s="81"/>
      <c r="T19" s="81" t="s">
        <v>201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413</v>
      </c>
      <c r="E20" s="81">
        <v>1</v>
      </c>
      <c r="F20" s="51">
        <v>1700</v>
      </c>
      <c r="G20" s="51" t="s">
        <v>209</v>
      </c>
      <c r="H20" s="88">
        <v>46388</v>
      </c>
      <c r="I20" s="81" t="s">
        <v>58</v>
      </c>
      <c r="J20" s="86">
        <v>46427</v>
      </c>
      <c r="K20" s="81" t="s">
        <v>378</v>
      </c>
      <c r="L20" s="81" t="s">
        <v>420</v>
      </c>
      <c r="M20" s="81" t="s">
        <v>385</v>
      </c>
      <c r="N20" s="81" t="s">
        <v>247</v>
      </c>
      <c r="O20" s="81" t="s">
        <v>421</v>
      </c>
      <c r="P20" s="81"/>
      <c r="Q20" s="81"/>
      <c r="R20" s="81"/>
      <c r="S20" s="81"/>
      <c r="T20" s="81" t="s">
        <v>201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414</v>
      </c>
      <c r="E21" s="81">
        <v>1</v>
      </c>
      <c r="F21" s="51">
        <v>1700</v>
      </c>
      <c r="G21" s="51" t="s">
        <v>209</v>
      </c>
      <c r="H21" s="88">
        <v>46388</v>
      </c>
      <c r="I21" s="81" t="s">
        <v>58</v>
      </c>
      <c r="J21" s="86">
        <v>46410</v>
      </c>
      <c r="K21" s="81" t="s">
        <v>378</v>
      </c>
      <c r="L21" s="81" t="s">
        <v>420</v>
      </c>
      <c r="M21" s="81" t="s">
        <v>385</v>
      </c>
      <c r="N21" s="81" t="s">
        <v>247</v>
      </c>
      <c r="O21" s="81" t="s">
        <v>421</v>
      </c>
      <c r="P21" s="81"/>
      <c r="Q21" s="81"/>
      <c r="R21" s="81"/>
      <c r="S21" s="81"/>
      <c r="T21" s="81" t="s">
        <v>201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415</v>
      </c>
      <c r="E22" s="81">
        <v>1</v>
      </c>
      <c r="F22" s="51" t="s">
        <v>202</v>
      </c>
      <c r="G22" s="51" t="s">
        <v>205</v>
      </c>
      <c r="H22" s="88">
        <v>46388</v>
      </c>
      <c r="I22" s="81" t="s">
        <v>58</v>
      </c>
      <c r="J22" s="86">
        <v>46428</v>
      </c>
      <c r="K22" s="81" t="s">
        <v>378</v>
      </c>
      <c r="L22" s="81" t="s">
        <v>420</v>
      </c>
      <c r="M22" s="81" t="s">
        <v>385</v>
      </c>
      <c r="N22" s="81" t="s">
        <v>247</v>
      </c>
      <c r="O22" s="81" t="s">
        <v>421</v>
      </c>
      <c r="P22" s="81"/>
      <c r="Q22" s="81"/>
      <c r="R22" s="81"/>
      <c r="S22" s="81"/>
      <c r="T22" s="81" t="s">
        <v>201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416</v>
      </c>
      <c r="E23" s="81">
        <v>1</v>
      </c>
      <c r="F23" s="51">
        <v>1700</v>
      </c>
      <c r="G23" s="51" t="s">
        <v>206</v>
      </c>
      <c r="H23" s="88">
        <v>46388</v>
      </c>
      <c r="I23" s="81" t="s">
        <v>58</v>
      </c>
      <c r="J23" s="86">
        <v>46430</v>
      </c>
      <c r="K23" s="81" t="s">
        <v>378</v>
      </c>
      <c r="L23" s="81" t="s">
        <v>420</v>
      </c>
      <c r="M23" s="81" t="s">
        <v>385</v>
      </c>
      <c r="N23" s="81" t="s">
        <v>247</v>
      </c>
      <c r="O23" s="81" t="s">
        <v>421</v>
      </c>
      <c r="P23" s="81"/>
      <c r="Q23" s="81"/>
      <c r="R23" s="81"/>
      <c r="S23" s="81"/>
      <c r="T23" s="81" t="s">
        <v>201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417</v>
      </c>
      <c r="E24" s="81">
        <v>1</v>
      </c>
      <c r="F24" s="51">
        <v>1700</v>
      </c>
      <c r="G24" s="51" t="s">
        <v>207</v>
      </c>
      <c r="H24" s="88">
        <v>46388</v>
      </c>
      <c r="I24" s="81" t="s">
        <v>58</v>
      </c>
      <c r="J24" s="86">
        <v>46431</v>
      </c>
      <c r="K24" s="81" t="s">
        <v>378</v>
      </c>
      <c r="L24" s="81" t="s">
        <v>420</v>
      </c>
      <c r="M24" s="81" t="s">
        <v>385</v>
      </c>
      <c r="N24" s="81" t="s">
        <v>247</v>
      </c>
      <c r="O24" s="81" t="s">
        <v>421</v>
      </c>
      <c r="P24" s="81"/>
      <c r="Q24" s="81"/>
      <c r="R24" s="81"/>
      <c r="S24" s="81"/>
      <c r="T24" s="81" t="s">
        <v>201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418</v>
      </c>
      <c r="E25" s="81">
        <v>1</v>
      </c>
      <c r="F25" s="51">
        <v>1700</v>
      </c>
      <c r="G25" s="51" t="s">
        <v>208</v>
      </c>
      <c r="H25" s="88">
        <v>46388</v>
      </c>
      <c r="I25" s="81" t="s">
        <v>58</v>
      </c>
      <c r="J25" s="86">
        <v>46433</v>
      </c>
      <c r="K25" s="81" t="s">
        <v>378</v>
      </c>
      <c r="L25" s="81" t="s">
        <v>420</v>
      </c>
      <c r="M25" s="81" t="s">
        <v>385</v>
      </c>
      <c r="N25" s="81" t="s">
        <v>247</v>
      </c>
      <c r="O25" s="81" t="s">
        <v>421</v>
      </c>
      <c r="P25" s="81"/>
      <c r="Q25" s="81"/>
      <c r="R25" s="81"/>
      <c r="S25" s="81"/>
      <c r="T25" s="81" t="s">
        <v>201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419</v>
      </c>
      <c r="E26" s="81">
        <v>1</v>
      </c>
      <c r="F26" s="51">
        <v>1700</v>
      </c>
      <c r="G26" s="51" t="s">
        <v>209</v>
      </c>
      <c r="H26" s="88">
        <v>46388</v>
      </c>
      <c r="I26" s="81" t="s">
        <v>58</v>
      </c>
      <c r="J26" s="86">
        <v>46434</v>
      </c>
      <c r="K26" s="81" t="s">
        <v>378</v>
      </c>
      <c r="L26" s="81" t="s">
        <v>420</v>
      </c>
      <c r="M26" s="81" t="s">
        <v>385</v>
      </c>
      <c r="N26" s="81" t="s">
        <v>247</v>
      </c>
      <c r="O26" s="81" t="s">
        <v>421</v>
      </c>
      <c r="P26" s="81"/>
      <c r="Q26" s="81"/>
      <c r="R26" s="81"/>
      <c r="S26" s="81"/>
      <c r="T26" s="81" t="s">
        <v>201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422</v>
      </c>
      <c r="E27" s="81">
        <v>1</v>
      </c>
      <c r="F27" s="81" t="s">
        <v>377</v>
      </c>
      <c r="G27" s="81" t="s">
        <v>205</v>
      </c>
      <c r="H27" s="88">
        <v>46388</v>
      </c>
      <c r="I27" s="81" t="s">
        <v>58</v>
      </c>
      <c r="J27" s="88">
        <v>46417</v>
      </c>
      <c r="K27" s="81" t="s">
        <v>378</v>
      </c>
      <c r="L27" s="81" t="s">
        <v>385</v>
      </c>
      <c r="M27" s="81" t="s">
        <v>247</v>
      </c>
      <c r="N27" s="81"/>
      <c r="O27" s="81"/>
      <c r="P27" s="81"/>
      <c r="Q27" s="81"/>
      <c r="R27" s="81"/>
      <c r="S27" s="81"/>
      <c r="T27" s="81" t="s">
        <v>201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440</v>
      </c>
      <c r="E28" s="81">
        <v>1</v>
      </c>
      <c r="F28" s="76" t="s">
        <v>377</v>
      </c>
      <c r="G28" s="76" t="s">
        <v>205</v>
      </c>
      <c r="H28" s="88">
        <v>46388</v>
      </c>
      <c r="I28" s="81" t="s">
        <v>58</v>
      </c>
      <c r="J28" s="90" t="s">
        <v>424</v>
      </c>
      <c r="K28" s="81" t="s">
        <v>378</v>
      </c>
      <c r="L28" s="81" t="s">
        <v>420</v>
      </c>
      <c r="M28" s="81" t="s">
        <v>385</v>
      </c>
      <c r="N28" s="81" t="s">
        <v>247</v>
      </c>
      <c r="O28" s="81" t="s">
        <v>421</v>
      </c>
      <c r="P28" s="81"/>
      <c r="Q28" s="81"/>
      <c r="R28" s="81"/>
      <c r="S28" s="81"/>
      <c r="T28" s="81" t="s">
        <v>201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441</v>
      </c>
      <c r="E29" s="81">
        <v>1</v>
      </c>
      <c r="F29" s="76" t="s">
        <v>377</v>
      </c>
      <c r="G29" s="76" t="s">
        <v>205</v>
      </c>
      <c r="H29" s="88">
        <v>46388</v>
      </c>
      <c r="I29" s="81" t="s">
        <v>58</v>
      </c>
      <c r="J29" s="90" t="s">
        <v>425</v>
      </c>
      <c r="K29" s="81" t="s">
        <v>378</v>
      </c>
      <c r="L29" s="81" t="s">
        <v>420</v>
      </c>
      <c r="M29" s="81" t="s">
        <v>385</v>
      </c>
      <c r="N29" s="81" t="s">
        <v>247</v>
      </c>
      <c r="O29" s="81" t="s">
        <v>421</v>
      </c>
      <c r="P29" s="81"/>
      <c r="Q29" s="81"/>
      <c r="R29" s="81"/>
      <c r="S29" s="81"/>
      <c r="T29" s="81" t="s">
        <v>201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442</v>
      </c>
      <c r="E30" s="81">
        <v>1</v>
      </c>
      <c r="F30" s="76" t="s">
        <v>264</v>
      </c>
      <c r="G30" s="76" t="s">
        <v>206</v>
      </c>
      <c r="H30" s="88">
        <v>46388</v>
      </c>
      <c r="I30" s="81" t="s">
        <v>58</v>
      </c>
      <c r="J30" s="90" t="s">
        <v>426</v>
      </c>
      <c r="K30" s="81" t="s">
        <v>378</v>
      </c>
      <c r="L30" s="81" t="s">
        <v>420</v>
      </c>
      <c r="M30" s="81" t="s">
        <v>385</v>
      </c>
      <c r="N30" s="81" t="s">
        <v>247</v>
      </c>
      <c r="O30" s="81" t="s">
        <v>421</v>
      </c>
      <c r="P30" s="81"/>
      <c r="Q30" s="81"/>
      <c r="R30" s="81"/>
      <c r="S30" s="81"/>
      <c r="T30" s="81" t="s">
        <v>201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443</v>
      </c>
      <c r="E31" s="81">
        <v>1</v>
      </c>
      <c r="F31" s="76" t="s">
        <v>264</v>
      </c>
      <c r="G31" s="76" t="s">
        <v>206</v>
      </c>
      <c r="H31" s="88">
        <v>46388</v>
      </c>
      <c r="I31" s="81" t="s">
        <v>58</v>
      </c>
      <c r="J31" s="90" t="s">
        <v>427</v>
      </c>
      <c r="K31" s="81" t="s">
        <v>378</v>
      </c>
      <c r="L31" s="81" t="s">
        <v>420</v>
      </c>
      <c r="M31" s="81" t="s">
        <v>385</v>
      </c>
      <c r="N31" s="81" t="s">
        <v>247</v>
      </c>
      <c r="O31" s="81" t="s">
        <v>421</v>
      </c>
      <c r="P31" s="81"/>
      <c r="Q31" s="81"/>
      <c r="R31" s="81"/>
      <c r="S31" s="81"/>
      <c r="T31" s="81" t="s">
        <v>201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444</v>
      </c>
      <c r="E32" s="81">
        <v>1</v>
      </c>
      <c r="F32" s="76" t="s">
        <v>264</v>
      </c>
      <c r="G32" s="76" t="s">
        <v>206</v>
      </c>
      <c r="H32" s="88">
        <v>46388</v>
      </c>
      <c r="I32" s="81" t="s">
        <v>58</v>
      </c>
      <c r="J32" s="90" t="s">
        <v>428</v>
      </c>
      <c r="K32" s="81" t="s">
        <v>378</v>
      </c>
      <c r="L32" s="81" t="s">
        <v>420</v>
      </c>
      <c r="M32" s="81" t="s">
        <v>385</v>
      </c>
      <c r="N32" s="81" t="s">
        <v>247</v>
      </c>
      <c r="O32" s="81" t="s">
        <v>421</v>
      </c>
      <c r="P32" s="81"/>
      <c r="Q32" s="81"/>
      <c r="R32" s="81"/>
      <c r="S32" s="81"/>
      <c r="T32" s="81" t="s">
        <v>201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445</v>
      </c>
      <c r="E33" s="81">
        <v>1</v>
      </c>
      <c r="F33" s="76" t="s">
        <v>264</v>
      </c>
      <c r="G33" s="76" t="s">
        <v>207</v>
      </c>
      <c r="H33" s="88">
        <v>46388</v>
      </c>
      <c r="I33" s="81" t="s">
        <v>58</v>
      </c>
      <c r="J33" s="90" t="s">
        <v>429</v>
      </c>
      <c r="K33" s="81" t="s">
        <v>378</v>
      </c>
      <c r="L33" s="81" t="s">
        <v>420</v>
      </c>
      <c r="M33" s="81" t="s">
        <v>385</v>
      </c>
      <c r="N33" s="81" t="s">
        <v>247</v>
      </c>
      <c r="O33" s="81" t="s">
        <v>421</v>
      </c>
      <c r="P33" s="81"/>
      <c r="Q33" s="81"/>
      <c r="R33" s="81"/>
      <c r="S33" s="81"/>
      <c r="T33" s="81" t="s">
        <v>201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446</v>
      </c>
      <c r="E34" s="81">
        <v>1</v>
      </c>
      <c r="F34" s="76" t="s">
        <v>264</v>
      </c>
      <c r="G34" s="76" t="s">
        <v>207</v>
      </c>
      <c r="H34" s="88">
        <v>46388</v>
      </c>
      <c r="I34" s="81" t="s">
        <v>58</v>
      </c>
      <c r="J34" s="90" t="s">
        <v>430</v>
      </c>
      <c r="K34" s="81" t="s">
        <v>378</v>
      </c>
      <c r="L34" s="81" t="s">
        <v>420</v>
      </c>
      <c r="M34" s="81" t="s">
        <v>385</v>
      </c>
      <c r="N34" s="81" t="s">
        <v>247</v>
      </c>
      <c r="O34" s="81" t="s">
        <v>421</v>
      </c>
      <c r="P34" s="81"/>
      <c r="Q34" s="81"/>
      <c r="R34" s="81"/>
      <c r="S34" s="81"/>
      <c r="T34" s="81" t="s">
        <v>201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447</v>
      </c>
      <c r="E35" s="81">
        <v>1</v>
      </c>
      <c r="F35" s="76" t="s">
        <v>264</v>
      </c>
      <c r="G35" s="76" t="s">
        <v>207</v>
      </c>
      <c r="H35" s="88">
        <v>46388</v>
      </c>
      <c r="I35" s="81" t="s">
        <v>58</v>
      </c>
      <c r="J35" s="90" t="s">
        <v>431</v>
      </c>
      <c r="K35" s="81" t="s">
        <v>378</v>
      </c>
      <c r="L35" s="81" t="s">
        <v>420</v>
      </c>
      <c r="M35" s="81" t="s">
        <v>385</v>
      </c>
      <c r="N35" s="81" t="s">
        <v>247</v>
      </c>
      <c r="O35" s="81" t="s">
        <v>421</v>
      </c>
      <c r="P35" s="81"/>
      <c r="Q35" s="81"/>
      <c r="R35" s="81"/>
      <c r="S35" s="81"/>
      <c r="T35" s="81" t="s">
        <v>201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448</v>
      </c>
      <c r="E36" s="81">
        <v>1</v>
      </c>
      <c r="F36" s="76" t="s">
        <v>264</v>
      </c>
      <c r="G36" s="76" t="s">
        <v>208</v>
      </c>
      <c r="H36" s="88">
        <v>46388</v>
      </c>
      <c r="I36" s="81" t="s">
        <v>58</v>
      </c>
      <c r="J36" s="90" t="s">
        <v>432</v>
      </c>
      <c r="K36" s="81" t="s">
        <v>378</v>
      </c>
      <c r="L36" s="81" t="s">
        <v>420</v>
      </c>
      <c r="M36" s="81" t="s">
        <v>385</v>
      </c>
      <c r="N36" s="81" t="s">
        <v>247</v>
      </c>
      <c r="O36" s="81" t="s">
        <v>421</v>
      </c>
      <c r="P36" s="81"/>
      <c r="Q36" s="81"/>
      <c r="R36" s="81"/>
      <c r="S36" s="81"/>
      <c r="T36" s="81" t="s">
        <v>201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449</v>
      </c>
      <c r="E37" s="81">
        <v>1</v>
      </c>
      <c r="F37" s="76" t="s">
        <v>264</v>
      </c>
      <c r="G37" s="76" t="s">
        <v>208</v>
      </c>
      <c r="H37" s="88">
        <v>46388</v>
      </c>
      <c r="I37" s="81" t="s">
        <v>58</v>
      </c>
      <c r="J37" s="90" t="s">
        <v>433</v>
      </c>
      <c r="K37" s="81" t="s">
        <v>378</v>
      </c>
      <c r="L37" s="81" t="s">
        <v>420</v>
      </c>
      <c r="M37" s="81" t="s">
        <v>385</v>
      </c>
      <c r="N37" s="81" t="s">
        <v>247</v>
      </c>
      <c r="O37" s="81" t="s">
        <v>421</v>
      </c>
      <c r="P37" s="81"/>
      <c r="Q37" s="81"/>
      <c r="R37" s="81"/>
      <c r="S37" s="81"/>
      <c r="T37" s="81" t="s">
        <v>201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450</v>
      </c>
      <c r="E38" s="81">
        <v>1</v>
      </c>
      <c r="F38" s="76" t="s">
        <v>264</v>
      </c>
      <c r="G38" s="76" t="s">
        <v>208</v>
      </c>
      <c r="H38" s="88">
        <v>46388</v>
      </c>
      <c r="I38" s="81" t="s">
        <v>58</v>
      </c>
      <c r="J38" s="90" t="s">
        <v>434</v>
      </c>
      <c r="K38" s="81" t="s">
        <v>378</v>
      </c>
      <c r="L38" s="81" t="s">
        <v>420</v>
      </c>
      <c r="M38" s="81" t="s">
        <v>385</v>
      </c>
      <c r="N38" s="81" t="s">
        <v>247</v>
      </c>
      <c r="O38" s="81" t="s">
        <v>421</v>
      </c>
      <c r="P38" s="81"/>
      <c r="Q38" s="81"/>
      <c r="R38" s="81"/>
      <c r="S38" s="81"/>
      <c r="T38" s="81" t="s">
        <v>201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451</v>
      </c>
      <c r="E39" s="81">
        <v>1</v>
      </c>
      <c r="F39" s="76" t="s">
        <v>264</v>
      </c>
      <c r="G39" s="76" t="s">
        <v>209</v>
      </c>
      <c r="H39" s="88">
        <v>46388</v>
      </c>
      <c r="I39" s="81" t="s">
        <v>58</v>
      </c>
      <c r="J39" s="90" t="s">
        <v>435</v>
      </c>
      <c r="K39" s="81" t="s">
        <v>378</v>
      </c>
      <c r="L39" s="81" t="s">
        <v>420</v>
      </c>
      <c r="M39" s="81" t="s">
        <v>385</v>
      </c>
      <c r="N39" s="81" t="s">
        <v>247</v>
      </c>
      <c r="O39" s="81" t="s">
        <v>421</v>
      </c>
      <c r="P39" s="81"/>
      <c r="Q39" s="81"/>
      <c r="R39" s="81"/>
      <c r="S39" s="81"/>
      <c r="T39" s="81" t="s">
        <v>201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452</v>
      </c>
      <c r="E40" s="81">
        <v>1</v>
      </c>
      <c r="F40" s="76" t="s">
        <v>264</v>
      </c>
      <c r="G40" s="76" t="s">
        <v>209</v>
      </c>
      <c r="H40" s="88">
        <v>46388</v>
      </c>
      <c r="I40" s="81" t="s">
        <v>58</v>
      </c>
      <c r="J40" s="90" t="s">
        <v>436</v>
      </c>
      <c r="K40" s="81" t="s">
        <v>378</v>
      </c>
      <c r="L40" s="81" t="s">
        <v>420</v>
      </c>
      <c r="M40" s="81" t="s">
        <v>385</v>
      </c>
      <c r="N40" s="81" t="s">
        <v>247</v>
      </c>
      <c r="O40" s="81" t="s">
        <v>421</v>
      </c>
      <c r="P40" s="81"/>
      <c r="Q40" s="81"/>
      <c r="R40" s="81"/>
      <c r="S40" s="81"/>
      <c r="T40" s="81" t="s">
        <v>201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453</v>
      </c>
      <c r="E41" s="81">
        <v>1</v>
      </c>
      <c r="F41" s="76" t="s">
        <v>264</v>
      </c>
      <c r="G41" s="76" t="s">
        <v>209</v>
      </c>
      <c r="H41" s="88">
        <v>46388</v>
      </c>
      <c r="I41" s="81" t="s">
        <v>58</v>
      </c>
      <c r="J41" s="90" t="s">
        <v>437</v>
      </c>
      <c r="K41" s="81" t="s">
        <v>378</v>
      </c>
      <c r="L41" s="81" t="s">
        <v>420</v>
      </c>
      <c r="M41" s="81" t="s">
        <v>385</v>
      </c>
      <c r="N41" s="81" t="s">
        <v>247</v>
      </c>
      <c r="O41" s="81" t="s">
        <v>421</v>
      </c>
      <c r="P41" s="81"/>
      <c r="Q41" s="81"/>
      <c r="R41" s="81"/>
      <c r="S41" s="81"/>
      <c r="T41" s="81" t="s">
        <v>201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454</v>
      </c>
      <c r="E42" s="81">
        <v>1</v>
      </c>
      <c r="F42" s="76" t="s">
        <v>377</v>
      </c>
      <c r="G42" s="76" t="s">
        <v>249</v>
      </c>
      <c r="H42" s="88">
        <v>46388</v>
      </c>
      <c r="I42" s="81" t="s">
        <v>58</v>
      </c>
      <c r="J42" s="90" t="s">
        <v>438</v>
      </c>
      <c r="K42" s="81" t="s">
        <v>378</v>
      </c>
      <c r="L42" s="81" t="s">
        <v>420</v>
      </c>
      <c r="M42" s="81" t="s">
        <v>385</v>
      </c>
      <c r="N42" s="81" t="s">
        <v>247</v>
      </c>
      <c r="O42" s="81" t="s">
        <v>421</v>
      </c>
      <c r="P42" s="81"/>
      <c r="Q42" s="81"/>
      <c r="R42" s="81"/>
      <c r="S42" s="81"/>
      <c r="T42" s="81" t="s">
        <v>201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455</v>
      </c>
      <c r="E43" s="81">
        <v>1</v>
      </c>
      <c r="F43" s="76" t="s">
        <v>377</v>
      </c>
      <c r="G43" s="76" t="s">
        <v>249</v>
      </c>
      <c r="H43" s="88">
        <v>46388</v>
      </c>
      <c r="I43" s="81" t="s">
        <v>58</v>
      </c>
      <c r="J43" s="90" t="s">
        <v>439</v>
      </c>
      <c r="K43" s="81" t="s">
        <v>378</v>
      </c>
      <c r="L43" s="81" t="s">
        <v>420</v>
      </c>
      <c r="M43" s="81" t="s">
        <v>385</v>
      </c>
      <c r="N43" s="81" t="s">
        <v>247</v>
      </c>
      <c r="O43" s="81" t="s">
        <v>421</v>
      </c>
      <c r="P43" s="81"/>
      <c r="Q43" s="81"/>
      <c r="R43" s="81"/>
      <c r="S43" s="81"/>
      <c r="T43" s="81" t="s">
        <v>201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456</v>
      </c>
      <c r="E44" s="81">
        <v>1</v>
      </c>
      <c r="F44" s="76" t="s">
        <v>264</v>
      </c>
      <c r="G44" s="76" t="s">
        <v>249</v>
      </c>
      <c r="H44" s="88">
        <v>46388</v>
      </c>
      <c r="I44" s="81" t="s">
        <v>58</v>
      </c>
      <c r="J44" s="90" t="s">
        <v>428</v>
      </c>
      <c r="K44" s="81" t="s">
        <v>378</v>
      </c>
      <c r="L44" s="81" t="s">
        <v>420</v>
      </c>
      <c r="M44" s="81" t="s">
        <v>385</v>
      </c>
      <c r="N44" s="81" t="s">
        <v>247</v>
      </c>
      <c r="O44" s="81" t="s">
        <v>421</v>
      </c>
      <c r="P44" s="81"/>
      <c r="Q44" s="81"/>
      <c r="R44" s="81"/>
      <c r="S44" s="81"/>
      <c r="T44" s="81" t="s">
        <v>201</v>
      </c>
      <c r="U44" s="81"/>
    </row>
    <row r="45" spans="1:21" x14ac:dyDescent="0.25">
      <c r="A45" s="85">
        <v>1050</v>
      </c>
      <c r="B45" s="85" t="s">
        <v>63</v>
      </c>
      <c r="C45" s="81" t="s">
        <v>563</v>
      </c>
      <c r="D45" s="81" t="s">
        <v>564</v>
      </c>
      <c r="E45" s="81">
        <v>1</v>
      </c>
      <c r="F45" s="81" t="s">
        <v>268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378</v>
      </c>
      <c r="L45" s="81" t="s">
        <v>385</v>
      </c>
      <c r="M45" s="81" t="s">
        <v>247</v>
      </c>
      <c r="N45" s="81"/>
      <c r="O45" s="81"/>
      <c r="P45" s="81"/>
      <c r="Q45" s="81"/>
      <c r="R45" s="81"/>
      <c r="S45" s="81"/>
      <c r="T45" s="81" t="s">
        <v>388</v>
      </c>
      <c r="U45" s="81"/>
    </row>
    <row r="46" spans="1:21" x14ac:dyDescent="0.25">
      <c r="A46" s="85">
        <v>1050</v>
      </c>
      <c r="B46" s="85" t="s">
        <v>63</v>
      </c>
      <c r="C46" s="81" t="s">
        <v>563</v>
      </c>
      <c r="D46" s="81" t="s">
        <v>564</v>
      </c>
      <c r="E46" s="81">
        <v>1</v>
      </c>
      <c r="F46" s="81" t="s">
        <v>268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378</v>
      </c>
      <c r="L46" s="81" t="s">
        <v>385</v>
      </c>
      <c r="M46" s="81" t="s">
        <v>247</v>
      </c>
      <c r="N46" s="81"/>
      <c r="O46" s="81"/>
      <c r="P46" s="81"/>
      <c r="Q46" s="81"/>
      <c r="R46" s="81"/>
      <c r="S46" s="81"/>
      <c r="T46" s="81" t="s">
        <v>388</v>
      </c>
      <c r="U46" s="81"/>
    </row>
    <row r="47" spans="1:21" x14ac:dyDescent="0.25">
      <c r="A47" s="85">
        <v>1050</v>
      </c>
      <c r="B47" s="85" t="s">
        <v>63</v>
      </c>
      <c r="C47" s="81" t="s">
        <v>563</v>
      </c>
      <c r="D47" s="81" t="s">
        <v>565</v>
      </c>
      <c r="E47" s="81">
        <v>1</v>
      </c>
      <c r="F47" s="81" t="s">
        <v>268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378</v>
      </c>
      <c r="L47" s="81" t="s">
        <v>385</v>
      </c>
      <c r="M47" s="81" t="s">
        <v>247</v>
      </c>
      <c r="N47" s="81"/>
      <c r="O47" s="81"/>
      <c r="P47" s="81"/>
      <c r="Q47" s="81"/>
      <c r="R47" s="81"/>
      <c r="S47" s="81"/>
      <c r="T47" s="81" t="s">
        <v>388</v>
      </c>
      <c r="U47" s="81"/>
    </row>
    <row r="48" spans="1:21" x14ac:dyDescent="0.25">
      <c r="A48" s="85">
        <v>1050</v>
      </c>
      <c r="B48" s="85" t="s">
        <v>63</v>
      </c>
      <c r="C48" s="81" t="s">
        <v>563</v>
      </c>
      <c r="D48" s="81" t="s">
        <v>565</v>
      </c>
      <c r="E48" s="81">
        <v>1</v>
      </c>
      <c r="F48" s="81" t="s">
        <v>268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378</v>
      </c>
      <c r="L48" s="81" t="s">
        <v>385</v>
      </c>
      <c r="M48" s="81" t="s">
        <v>247</v>
      </c>
      <c r="N48" s="81"/>
      <c r="O48" s="81"/>
      <c r="P48" s="81"/>
      <c r="Q48" s="81"/>
      <c r="R48" s="81"/>
      <c r="S48" s="81"/>
      <c r="T48" s="81" t="s">
        <v>388</v>
      </c>
      <c r="U48" s="81"/>
    </row>
    <row r="49" spans="1:21" x14ac:dyDescent="0.25">
      <c r="A49" s="85">
        <v>1050</v>
      </c>
      <c r="B49" s="85" t="s">
        <v>63</v>
      </c>
      <c r="C49" s="81" t="s">
        <v>563</v>
      </c>
      <c r="D49" s="81" t="s">
        <v>565</v>
      </c>
      <c r="E49" s="81">
        <v>1</v>
      </c>
      <c r="F49" s="81" t="s">
        <v>261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378</v>
      </c>
      <c r="L49" s="81" t="s">
        <v>385</v>
      </c>
      <c r="M49" s="81" t="s">
        <v>247</v>
      </c>
      <c r="N49" s="81"/>
      <c r="O49" s="81"/>
      <c r="P49" s="81"/>
      <c r="Q49" s="81"/>
      <c r="R49" s="81"/>
      <c r="S49" s="81"/>
      <c r="T49" s="81" t="s">
        <v>388</v>
      </c>
      <c r="U49" s="81"/>
    </row>
    <row r="50" spans="1:21" x14ac:dyDescent="0.25">
      <c r="A50" s="85">
        <v>1049</v>
      </c>
      <c r="B50" s="85" t="s">
        <v>63</v>
      </c>
      <c r="C50" s="81" t="s">
        <v>566</v>
      </c>
      <c r="D50" s="81" t="s">
        <v>567</v>
      </c>
      <c r="E50" s="81">
        <v>1</v>
      </c>
      <c r="F50" s="81" t="s">
        <v>261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378</v>
      </c>
      <c r="L50" s="81" t="s">
        <v>385</v>
      </c>
      <c r="M50" s="81" t="s">
        <v>247</v>
      </c>
      <c r="N50" s="81"/>
      <c r="O50" s="81"/>
      <c r="P50" s="81"/>
      <c r="Q50" s="81"/>
      <c r="R50" s="81"/>
      <c r="S50" s="81"/>
      <c r="T50" s="81" t="s">
        <v>201</v>
      </c>
      <c r="U50" s="81"/>
    </row>
    <row r="51" spans="1:21" x14ac:dyDescent="0.25">
      <c r="A51" s="85">
        <v>1049</v>
      </c>
      <c r="B51" s="85" t="s">
        <v>63</v>
      </c>
      <c r="C51" s="81" t="s">
        <v>566</v>
      </c>
      <c r="D51" s="81" t="s">
        <v>567</v>
      </c>
      <c r="E51" s="81">
        <v>1</v>
      </c>
      <c r="F51" s="81" t="s">
        <v>261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378</v>
      </c>
      <c r="L51" s="81" t="s">
        <v>385</v>
      </c>
      <c r="M51" s="81" t="s">
        <v>247</v>
      </c>
      <c r="N51" s="81"/>
      <c r="O51" s="81"/>
      <c r="P51" s="81"/>
      <c r="Q51" s="81"/>
      <c r="R51" s="81"/>
      <c r="S51" s="81"/>
      <c r="T51" s="81" t="s">
        <v>201</v>
      </c>
      <c r="U51" s="81"/>
    </row>
    <row r="52" spans="1:21" x14ac:dyDescent="0.25">
      <c r="A52" s="85">
        <v>1049</v>
      </c>
      <c r="B52" s="85" t="s">
        <v>63</v>
      </c>
      <c r="C52" s="81" t="s">
        <v>566</v>
      </c>
      <c r="D52" s="81" t="s">
        <v>567</v>
      </c>
      <c r="E52" s="81">
        <v>1</v>
      </c>
      <c r="F52" s="81" t="s">
        <v>261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378</v>
      </c>
      <c r="L52" s="81" t="s">
        <v>385</v>
      </c>
      <c r="M52" s="81" t="s">
        <v>247</v>
      </c>
      <c r="N52" s="81"/>
      <c r="O52" s="81"/>
      <c r="P52" s="81"/>
      <c r="Q52" s="81"/>
      <c r="R52" s="81"/>
      <c r="S52" s="81"/>
      <c r="T52" s="81" t="s">
        <v>201</v>
      </c>
      <c r="U52" s="81"/>
    </row>
    <row r="53" spans="1:21" x14ac:dyDescent="0.25">
      <c r="A53" s="85">
        <v>1049</v>
      </c>
      <c r="B53" s="85" t="s">
        <v>63</v>
      </c>
      <c r="C53" s="81" t="s">
        <v>566</v>
      </c>
      <c r="D53" s="81" t="s">
        <v>567</v>
      </c>
      <c r="E53" s="81">
        <v>1</v>
      </c>
      <c r="F53" s="81" t="s">
        <v>261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378</v>
      </c>
      <c r="L53" s="81" t="s">
        <v>385</v>
      </c>
      <c r="M53" s="81" t="s">
        <v>247</v>
      </c>
      <c r="N53" s="81"/>
      <c r="O53" s="81"/>
      <c r="P53" s="81"/>
      <c r="Q53" s="81"/>
      <c r="R53" s="81"/>
      <c r="S53" s="81"/>
      <c r="T53" s="81" t="s">
        <v>201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581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115" t="s">
        <v>225</v>
      </c>
      <c r="L54" s="81"/>
      <c r="M54" s="81"/>
      <c r="N54" s="81"/>
      <c r="O54" s="81"/>
      <c r="P54" s="81"/>
      <c r="Q54" s="81"/>
      <c r="R54" s="81"/>
      <c r="S54" s="81"/>
      <c r="T54" s="81" t="s">
        <v>203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581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115" t="s">
        <v>225</v>
      </c>
      <c r="L55" s="81"/>
      <c r="M55" s="81"/>
      <c r="N55" s="81"/>
      <c r="O55" s="81"/>
      <c r="P55" s="81"/>
      <c r="Q55" s="81"/>
      <c r="R55" s="81"/>
      <c r="S55" s="81"/>
      <c r="T55" s="81" t="s">
        <v>203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581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115" t="s">
        <v>225</v>
      </c>
      <c r="L56" s="81"/>
      <c r="M56" s="81"/>
      <c r="N56" s="81"/>
      <c r="O56" s="81"/>
      <c r="P56" s="81"/>
      <c r="Q56" s="81"/>
      <c r="R56" s="81"/>
      <c r="S56" s="81"/>
      <c r="T56" s="81" t="s">
        <v>203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581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115" t="s">
        <v>225</v>
      </c>
      <c r="L57" s="81"/>
      <c r="M57" s="81"/>
      <c r="N57" s="81"/>
      <c r="O57" s="81"/>
      <c r="P57" s="81"/>
      <c r="Q57" s="81"/>
      <c r="R57" s="81"/>
      <c r="S57" s="81"/>
      <c r="T57" s="81" t="s">
        <v>203</v>
      </c>
      <c r="U5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topLeftCell="A121" workbookViewId="0">
      <selection activeCell="D148" sqref="D148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514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28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203</v>
      </c>
      <c r="R2" t="s">
        <v>312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28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203</v>
      </c>
      <c r="R3" t="s">
        <v>312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28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203</v>
      </c>
      <c r="R4" t="s">
        <v>312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28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203</v>
      </c>
      <c r="R5" t="s">
        <v>312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28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203</v>
      </c>
      <c r="R6" t="s">
        <v>312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28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203</v>
      </c>
      <c r="R7" t="s">
        <v>312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28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203</v>
      </c>
      <c r="R8" t="s">
        <v>312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28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203</v>
      </c>
      <c r="R9" t="s">
        <v>312</v>
      </c>
    </row>
    <row r="10" spans="1:18" s="8" customFormat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-48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334</v>
      </c>
    </row>
    <row r="11" spans="1:18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150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315</v>
      </c>
      <c r="R11" t="s">
        <v>316</v>
      </c>
    </row>
    <row r="12" spans="1:18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150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315</v>
      </c>
      <c r="R12" t="s">
        <v>317</v>
      </c>
    </row>
    <row r="13" spans="1:18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150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315</v>
      </c>
      <c r="R13" t="s">
        <v>318</v>
      </c>
    </row>
    <row r="14" spans="1:18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L14" s="11">
        <f ca="1">Tabela4[[#This Row],[Prazo
Entrega]]-TODAY()</f>
        <v>150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313</v>
      </c>
      <c r="R14" t="s">
        <v>314</v>
      </c>
    </row>
    <row r="15" spans="1:18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L15" s="11">
        <f ca="1">Tabela4[[#This Row],[Prazo
Entrega]]-TODAY()</f>
        <v>150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313</v>
      </c>
      <c r="R15" t="s">
        <v>314</v>
      </c>
    </row>
    <row r="16" spans="1:18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L16" s="11">
        <f ca="1">Tabela4[[#This Row],[Prazo
Entrega]]-TODAY()</f>
        <v>150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313</v>
      </c>
      <c r="R16" t="s">
        <v>314</v>
      </c>
    </row>
    <row r="17" spans="1:17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55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55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150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150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150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150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150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150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150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150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150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150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150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150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150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150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150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150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150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150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150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150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150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150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150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150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150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150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150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150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150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150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150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150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150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150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125</v>
      </c>
      <c r="F53" s="12">
        <v>1</v>
      </c>
      <c r="G53" s="6" t="s">
        <v>126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-23</v>
      </c>
      <c r="M53" t="s">
        <v>127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128</v>
      </c>
      <c r="F54" s="12">
        <v>1</v>
      </c>
      <c r="G54" s="6" t="s">
        <v>130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130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128</v>
      </c>
      <c r="F55" s="12">
        <v>1</v>
      </c>
      <c r="G55" s="6" t="s">
        <v>130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130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128</v>
      </c>
      <c r="F56" s="12">
        <v>1</v>
      </c>
      <c r="G56" s="6" t="s">
        <v>131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130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128</v>
      </c>
      <c r="F57" s="12">
        <v>1</v>
      </c>
      <c r="G57" s="6" t="s">
        <v>131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130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128</v>
      </c>
      <c r="F58" s="12">
        <v>1</v>
      </c>
      <c r="G58" s="6" t="s">
        <v>132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130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128</v>
      </c>
      <c r="F59" s="12">
        <v>1</v>
      </c>
      <c r="G59" s="6" t="s">
        <v>132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130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128</v>
      </c>
      <c r="F60" s="12">
        <v>1</v>
      </c>
      <c r="G60" s="6" t="s">
        <v>133</v>
      </c>
      <c r="H60" s="7">
        <v>46295</v>
      </c>
      <c r="J60" s="7">
        <v>46356</v>
      </c>
      <c r="L60" s="11">
        <f ca="1">Tabela4[[#This Row],[Prazo
Entrega]]-TODAY()</f>
        <v>130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311</v>
      </c>
    </row>
    <row r="61" spans="1:18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128</v>
      </c>
      <c r="F61" s="12">
        <v>1</v>
      </c>
      <c r="G61" s="6" t="s">
        <v>133</v>
      </c>
      <c r="H61" s="7">
        <v>46295</v>
      </c>
      <c r="J61" s="7">
        <v>46356</v>
      </c>
      <c r="L61" s="11">
        <f ca="1">Tabela4[[#This Row],[Prazo
Entrega]]-TODAY()</f>
        <v>130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311</v>
      </c>
    </row>
    <row r="62" spans="1:18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128</v>
      </c>
      <c r="F62" s="12">
        <v>1</v>
      </c>
      <c r="G62" s="6" t="s">
        <v>134</v>
      </c>
      <c r="H62" s="7">
        <v>46295</v>
      </c>
      <c r="J62" s="7">
        <v>46356</v>
      </c>
      <c r="L62" s="11">
        <f ca="1">Tabela4[[#This Row],[Prazo
Entrega]]-TODAY()</f>
        <v>130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311</v>
      </c>
    </row>
    <row r="63" spans="1:18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128</v>
      </c>
      <c r="F63" s="12">
        <v>1</v>
      </c>
      <c r="G63" s="6" t="s">
        <v>135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130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128</v>
      </c>
      <c r="F64" s="12">
        <v>1</v>
      </c>
      <c r="G64" s="6" t="s">
        <v>135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130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128</v>
      </c>
      <c r="F65" s="12">
        <v>1</v>
      </c>
      <c r="G65" s="6" t="s">
        <v>135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130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128</v>
      </c>
      <c r="F66" s="12">
        <v>1</v>
      </c>
      <c r="G66" s="6" t="s">
        <v>135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130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128</v>
      </c>
      <c r="F67" s="12">
        <v>1</v>
      </c>
      <c r="G67" s="6" t="s">
        <v>135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130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128</v>
      </c>
      <c r="F68" s="12">
        <v>1</v>
      </c>
      <c r="G68" s="6" t="s">
        <v>136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130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128</v>
      </c>
      <c r="F69" s="12">
        <v>1</v>
      </c>
      <c r="G69" s="6" t="s">
        <v>136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130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128</v>
      </c>
      <c r="F70" s="12">
        <v>1</v>
      </c>
      <c r="G70" s="6" t="s">
        <v>136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130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128</v>
      </c>
      <c r="F71" s="12">
        <v>1</v>
      </c>
      <c r="G71" s="6" t="s">
        <v>136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130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128</v>
      </c>
      <c r="F72" s="12">
        <v>1</v>
      </c>
      <c r="G72" s="6" t="s">
        <v>136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130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128</v>
      </c>
      <c r="F73" s="12">
        <v>1</v>
      </c>
      <c r="G73" s="6" t="s">
        <v>136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130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128</v>
      </c>
      <c r="F74" s="12">
        <v>1</v>
      </c>
      <c r="G74" s="6" t="s">
        <v>136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130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128</v>
      </c>
      <c r="F75" s="12">
        <v>1</v>
      </c>
      <c r="G75" s="6" t="s">
        <v>136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130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128</v>
      </c>
      <c r="F76" s="12">
        <v>1</v>
      </c>
      <c r="G76" s="6" t="s">
        <v>136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130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128</v>
      </c>
      <c r="F77" s="12">
        <v>1</v>
      </c>
      <c r="G77" s="6" t="s">
        <v>136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130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128</v>
      </c>
      <c r="F78" s="12">
        <v>160</v>
      </c>
      <c r="G78" s="6" t="s">
        <v>137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130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128</v>
      </c>
      <c r="F79" s="12">
        <v>160</v>
      </c>
      <c r="G79" s="6" t="s">
        <v>138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130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128</v>
      </c>
      <c r="F80" s="12">
        <v>20</v>
      </c>
      <c r="G80" s="6" t="s">
        <v>139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130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128</v>
      </c>
      <c r="F81" s="12">
        <v>1</v>
      </c>
      <c r="G81" s="6" t="s">
        <v>140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130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128</v>
      </c>
      <c r="F82" s="12">
        <v>1</v>
      </c>
      <c r="G82" s="6" t="s">
        <v>140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130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128</v>
      </c>
      <c r="F83" s="12">
        <v>1</v>
      </c>
      <c r="G83" s="6" t="s">
        <v>141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130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128</v>
      </c>
      <c r="F84" s="12">
        <v>1</v>
      </c>
      <c r="G84" s="6" t="s">
        <v>141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130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128</v>
      </c>
      <c r="F85" s="12">
        <v>1</v>
      </c>
      <c r="G85" s="6" t="s">
        <v>142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130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128</v>
      </c>
      <c r="F86" s="12">
        <v>1</v>
      </c>
      <c r="G86" s="6" t="s">
        <v>142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130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128</v>
      </c>
      <c r="F87" s="12">
        <v>1</v>
      </c>
      <c r="G87" s="6" t="s">
        <v>142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130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128</v>
      </c>
      <c r="F88" s="12">
        <v>1</v>
      </c>
      <c r="G88" s="6" t="s">
        <v>142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130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153</v>
      </c>
      <c r="F89" s="12">
        <v>1</v>
      </c>
      <c r="G89" s="6" t="s">
        <v>154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-23</v>
      </c>
      <c r="M89" t="s">
        <v>127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319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145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319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145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320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145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320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145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321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145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321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145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322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145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323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145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327</v>
      </c>
      <c r="F98" s="63">
        <v>2</v>
      </c>
      <c r="G98" s="62" t="s">
        <v>325</v>
      </c>
      <c r="H98" s="14" t="s">
        <v>63</v>
      </c>
      <c r="I98" s="14" t="s">
        <v>63</v>
      </c>
      <c r="J98" s="7">
        <v>46325</v>
      </c>
      <c r="L98" s="11">
        <f ca="1">Tabela4[[#This Row],[Prazo
Entrega]]-TODAY()</f>
        <v>99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327</v>
      </c>
      <c r="F99" s="63">
        <v>2</v>
      </c>
      <c r="G99" s="62" t="s">
        <v>325</v>
      </c>
      <c r="H99" s="14" t="s">
        <v>63</v>
      </c>
      <c r="I99" s="14" t="s">
        <v>63</v>
      </c>
      <c r="J99" s="7">
        <v>46325</v>
      </c>
      <c r="L99" s="11">
        <f ca="1">Tabela4[[#This Row],[Prazo
Entrega]]-TODAY()</f>
        <v>99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327</v>
      </c>
      <c r="F100" s="63">
        <v>2</v>
      </c>
      <c r="G100" s="62" t="s">
        <v>325</v>
      </c>
      <c r="H100" s="14" t="s">
        <v>63</v>
      </c>
      <c r="I100" s="14" t="s">
        <v>63</v>
      </c>
      <c r="J100" s="7">
        <v>46325</v>
      </c>
      <c r="L100" s="11">
        <f ca="1">Tabela4[[#This Row],[Prazo
Entrega]]-TODAY()</f>
        <v>99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327</v>
      </c>
      <c r="F101" s="63">
        <v>1</v>
      </c>
      <c r="G101" s="62" t="s">
        <v>326</v>
      </c>
      <c r="H101" s="14" t="s">
        <v>63</v>
      </c>
      <c r="I101" s="14" t="s">
        <v>63</v>
      </c>
      <c r="J101" s="7">
        <v>46325</v>
      </c>
      <c r="L101" s="11">
        <f ca="1">Tabela4[[#This Row],[Prazo
Entrega]]-TODAY()</f>
        <v>99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327</v>
      </c>
      <c r="F102" s="63">
        <v>1</v>
      </c>
      <c r="G102" s="62" t="s">
        <v>326</v>
      </c>
      <c r="H102" s="14" t="s">
        <v>63</v>
      </c>
      <c r="I102" s="14" t="s">
        <v>63</v>
      </c>
      <c r="J102" s="7">
        <v>46325</v>
      </c>
      <c r="L102" s="11">
        <f ca="1">Tabela4[[#This Row],[Prazo
Entrega]]-TODAY()</f>
        <v>99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327</v>
      </c>
      <c r="F103" s="63">
        <v>8</v>
      </c>
      <c r="G103" s="62" t="s">
        <v>324</v>
      </c>
      <c r="H103" s="14" t="s">
        <v>63</v>
      </c>
      <c r="I103" s="14" t="s">
        <v>63</v>
      </c>
      <c r="J103" s="7">
        <v>46325</v>
      </c>
      <c r="L103" s="11">
        <f ca="1">Tabela4[[#This Row],[Prazo
Entrega]]-TODAY()</f>
        <v>99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125</v>
      </c>
      <c r="F104" s="67">
        <v>1</v>
      </c>
      <c r="G104" s="68" t="s">
        <v>330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130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125</v>
      </c>
      <c r="F105" s="67">
        <v>1</v>
      </c>
      <c r="G105" s="68" t="s">
        <v>330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130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125</v>
      </c>
      <c r="F106" s="67">
        <v>1</v>
      </c>
      <c r="G106" s="68" t="s">
        <v>330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130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125</v>
      </c>
      <c r="F107" s="67">
        <v>1</v>
      </c>
      <c r="G107" s="68" t="s">
        <v>330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130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125</v>
      </c>
      <c r="F108" s="67">
        <v>1</v>
      </c>
      <c r="G108" s="68" t="s">
        <v>331</v>
      </c>
      <c r="H108" s="69">
        <v>46235</v>
      </c>
      <c r="I108" s="70"/>
      <c r="J108" s="69">
        <v>46386</v>
      </c>
      <c r="K108" s="70"/>
      <c r="L108" s="71">
        <f ca="1">Tabela4[[#This Row],[Prazo
Entrega]]-TODAY()</f>
        <v>160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125</v>
      </c>
      <c r="F109" s="67">
        <v>1</v>
      </c>
      <c r="G109" s="68" t="s">
        <v>331</v>
      </c>
      <c r="H109" s="69">
        <v>46235</v>
      </c>
      <c r="I109" s="70"/>
      <c r="J109" s="69">
        <v>46386</v>
      </c>
      <c r="K109" s="70"/>
      <c r="L109" s="71">
        <f ca="1">Tabela4[[#This Row],[Prazo
Entrega]]-TODAY()</f>
        <v>160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125</v>
      </c>
      <c r="F110" s="67">
        <v>1</v>
      </c>
      <c r="G110" s="68" t="s">
        <v>331</v>
      </c>
      <c r="H110" s="69">
        <v>46235</v>
      </c>
      <c r="I110" s="70"/>
      <c r="J110" s="69">
        <v>46386</v>
      </c>
      <c r="K110" s="70"/>
      <c r="L110" s="71">
        <f ca="1">Tabela4[[#This Row],[Prazo
Entrega]]-TODAY()</f>
        <v>160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125</v>
      </c>
      <c r="F111" s="67">
        <v>1</v>
      </c>
      <c r="G111" s="68" t="s">
        <v>331</v>
      </c>
      <c r="H111" s="69">
        <v>46235</v>
      </c>
      <c r="I111" s="70"/>
      <c r="J111" s="69">
        <v>46386</v>
      </c>
      <c r="K111" s="70"/>
      <c r="L111" s="71">
        <f ca="1">Tabela4[[#This Row],[Prazo
Entrega]]-TODAY()</f>
        <v>160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125</v>
      </c>
      <c r="F112" s="67">
        <v>1</v>
      </c>
      <c r="G112" s="68" t="s">
        <v>328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130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125</v>
      </c>
      <c r="F113" s="67">
        <v>1</v>
      </c>
      <c r="G113" s="68" t="s">
        <v>328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130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125</v>
      </c>
      <c r="F114" s="67">
        <v>1</v>
      </c>
      <c r="G114" s="68" t="s">
        <v>328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130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125</v>
      </c>
      <c r="F115" s="67">
        <v>1</v>
      </c>
      <c r="G115" s="68" t="s">
        <v>328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130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125</v>
      </c>
      <c r="F116" s="67">
        <v>1</v>
      </c>
      <c r="G116" s="68" t="s">
        <v>328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130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125</v>
      </c>
      <c r="F117" s="67">
        <v>1</v>
      </c>
      <c r="G117" s="68" t="s">
        <v>328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130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125</v>
      </c>
      <c r="F118" s="67">
        <v>1</v>
      </c>
      <c r="G118" s="68" t="s">
        <v>328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130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125</v>
      </c>
      <c r="F119" s="67">
        <v>1</v>
      </c>
      <c r="G119" s="68" t="s">
        <v>328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130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125</v>
      </c>
      <c r="F120" s="67">
        <v>1</v>
      </c>
      <c r="G120" s="68" t="s">
        <v>329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130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125</v>
      </c>
      <c r="F121" s="67">
        <v>1</v>
      </c>
      <c r="G121" s="68" t="s">
        <v>329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130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125</v>
      </c>
      <c r="F122" s="67">
        <v>1</v>
      </c>
      <c r="G122" s="68" t="s">
        <v>329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130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125</v>
      </c>
      <c r="F123" s="67">
        <v>1</v>
      </c>
      <c r="G123" s="68" t="s">
        <v>329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130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537</v>
      </c>
      <c r="F124" s="12">
        <v>1</v>
      </c>
      <c r="G124" s="6" t="s">
        <v>540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160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537</v>
      </c>
      <c r="F125" s="12">
        <v>1</v>
      </c>
      <c r="G125" s="6" t="s">
        <v>540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160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537</v>
      </c>
      <c r="F126" s="12">
        <v>1</v>
      </c>
      <c r="G126" s="6" t="s">
        <v>541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160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537</v>
      </c>
      <c r="F127" s="12">
        <v>1</v>
      </c>
      <c r="G127" s="6" t="s">
        <v>541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160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3">
        <v>10</v>
      </c>
      <c r="C128" s="65" t="s">
        <v>63</v>
      </c>
      <c r="D128" s="65" t="s">
        <v>63</v>
      </c>
      <c r="E128" s="17" t="s">
        <v>537</v>
      </c>
      <c r="F128" s="104">
        <v>1</v>
      </c>
      <c r="G128" s="62" t="s">
        <v>546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160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3">
        <v>11</v>
      </c>
      <c r="C129" s="65" t="s">
        <v>63</v>
      </c>
      <c r="D129" s="65" t="s">
        <v>63</v>
      </c>
      <c r="E129" s="17" t="s">
        <v>537</v>
      </c>
      <c r="F129" s="104">
        <v>1</v>
      </c>
      <c r="G129" s="62" t="s">
        <v>545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160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11">
        <v>12</v>
      </c>
      <c r="C130" s="66" t="s">
        <v>63</v>
      </c>
      <c r="D130" s="66" t="s">
        <v>63</v>
      </c>
      <c r="E130" s="17" t="s">
        <v>537</v>
      </c>
      <c r="F130" s="112">
        <v>2</v>
      </c>
      <c r="G130" s="113" t="s">
        <v>542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160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11">
        <v>13</v>
      </c>
      <c r="C131" s="66" t="s">
        <v>63</v>
      </c>
      <c r="D131" s="66" t="s">
        <v>63</v>
      </c>
      <c r="E131" s="17" t="s">
        <v>537</v>
      </c>
      <c r="F131" s="112">
        <v>2</v>
      </c>
      <c r="G131" s="113" t="s">
        <v>547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160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3">
        <v>14</v>
      </c>
      <c r="C132" s="65" t="s">
        <v>63</v>
      </c>
      <c r="D132" s="65" t="s">
        <v>63</v>
      </c>
      <c r="E132" s="17" t="s">
        <v>537</v>
      </c>
      <c r="F132" s="104">
        <v>2</v>
      </c>
      <c r="G132" s="62" t="s">
        <v>543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160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3">
        <v>15</v>
      </c>
      <c r="C133" s="65" t="s">
        <v>63</v>
      </c>
      <c r="D133" s="65" t="s">
        <v>63</v>
      </c>
      <c r="E133" s="17" t="s">
        <v>537</v>
      </c>
      <c r="F133" s="104">
        <v>2</v>
      </c>
      <c r="G133" s="62" t="s">
        <v>548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160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3">
        <v>16</v>
      </c>
      <c r="C134" s="65" t="s">
        <v>63</v>
      </c>
      <c r="D134" s="65" t="s">
        <v>63</v>
      </c>
      <c r="E134" s="17" t="s">
        <v>537</v>
      </c>
      <c r="F134" s="104">
        <v>1</v>
      </c>
      <c r="G134" s="62" t="s">
        <v>549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160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3">
        <v>17</v>
      </c>
      <c r="C135" s="65" t="s">
        <v>63</v>
      </c>
      <c r="D135" s="65" t="s">
        <v>63</v>
      </c>
      <c r="E135" s="17" t="s">
        <v>537</v>
      </c>
      <c r="F135" s="104">
        <v>1</v>
      </c>
      <c r="G135" s="62" t="s">
        <v>549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160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3">
        <v>18</v>
      </c>
      <c r="C136" s="65" t="s">
        <v>63</v>
      </c>
      <c r="D136" s="65" t="s">
        <v>63</v>
      </c>
      <c r="E136" s="17" t="s">
        <v>537</v>
      </c>
      <c r="F136" s="104">
        <v>1</v>
      </c>
      <c r="G136" s="62" t="s">
        <v>549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160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3">
        <v>19</v>
      </c>
      <c r="C137" s="65" t="s">
        <v>63</v>
      </c>
      <c r="D137" s="65" t="s">
        <v>63</v>
      </c>
      <c r="E137" s="17" t="s">
        <v>537</v>
      </c>
      <c r="F137" s="104">
        <v>1</v>
      </c>
      <c r="G137" s="62" t="s">
        <v>549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160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3">
        <v>22</v>
      </c>
      <c r="C138" s="65" t="s">
        <v>63</v>
      </c>
      <c r="D138" s="65" t="s">
        <v>63</v>
      </c>
      <c r="E138" s="17" t="s">
        <v>537</v>
      </c>
      <c r="F138" s="12">
        <v>16</v>
      </c>
      <c r="G138" s="62" t="s">
        <v>550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160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3">
        <v>23</v>
      </c>
      <c r="C139" s="65" t="s">
        <v>63</v>
      </c>
      <c r="D139" s="65" t="s">
        <v>63</v>
      </c>
      <c r="E139" s="17" t="s">
        <v>537</v>
      </c>
      <c r="F139" s="12">
        <v>16</v>
      </c>
      <c r="G139" s="62" t="s">
        <v>544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160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561</v>
      </c>
      <c r="F140" s="12">
        <v>1</v>
      </c>
      <c r="G140" s="6" t="s">
        <v>562</v>
      </c>
      <c r="H140" s="7">
        <v>46287</v>
      </c>
      <c r="J140" s="7">
        <v>46328</v>
      </c>
      <c r="L140" s="11">
        <f ca="1">Tabela4[[#This Row],[Prazo
Entrega]]-TODAY()</f>
        <v>102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561</v>
      </c>
      <c r="F141" s="12">
        <v>1</v>
      </c>
      <c r="G141" s="6" t="s">
        <v>562</v>
      </c>
      <c r="H141" s="7">
        <v>46287</v>
      </c>
      <c r="J141" s="7">
        <v>46328</v>
      </c>
      <c r="L141" s="11">
        <f ca="1">Tabela4[[#This Row],[Prazo
Entrega]]-TODAY()</f>
        <v>102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561</v>
      </c>
      <c r="F142" s="12">
        <v>1</v>
      </c>
      <c r="G142" s="6" t="s">
        <v>562</v>
      </c>
      <c r="H142" s="7">
        <v>46287</v>
      </c>
      <c r="J142" s="7">
        <v>46328</v>
      </c>
      <c r="L142" s="11">
        <f ca="1">Tabela4[[#This Row],[Prazo
Entrega]]-TODAY()</f>
        <v>102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561</v>
      </c>
      <c r="F143" s="12">
        <v>1</v>
      </c>
      <c r="G143" s="6" t="s">
        <v>562</v>
      </c>
      <c r="H143" s="7">
        <v>46287</v>
      </c>
      <c r="J143" s="7">
        <v>46328</v>
      </c>
      <c r="L143" s="11">
        <f ca="1">Tabela4[[#This Row],[Prazo
Entrega]]-TODAY()</f>
        <v>102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561</v>
      </c>
      <c r="F144" s="12">
        <v>1</v>
      </c>
      <c r="G144" s="6" t="s">
        <v>562</v>
      </c>
      <c r="H144" s="7">
        <v>46287</v>
      </c>
      <c r="J144" s="7">
        <v>46328</v>
      </c>
      <c r="L144" s="11">
        <f ca="1">Tabela4[[#This Row],[Prazo
Entrega]]-TODAY()</f>
        <v>102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561</v>
      </c>
      <c r="F145" s="12">
        <v>1</v>
      </c>
      <c r="G145" s="6" t="s">
        <v>562</v>
      </c>
      <c r="H145" s="7">
        <v>46287</v>
      </c>
      <c r="J145" s="7">
        <v>46328</v>
      </c>
      <c r="L145" s="11">
        <f ca="1">Tabela4[[#This Row],[Prazo
Entrega]]-TODAY()</f>
        <v>102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561</v>
      </c>
      <c r="F146" s="12">
        <v>1</v>
      </c>
      <c r="G146" s="6" t="s">
        <v>562</v>
      </c>
      <c r="H146" s="7">
        <v>46287</v>
      </c>
      <c r="J146" s="7">
        <v>46328</v>
      </c>
      <c r="L146" s="11">
        <f ca="1">Tabela4[[#This Row],[Prazo
Entrega]]-TODAY()</f>
        <v>102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561</v>
      </c>
      <c r="F147" s="12">
        <v>1</v>
      </c>
      <c r="G147" s="6" t="s">
        <v>562</v>
      </c>
      <c r="H147" s="7">
        <v>46287</v>
      </c>
      <c r="J147" s="7">
        <v>46328</v>
      </c>
      <c r="L147" s="11">
        <f ca="1">Tabela4[[#This Row],[Prazo
Entrega]]-TODAY()</f>
        <v>102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B1" zoomScale="90" zoomScaleNormal="90" workbookViewId="0">
      <selection activeCell="N146" sqref="N146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216</v>
      </c>
      <c r="E1" s="48" t="s">
        <v>6</v>
      </c>
      <c r="F1" s="48" t="s">
        <v>2</v>
      </c>
      <c r="G1" s="48" t="s">
        <v>217</v>
      </c>
      <c r="H1" s="48" t="s">
        <v>252</v>
      </c>
      <c r="I1" s="48" t="s">
        <v>251</v>
      </c>
      <c r="J1" s="48" t="s">
        <v>204</v>
      </c>
      <c r="K1" s="48" t="s">
        <v>197</v>
      </c>
      <c r="L1" s="49" t="s">
        <v>250</v>
      </c>
      <c r="M1" s="49" t="s">
        <v>214</v>
      </c>
      <c r="N1" s="49" t="s">
        <v>215</v>
      </c>
      <c r="O1" s="49" t="s">
        <v>213</v>
      </c>
      <c r="P1" s="49" t="s">
        <v>84</v>
      </c>
      <c r="Q1" s="49" t="s">
        <v>68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239</v>
      </c>
      <c r="W1" s="49" t="s">
        <v>240</v>
      </c>
      <c r="X1" s="49" t="s">
        <v>241</v>
      </c>
      <c r="Y1" s="49" t="s">
        <v>242</v>
      </c>
      <c r="Z1" s="49" t="s">
        <v>243</v>
      </c>
      <c r="AA1" s="49" t="s">
        <v>199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200</v>
      </c>
      <c r="D2" s="51">
        <v>6635</v>
      </c>
      <c r="E2" s="51" t="s">
        <v>260</v>
      </c>
      <c r="F2" s="51">
        <v>1</v>
      </c>
      <c r="G2" s="51">
        <v>2300</v>
      </c>
      <c r="H2" s="51" t="s">
        <v>254</v>
      </c>
      <c r="I2" s="51" t="s">
        <v>63</v>
      </c>
      <c r="J2" s="51" t="s">
        <v>63</v>
      </c>
      <c r="K2" s="51" t="s">
        <v>198</v>
      </c>
      <c r="L2" s="108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225</v>
      </c>
      <c r="S2" s="53" t="s">
        <v>227</v>
      </c>
      <c r="T2" s="53" t="s">
        <v>228</v>
      </c>
      <c r="U2" s="53" t="s">
        <v>230</v>
      </c>
      <c r="V2" s="53" t="s">
        <v>231</v>
      </c>
      <c r="W2" s="53" t="s">
        <v>232</v>
      </c>
      <c r="X2" s="53" t="s">
        <v>229</v>
      </c>
      <c r="Y2" s="51" t="s">
        <v>233</v>
      </c>
      <c r="Z2" s="51" t="s">
        <v>234</v>
      </c>
      <c r="AA2" s="51" t="s">
        <v>257</v>
      </c>
      <c r="AB2" s="51" t="s">
        <v>379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260</v>
      </c>
      <c r="F3" s="51">
        <v>1</v>
      </c>
      <c r="G3" s="51" t="s">
        <v>202</v>
      </c>
      <c r="H3" s="51" t="s">
        <v>253</v>
      </c>
      <c r="I3" s="51" t="s">
        <v>380</v>
      </c>
      <c r="J3" s="51" t="s">
        <v>205</v>
      </c>
      <c r="K3" s="51" t="s">
        <v>210</v>
      </c>
      <c r="L3" s="108" t="s">
        <v>392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378</v>
      </c>
      <c r="S3" s="51" t="s">
        <v>226</v>
      </c>
      <c r="T3" s="51" t="s">
        <v>225</v>
      </c>
      <c r="U3" s="51" t="s">
        <v>229</v>
      </c>
      <c r="V3" s="51"/>
      <c r="W3" s="51"/>
      <c r="X3" s="51"/>
      <c r="Y3" s="51"/>
      <c r="Z3" s="51"/>
      <c r="AA3" s="51" t="s">
        <v>201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260</v>
      </c>
      <c r="F4" s="51">
        <v>1</v>
      </c>
      <c r="G4" s="51" t="s">
        <v>202</v>
      </c>
      <c r="H4" s="51" t="s">
        <v>253</v>
      </c>
      <c r="I4" s="51" t="s">
        <v>381</v>
      </c>
      <c r="J4" s="51" t="s">
        <v>205</v>
      </c>
      <c r="K4" s="51" t="s">
        <v>210</v>
      </c>
      <c r="L4" s="108" t="s">
        <v>393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378</v>
      </c>
      <c r="S4" s="51" t="s">
        <v>226</v>
      </c>
      <c r="T4" s="51" t="s">
        <v>225</v>
      </c>
      <c r="U4" s="51" t="s">
        <v>229</v>
      </c>
      <c r="V4" s="51"/>
      <c r="W4" s="51"/>
      <c r="X4" s="51"/>
      <c r="Y4" s="51"/>
      <c r="Z4" s="51"/>
      <c r="AA4" s="51" t="s">
        <v>201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260</v>
      </c>
      <c r="F5" s="51">
        <v>1</v>
      </c>
      <c r="G5" s="51" t="s">
        <v>202</v>
      </c>
      <c r="H5" s="51" t="s">
        <v>253</v>
      </c>
      <c r="I5" s="51" t="s">
        <v>380</v>
      </c>
      <c r="J5" s="51" t="s">
        <v>206</v>
      </c>
      <c r="K5" s="51" t="s">
        <v>210</v>
      </c>
      <c r="L5" s="108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378</v>
      </c>
      <c r="S5" s="51" t="s">
        <v>226</v>
      </c>
      <c r="T5" s="51" t="s">
        <v>225</v>
      </c>
      <c r="U5" s="51" t="s">
        <v>229</v>
      </c>
      <c r="V5" s="51"/>
      <c r="W5" s="51"/>
      <c r="X5" s="51"/>
      <c r="Y5" s="51"/>
      <c r="Z5" s="51"/>
      <c r="AA5" s="51" t="s">
        <v>201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260</v>
      </c>
      <c r="F6" s="51">
        <v>1</v>
      </c>
      <c r="G6" s="51">
        <v>1700</v>
      </c>
      <c r="H6" s="51" t="s">
        <v>253</v>
      </c>
      <c r="I6" s="51" t="s">
        <v>381</v>
      </c>
      <c r="J6" s="51" t="s">
        <v>206</v>
      </c>
      <c r="K6" s="51" t="s">
        <v>210</v>
      </c>
      <c r="L6" s="108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378</v>
      </c>
      <c r="S6" s="51" t="s">
        <v>226</v>
      </c>
      <c r="T6" s="51" t="s">
        <v>225</v>
      </c>
      <c r="U6" s="51" t="s">
        <v>229</v>
      </c>
      <c r="V6" s="51"/>
      <c r="W6" s="51"/>
      <c r="X6" s="51"/>
      <c r="Y6" s="51"/>
      <c r="Z6" s="51"/>
      <c r="AA6" s="51" t="s">
        <v>201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260</v>
      </c>
      <c r="F7" s="51">
        <v>1</v>
      </c>
      <c r="G7" s="51">
        <v>1700</v>
      </c>
      <c r="H7" s="51" t="s">
        <v>253</v>
      </c>
      <c r="I7" s="51" t="s">
        <v>380</v>
      </c>
      <c r="J7" s="51" t="s">
        <v>207</v>
      </c>
      <c r="K7" s="51" t="s">
        <v>210</v>
      </c>
      <c r="L7" s="108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378</v>
      </c>
      <c r="S7" s="51" t="s">
        <v>226</v>
      </c>
      <c r="T7" s="51" t="s">
        <v>225</v>
      </c>
      <c r="U7" s="51" t="s">
        <v>229</v>
      </c>
      <c r="V7" s="51"/>
      <c r="W7" s="51"/>
      <c r="X7" s="51"/>
      <c r="Y7" s="51"/>
      <c r="Z7" s="51"/>
      <c r="AA7" s="51" t="s">
        <v>201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260</v>
      </c>
      <c r="F8" s="51">
        <v>1</v>
      </c>
      <c r="G8" s="51">
        <v>1700</v>
      </c>
      <c r="H8" s="51" t="s">
        <v>253</v>
      </c>
      <c r="I8" s="51" t="s">
        <v>381</v>
      </c>
      <c r="J8" s="51" t="s">
        <v>207</v>
      </c>
      <c r="K8" s="51" t="s">
        <v>198</v>
      </c>
      <c r="L8" s="108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225</v>
      </c>
      <c r="S8" s="51" t="s">
        <v>228</v>
      </c>
      <c r="T8" s="51" t="s">
        <v>229</v>
      </c>
      <c r="U8" s="51" t="s">
        <v>233</v>
      </c>
      <c r="V8" s="51" t="s">
        <v>234</v>
      </c>
      <c r="W8" s="51"/>
      <c r="X8" s="51"/>
      <c r="Y8" s="51"/>
      <c r="Z8" s="51"/>
      <c r="AA8" s="51" t="s">
        <v>203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260</v>
      </c>
      <c r="F9" s="51">
        <v>1</v>
      </c>
      <c r="G9" s="51">
        <v>1700</v>
      </c>
      <c r="H9" s="51" t="s">
        <v>253</v>
      </c>
      <c r="I9" s="51" t="s">
        <v>380</v>
      </c>
      <c r="J9" s="51" t="s">
        <v>208</v>
      </c>
      <c r="K9" s="51" t="s">
        <v>210</v>
      </c>
      <c r="L9" s="108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378</v>
      </c>
      <c r="S9" s="51" t="s">
        <v>226</v>
      </c>
      <c r="T9" s="51" t="s">
        <v>225</v>
      </c>
      <c r="U9" s="51" t="s">
        <v>229</v>
      </c>
      <c r="V9" s="51"/>
      <c r="W9" s="51"/>
      <c r="X9" s="51"/>
      <c r="Y9" s="51"/>
      <c r="Z9" s="51"/>
      <c r="AA9" s="51" t="s">
        <v>201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260</v>
      </c>
      <c r="F10" s="51">
        <v>1</v>
      </c>
      <c r="G10" s="51">
        <v>1700</v>
      </c>
      <c r="H10" s="51" t="s">
        <v>253</v>
      </c>
      <c r="I10" s="51" t="s">
        <v>381</v>
      </c>
      <c r="J10" s="51" t="s">
        <v>208</v>
      </c>
      <c r="K10" s="51" t="s">
        <v>198</v>
      </c>
      <c r="L10" s="108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225</v>
      </c>
      <c r="S10" s="53" t="s">
        <v>228</v>
      </c>
      <c r="T10" s="51" t="s">
        <v>229</v>
      </c>
      <c r="U10" s="51" t="s">
        <v>233</v>
      </c>
      <c r="V10" s="51" t="s">
        <v>234</v>
      </c>
      <c r="W10" s="51"/>
      <c r="X10" s="51"/>
      <c r="Y10" s="51"/>
      <c r="Z10" s="51"/>
      <c r="AA10" s="51" t="s">
        <v>203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260</v>
      </c>
      <c r="F11" s="51">
        <v>1</v>
      </c>
      <c r="G11" s="51">
        <v>1700</v>
      </c>
      <c r="H11" s="51" t="s">
        <v>253</v>
      </c>
      <c r="I11" s="51" t="s">
        <v>380</v>
      </c>
      <c r="J11" s="51" t="s">
        <v>209</v>
      </c>
      <c r="K11" s="51" t="s">
        <v>210</v>
      </c>
      <c r="L11" s="108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378</v>
      </c>
      <c r="S11" s="51" t="s">
        <v>226</v>
      </c>
      <c r="T11" s="51" t="s">
        <v>225</v>
      </c>
      <c r="U11" s="51" t="s">
        <v>229</v>
      </c>
      <c r="V11" s="51"/>
      <c r="W11" s="51"/>
      <c r="X11" s="51"/>
      <c r="Y11" s="51"/>
      <c r="Z11" s="51"/>
      <c r="AA11" s="51" t="s">
        <v>201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260</v>
      </c>
      <c r="F12" s="51">
        <v>1</v>
      </c>
      <c r="G12" s="51">
        <v>1700</v>
      </c>
      <c r="H12" s="51" t="s">
        <v>254</v>
      </c>
      <c r="I12" s="51" t="s">
        <v>381</v>
      </c>
      <c r="J12" s="51" t="s">
        <v>209</v>
      </c>
      <c r="K12" s="51" t="s">
        <v>198</v>
      </c>
      <c r="L12" s="108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225</v>
      </c>
      <c r="S12" s="51" t="s">
        <v>227</v>
      </c>
      <c r="T12" s="51" t="s">
        <v>228</v>
      </c>
      <c r="U12" s="51" t="s">
        <v>230</v>
      </c>
      <c r="V12" s="51" t="s">
        <v>231</v>
      </c>
      <c r="W12" s="51" t="s">
        <v>232</v>
      </c>
      <c r="X12" s="51" t="s">
        <v>229</v>
      </c>
      <c r="Y12" s="51" t="s">
        <v>233</v>
      </c>
      <c r="Z12" s="51" t="s">
        <v>234</v>
      </c>
      <c r="AA12" s="51" t="s">
        <v>203</v>
      </c>
      <c r="AB12" s="83" t="s">
        <v>552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260</v>
      </c>
      <c r="F13" s="51">
        <v>1</v>
      </c>
      <c r="G13" s="51">
        <v>1700</v>
      </c>
      <c r="H13" s="51" t="s">
        <v>253</v>
      </c>
      <c r="I13" s="51" t="s">
        <v>255</v>
      </c>
      <c r="J13" s="51" t="s">
        <v>208</v>
      </c>
      <c r="K13" s="51" t="s">
        <v>211</v>
      </c>
      <c r="L13" s="108" t="s">
        <v>394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226</v>
      </c>
      <c r="S13" s="51" t="s">
        <v>225</v>
      </c>
      <c r="T13" s="51" t="s">
        <v>229</v>
      </c>
      <c r="U13" s="51"/>
      <c r="V13" s="51"/>
      <c r="W13" s="51"/>
      <c r="X13" s="51"/>
      <c r="Y13" s="51"/>
      <c r="Z13" s="51"/>
      <c r="AA13" s="51" t="s">
        <v>201</v>
      </c>
      <c r="AB13" s="51" t="s">
        <v>398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260</v>
      </c>
      <c r="F14" s="51">
        <v>1</v>
      </c>
      <c r="G14" s="51" t="s">
        <v>202</v>
      </c>
      <c r="H14" s="51" t="s">
        <v>254</v>
      </c>
      <c r="I14" s="51" t="s">
        <v>382</v>
      </c>
      <c r="J14" s="51" t="s">
        <v>205</v>
      </c>
      <c r="K14" s="51" t="s">
        <v>198</v>
      </c>
      <c r="L14" s="108" t="s">
        <v>395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102" t="s">
        <v>225</v>
      </c>
      <c r="S14" s="51" t="s">
        <v>227</v>
      </c>
      <c r="T14" s="51" t="s">
        <v>228</v>
      </c>
      <c r="U14" s="51" t="s">
        <v>230</v>
      </c>
      <c r="V14" s="51" t="s">
        <v>231</v>
      </c>
      <c r="W14" s="51" t="s">
        <v>232</v>
      </c>
      <c r="X14" s="51" t="s">
        <v>229</v>
      </c>
      <c r="Y14" s="51" t="s">
        <v>233</v>
      </c>
      <c r="Z14" s="51" t="s">
        <v>234</v>
      </c>
      <c r="AA14" s="51" t="s">
        <v>203</v>
      </c>
      <c r="AB14" s="83" t="s">
        <v>553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260</v>
      </c>
      <c r="F15" s="51">
        <v>1</v>
      </c>
      <c r="G15" s="51">
        <v>1700</v>
      </c>
      <c r="H15" s="51" t="s">
        <v>254</v>
      </c>
      <c r="I15" s="51" t="s">
        <v>382</v>
      </c>
      <c r="J15" s="51" t="s">
        <v>206</v>
      </c>
      <c r="K15" s="51" t="s">
        <v>210</v>
      </c>
      <c r="L15" s="108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378</v>
      </c>
      <c r="S15" s="51" t="s">
        <v>226</v>
      </c>
      <c r="T15" s="51" t="s">
        <v>225</v>
      </c>
      <c r="U15" s="51" t="s">
        <v>229</v>
      </c>
      <c r="V15" s="51"/>
      <c r="W15" s="51"/>
      <c r="X15" s="51"/>
      <c r="Y15" s="51"/>
      <c r="Z15" s="51"/>
      <c r="AA15" s="51" t="s">
        <v>201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260</v>
      </c>
      <c r="F16" s="51">
        <v>1</v>
      </c>
      <c r="G16" s="51">
        <v>1700</v>
      </c>
      <c r="H16" s="51" t="s">
        <v>254</v>
      </c>
      <c r="I16" s="51" t="s">
        <v>382</v>
      </c>
      <c r="J16" s="51" t="s">
        <v>207</v>
      </c>
      <c r="K16" s="51" t="s">
        <v>198</v>
      </c>
      <c r="L16" s="108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225</v>
      </c>
      <c r="S16" s="51" t="s">
        <v>227</v>
      </c>
      <c r="T16" s="51" t="s">
        <v>228</v>
      </c>
      <c r="U16" s="51" t="s">
        <v>230</v>
      </c>
      <c r="V16" s="51" t="s">
        <v>231</v>
      </c>
      <c r="W16" s="51" t="s">
        <v>232</v>
      </c>
      <c r="X16" s="51" t="s">
        <v>229</v>
      </c>
      <c r="Y16" s="51" t="s">
        <v>233</v>
      </c>
      <c r="Z16" s="51" t="s">
        <v>234</v>
      </c>
      <c r="AA16" s="51" t="s">
        <v>203</v>
      </c>
      <c r="AB16" s="83" t="s">
        <v>552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260</v>
      </c>
      <c r="F17" s="51">
        <v>1</v>
      </c>
      <c r="G17" s="51">
        <v>1700</v>
      </c>
      <c r="H17" s="51" t="s">
        <v>254</v>
      </c>
      <c r="I17" s="51" t="s">
        <v>382</v>
      </c>
      <c r="J17" s="51" t="s">
        <v>208</v>
      </c>
      <c r="K17" s="51" t="s">
        <v>210</v>
      </c>
      <c r="L17" s="108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378</v>
      </c>
      <c r="S17" s="51" t="s">
        <v>226</v>
      </c>
      <c r="T17" s="51" t="s">
        <v>225</v>
      </c>
      <c r="U17" s="51" t="s">
        <v>229</v>
      </c>
      <c r="V17" s="51"/>
      <c r="W17" s="51"/>
      <c r="X17" s="51"/>
      <c r="Y17" s="51"/>
      <c r="Z17" s="51"/>
      <c r="AA17" s="51" t="s">
        <v>201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260</v>
      </c>
      <c r="F18" s="51">
        <v>1</v>
      </c>
      <c r="G18" s="51">
        <v>1700</v>
      </c>
      <c r="H18" s="51" t="s">
        <v>254</v>
      </c>
      <c r="I18" s="51" t="s">
        <v>382</v>
      </c>
      <c r="J18" s="51" t="s">
        <v>209</v>
      </c>
      <c r="K18" s="51" t="s">
        <v>210</v>
      </c>
      <c r="L18" s="108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378</v>
      </c>
      <c r="S18" s="51" t="s">
        <v>226</v>
      </c>
      <c r="T18" s="51" t="s">
        <v>225</v>
      </c>
      <c r="U18" s="51" t="s">
        <v>229</v>
      </c>
      <c r="V18" s="51"/>
      <c r="W18" s="51"/>
      <c r="X18" s="51"/>
      <c r="Y18" s="51"/>
      <c r="Z18" s="51"/>
      <c r="AA18" s="51" t="s">
        <v>201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153</v>
      </c>
      <c r="D19" s="51" t="s">
        <v>63</v>
      </c>
      <c r="E19" s="51" t="s">
        <v>260</v>
      </c>
      <c r="F19" s="51">
        <v>1</v>
      </c>
      <c r="G19" s="51" t="s">
        <v>248</v>
      </c>
      <c r="H19" s="51" t="s">
        <v>253</v>
      </c>
      <c r="I19" s="51" t="s">
        <v>380</v>
      </c>
      <c r="J19" s="51" t="s">
        <v>205</v>
      </c>
      <c r="K19" s="51" t="s">
        <v>210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378</v>
      </c>
      <c r="S19" s="53" t="s">
        <v>226</v>
      </c>
      <c r="T19" s="53" t="s">
        <v>225</v>
      </c>
      <c r="U19" s="53" t="s">
        <v>229</v>
      </c>
      <c r="V19" s="51"/>
      <c r="W19" s="51"/>
      <c r="X19" s="51"/>
      <c r="Y19" s="51"/>
      <c r="Z19" s="51"/>
      <c r="AA19" s="51" t="s">
        <v>257</v>
      </c>
      <c r="AB19" s="51" t="s">
        <v>457</v>
      </c>
    </row>
    <row r="20" spans="1:28" ht="20.100000000000001" hidden="1" customHeight="1" x14ac:dyDescent="0.25">
      <c r="A20" s="51">
        <v>1005</v>
      </c>
      <c r="B20" s="51" t="s">
        <v>63</v>
      </c>
      <c r="C20" s="51" t="s">
        <v>153</v>
      </c>
      <c r="D20" s="51" t="s">
        <v>63</v>
      </c>
      <c r="E20" s="51" t="s">
        <v>260</v>
      </c>
      <c r="F20" s="51">
        <v>1</v>
      </c>
      <c r="G20" s="51" t="s">
        <v>248</v>
      </c>
      <c r="H20" s="51" t="s">
        <v>253</v>
      </c>
      <c r="I20" s="51" t="s">
        <v>380</v>
      </c>
      <c r="J20" s="51" t="s">
        <v>206</v>
      </c>
      <c r="K20" s="51" t="s">
        <v>210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378</v>
      </c>
      <c r="S20" s="53" t="s">
        <v>226</v>
      </c>
      <c r="T20" s="53" t="s">
        <v>225</v>
      </c>
      <c r="U20" s="53" t="s">
        <v>229</v>
      </c>
      <c r="V20" s="51"/>
      <c r="W20" s="51"/>
      <c r="X20" s="51"/>
      <c r="Y20" s="51"/>
      <c r="Z20" s="51"/>
      <c r="AA20" s="51" t="s">
        <v>257</v>
      </c>
      <c r="AB20" s="51" t="s">
        <v>457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153</v>
      </c>
      <c r="D21" s="51" t="s">
        <v>63</v>
      </c>
      <c r="E21" s="51" t="s">
        <v>260</v>
      </c>
      <c r="F21" s="51">
        <v>1</v>
      </c>
      <c r="G21" s="51" t="s">
        <v>248</v>
      </c>
      <c r="H21" s="51" t="s">
        <v>253</v>
      </c>
      <c r="I21" s="51" t="s">
        <v>382</v>
      </c>
      <c r="J21" s="51" t="s">
        <v>206</v>
      </c>
      <c r="K21" s="51" t="s">
        <v>210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378</v>
      </c>
      <c r="S21" s="53" t="s">
        <v>226</v>
      </c>
      <c r="T21" s="53" t="s">
        <v>225</v>
      </c>
      <c r="U21" s="53" t="s">
        <v>229</v>
      </c>
      <c r="V21" s="51"/>
      <c r="W21" s="51"/>
      <c r="X21" s="51"/>
      <c r="Y21" s="51"/>
      <c r="Z21" s="51"/>
      <c r="AA21" s="51" t="s">
        <v>257</v>
      </c>
      <c r="AB21" s="51" t="s">
        <v>457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153</v>
      </c>
      <c r="D22" s="51" t="s">
        <v>63</v>
      </c>
      <c r="E22" s="51" t="s">
        <v>260</v>
      </c>
      <c r="F22" s="51">
        <v>1</v>
      </c>
      <c r="G22" s="51" t="s">
        <v>248</v>
      </c>
      <c r="H22" s="51" t="s">
        <v>253</v>
      </c>
      <c r="I22" s="51" t="s">
        <v>459</v>
      </c>
      <c r="J22" s="51" t="s">
        <v>206</v>
      </c>
      <c r="K22" s="51" t="s">
        <v>210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378</v>
      </c>
      <c r="S22" s="53" t="s">
        <v>226</v>
      </c>
      <c r="T22" s="53" t="s">
        <v>225</v>
      </c>
      <c r="U22" s="53" t="s">
        <v>229</v>
      </c>
      <c r="V22" s="51"/>
      <c r="W22" s="51"/>
      <c r="X22" s="51"/>
      <c r="Y22" s="51"/>
      <c r="Z22" s="51"/>
      <c r="AA22" s="51" t="s">
        <v>257</v>
      </c>
      <c r="AB22" s="51" t="s">
        <v>457</v>
      </c>
    </row>
    <row r="23" spans="1:28" ht="20.100000000000001" hidden="1" customHeight="1" x14ac:dyDescent="0.25">
      <c r="A23" s="51">
        <v>1005</v>
      </c>
      <c r="B23" s="51" t="s">
        <v>63</v>
      </c>
      <c r="C23" s="51" t="s">
        <v>153</v>
      </c>
      <c r="D23" s="51" t="s">
        <v>63</v>
      </c>
      <c r="E23" s="51" t="s">
        <v>260</v>
      </c>
      <c r="F23" s="51">
        <v>1</v>
      </c>
      <c r="G23" s="51" t="s">
        <v>248</v>
      </c>
      <c r="H23" s="51" t="s">
        <v>253</v>
      </c>
      <c r="I23" s="51" t="s">
        <v>380</v>
      </c>
      <c r="J23" s="51" t="s">
        <v>207</v>
      </c>
      <c r="K23" s="51" t="s">
        <v>210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378</v>
      </c>
      <c r="S23" s="53" t="s">
        <v>226</v>
      </c>
      <c r="T23" s="53" t="s">
        <v>225</v>
      </c>
      <c r="U23" s="53" t="s">
        <v>229</v>
      </c>
      <c r="V23" s="51"/>
      <c r="W23" s="51"/>
      <c r="X23" s="51"/>
      <c r="Y23" s="51"/>
      <c r="Z23" s="51"/>
      <c r="AA23" s="51" t="s">
        <v>257</v>
      </c>
      <c r="AB23" s="51" t="s">
        <v>457</v>
      </c>
    </row>
    <row r="24" spans="1:28" ht="20.100000000000001" hidden="1" customHeight="1" x14ac:dyDescent="0.25">
      <c r="A24" s="51">
        <v>1005</v>
      </c>
      <c r="B24" s="51" t="s">
        <v>63</v>
      </c>
      <c r="C24" s="51" t="s">
        <v>153</v>
      </c>
      <c r="D24" s="51" t="s">
        <v>63</v>
      </c>
      <c r="E24" s="51" t="s">
        <v>260</v>
      </c>
      <c r="F24" s="51">
        <v>1</v>
      </c>
      <c r="G24" s="51" t="s">
        <v>248</v>
      </c>
      <c r="H24" s="51" t="s">
        <v>253</v>
      </c>
      <c r="I24" s="51" t="s">
        <v>459</v>
      </c>
      <c r="J24" s="51" t="s">
        <v>207</v>
      </c>
      <c r="K24" s="51" t="s">
        <v>210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378</v>
      </c>
      <c r="S24" s="53" t="s">
        <v>226</v>
      </c>
      <c r="T24" s="53" t="s">
        <v>225</v>
      </c>
      <c r="U24" s="53" t="s">
        <v>229</v>
      </c>
      <c r="V24" s="51"/>
      <c r="W24" s="51"/>
      <c r="X24" s="51"/>
      <c r="Y24" s="51"/>
      <c r="Z24" s="51"/>
      <c r="AA24" s="51" t="s">
        <v>257</v>
      </c>
      <c r="AB24" s="51" t="s">
        <v>457</v>
      </c>
    </row>
    <row r="25" spans="1:28" ht="20.100000000000001" hidden="1" customHeight="1" x14ac:dyDescent="0.25">
      <c r="A25" s="51">
        <v>1005</v>
      </c>
      <c r="B25" s="51" t="s">
        <v>63</v>
      </c>
      <c r="C25" s="51" t="s">
        <v>153</v>
      </c>
      <c r="D25" s="51" t="s">
        <v>63</v>
      </c>
      <c r="E25" s="51" t="s">
        <v>260</v>
      </c>
      <c r="F25" s="51">
        <v>1</v>
      </c>
      <c r="G25" s="51" t="s">
        <v>248</v>
      </c>
      <c r="H25" s="51" t="s">
        <v>253</v>
      </c>
      <c r="I25" s="51" t="s">
        <v>380</v>
      </c>
      <c r="J25" s="51" t="s">
        <v>208</v>
      </c>
      <c r="K25" s="51" t="s">
        <v>210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378</v>
      </c>
      <c r="S25" s="53" t="s">
        <v>226</v>
      </c>
      <c r="T25" s="53" t="s">
        <v>225</v>
      </c>
      <c r="U25" s="53" t="s">
        <v>229</v>
      </c>
      <c r="V25" s="51"/>
      <c r="W25" s="51"/>
      <c r="X25" s="51"/>
      <c r="Y25" s="51"/>
      <c r="Z25" s="51"/>
      <c r="AA25" s="51" t="s">
        <v>257</v>
      </c>
      <c r="AB25" s="51" t="s">
        <v>457</v>
      </c>
    </row>
    <row r="26" spans="1:28" ht="20.100000000000001" hidden="1" customHeight="1" x14ac:dyDescent="0.25">
      <c r="A26" s="51">
        <v>1005</v>
      </c>
      <c r="B26" s="51" t="s">
        <v>63</v>
      </c>
      <c r="C26" s="51" t="s">
        <v>153</v>
      </c>
      <c r="D26" s="51" t="s">
        <v>63</v>
      </c>
      <c r="E26" s="51" t="s">
        <v>260</v>
      </c>
      <c r="F26" s="51">
        <v>1</v>
      </c>
      <c r="G26" s="51" t="s">
        <v>248</v>
      </c>
      <c r="H26" s="51" t="s">
        <v>253</v>
      </c>
      <c r="I26" s="51" t="s">
        <v>382</v>
      </c>
      <c r="J26" s="51" t="s">
        <v>208</v>
      </c>
      <c r="K26" s="51" t="s">
        <v>210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378</v>
      </c>
      <c r="S26" s="53" t="s">
        <v>226</v>
      </c>
      <c r="T26" s="53" t="s">
        <v>225</v>
      </c>
      <c r="U26" s="53" t="s">
        <v>229</v>
      </c>
      <c r="V26" s="51"/>
      <c r="W26" s="51"/>
      <c r="X26" s="51"/>
      <c r="Y26" s="51"/>
      <c r="Z26" s="51"/>
      <c r="AA26" s="51" t="s">
        <v>257</v>
      </c>
      <c r="AB26" s="51" t="s">
        <v>457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153</v>
      </c>
      <c r="D27" s="51" t="s">
        <v>63</v>
      </c>
      <c r="E27" s="51" t="s">
        <v>260</v>
      </c>
      <c r="F27" s="51">
        <v>1</v>
      </c>
      <c r="G27" s="51" t="s">
        <v>248</v>
      </c>
      <c r="H27" s="51" t="s">
        <v>253</v>
      </c>
      <c r="I27" s="51" t="s">
        <v>380</v>
      </c>
      <c r="J27" s="51" t="s">
        <v>209</v>
      </c>
      <c r="K27" s="51" t="s">
        <v>210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378</v>
      </c>
      <c r="S27" s="53" t="s">
        <v>226</v>
      </c>
      <c r="T27" s="53" t="s">
        <v>225</v>
      </c>
      <c r="U27" s="53" t="s">
        <v>229</v>
      </c>
      <c r="V27" s="51"/>
      <c r="W27" s="51"/>
      <c r="X27" s="51"/>
      <c r="Y27" s="51"/>
      <c r="Z27" s="51"/>
      <c r="AA27" s="51" t="s">
        <v>257</v>
      </c>
      <c r="AB27" s="51" t="s">
        <v>457</v>
      </c>
    </row>
    <row r="28" spans="1:28" ht="20.100000000000001" hidden="1" customHeight="1" x14ac:dyDescent="0.25">
      <c r="A28" s="51">
        <v>1005</v>
      </c>
      <c r="B28" s="51" t="s">
        <v>63</v>
      </c>
      <c r="C28" s="51" t="s">
        <v>153</v>
      </c>
      <c r="D28" s="51" t="s">
        <v>63</v>
      </c>
      <c r="E28" s="51" t="s">
        <v>260</v>
      </c>
      <c r="F28" s="51">
        <v>1</v>
      </c>
      <c r="G28" s="51" t="s">
        <v>248</v>
      </c>
      <c r="H28" s="51" t="s">
        <v>253</v>
      </c>
      <c r="I28" s="51" t="s">
        <v>382</v>
      </c>
      <c r="J28" s="51" t="s">
        <v>209</v>
      </c>
      <c r="K28" s="51" t="s">
        <v>210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378</v>
      </c>
      <c r="S28" s="53" t="s">
        <v>226</v>
      </c>
      <c r="T28" s="53" t="s">
        <v>225</v>
      </c>
      <c r="U28" s="53" t="s">
        <v>229</v>
      </c>
      <c r="V28" s="51"/>
      <c r="W28" s="51"/>
      <c r="X28" s="51"/>
      <c r="Y28" s="51"/>
      <c r="Z28" s="51"/>
      <c r="AA28" s="51" t="s">
        <v>257</v>
      </c>
      <c r="AB28" s="51" t="s">
        <v>457</v>
      </c>
    </row>
    <row r="29" spans="1:28" ht="20.100000000000001" hidden="1" customHeight="1" x14ac:dyDescent="0.25">
      <c r="A29" s="51">
        <v>1005</v>
      </c>
      <c r="B29" s="51" t="s">
        <v>63</v>
      </c>
      <c r="C29" s="51" t="s">
        <v>153</v>
      </c>
      <c r="D29" s="51" t="s">
        <v>63</v>
      </c>
      <c r="E29" s="51" t="s">
        <v>260</v>
      </c>
      <c r="F29" s="51">
        <v>1</v>
      </c>
      <c r="G29" s="51" t="s">
        <v>248</v>
      </c>
      <c r="H29" s="51" t="s">
        <v>253</v>
      </c>
      <c r="I29" s="51" t="s">
        <v>459</v>
      </c>
      <c r="J29" s="51" t="s">
        <v>209</v>
      </c>
      <c r="K29" s="51" t="s">
        <v>210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378</v>
      </c>
      <c r="S29" s="53" t="s">
        <v>226</v>
      </c>
      <c r="T29" s="53" t="s">
        <v>225</v>
      </c>
      <c r="U29" s="53" t="s">
        <v>229</v>
      </c>
      <c r="V29" s="51"/>
      <c r="W29" s="51"/>
      <c r="X29" s="51"/>
      <c r="Y29" s="51"/>
      <c r="Z29" s="51"/>
      <c r="AA29" s="51" t="s">
        <v>257</v>
      </c>
      <c r="AB29" s="51" t="s">
        <v>457</v>
      </c>
    </row>
    <row r="30" spans="1:28" ht="20.100000000000001" hidden="1" customHeight="1" x14ac:dyDescent="0.25">
      <c r="A30" s="54">
        <v>2077</v>
      </c>
      <c r="B30" s="51" t="s">
        <v>63</v>
      </c>
      <c r="C30" s="54" t="s">
        <v>256</v>
      </c>
      <c r="D30" s="54">
        <v>6728</v>
      </c>
      <c r="E30" s="54" t="s">
        <v>260</v>
      </c>
      <c r="F30" s="54">
        <v>1</v>
      </c>
      <c r="G30" s="54" t="s">
        <v>202</v>
      </c>
      <c r="H30" s="54" t="s">
        <v>253</v>
      </c>
      <c r="I30" s="54" t="s">
        <v>63</v>
      </c>
      <c r="J30" s="54" t="s">
        <v>63</v>
      </c>
      <c r="K30" s="54" t="s">
        <v>198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225</v>
      </c>
      <c r="S30" s="56" t="s">
        <v>228</v>
      </c>
      <c r="T30" s="56" t="s">
        <v>233</v>
      </c>
      <c r="U30" s="56" t="s">
        <v>234</v>
      </c>
      <c r="V30" s="54"/>
      <c r="W30" s="54"/>
      <c r="X30" s="54"/>
      <c r="Y30" s="54"/>
      <c r="Z30" s="54"/>
      <c r="AA30" s="54" t="s">
        <v>334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256</v>
      </c>
      <c r="D31" s="54">
        <v>6727</v>
      </c>
      <c r="E31" s="54" t="s">
        <v>260</v>
      </c>
      <c r="F31" s="54">
        <v>1</v>
      </c>
      <c r="G31" s="54" t="s">
        <v>202</v>
      </c>
      <c r="H31" s="54" t="s">
        <v>254</v>
      </c>
      <c r="I31" s="54" t="s">
        <v>63</v>
      </c>
      <c r="J31" s="54" t="s">
        <v>63</v>
      </c>
      <c r="K31" s="54" t="s">
        <v>198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225</v>
      </c>
      <c r="S31" s="56" t="s">
        <v>227</v>
      </c>
      <c r="T31" s="56" t="s">
        <v>228</v>
      </c>
      <c r="U31" s="56" t="s">
        <v>230</v>
      </c>
      <c r="V31" s="56" t="s">
        <v>231</v>
      </c>
      <c r="W31" s="56" t="s">
        <v>232</v>
      </c>
      <c r="X31" s="56" t="s">
        <v>233</v>
      </c>
      <c r="Y31" s="56" t="s">
        <v>234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256</v>
      </c>
      <c r="D32" s="54">
        <v>6169</v>
      </c>
      <c r="E32" s="54" t="s">
        <v>260</v>
      </c>
      <c r="F32" s="54">
        <v>1</v>
      </c>
      <c r="G32" s="54" t="s">
        <v>202</v>
      </c>
      <c r="H32" s="54" t="s">
        <v>253</v>
      </c>
      <c r="I32" s="54" t="s">
        <v>63</v>
      </c>
      <c r="J32" s="54" t="s">
        <v>63</v>
      </c>
      <c r="K32" s="54" t="s">
        <v>198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225</v>
      </c>
      <c r="S32" s="56" t="s">
        <v>228</v>
      </c>
      <c r="T32" s="56" t="s">
        <v>233</v>
      </c>
      <c r="U32" s="56" t="s">
        <v>234</v>
      </c>
      <c r="V32" s="54"/>
      <c r="W32" s="54"/>
      <c r="X32" s="54"/>
      <c r="Y32" s="54"/>
      <c r="Z32" s="54"/>
      <c r="AA32" s="54" t="s">
        <v>257</v>
      </c>
      <c r="AB32" s="54" t="s">
        <v>379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259</v>
      </c>
      <c r="D33" s="54">
        <v>6741</v>
      </c>
      <c r="E33" s="54" t="s">
        <v>260</v>
      </c>
      <c r="F33" s="54">
        <v>1</v>
      </c>
      <c r="G33" s="51" t="s">
        <v>261</v>
      </c>
      <c r="H33" s="51" t="s">
        <v>253</v>
      </c>
      <c r="I33" s="54" t="s">
        <v>63</v>
      </c>
      <c r="J33" s="54" t="s">
        <v>63</v>
      </c>
      <c r="K33" s="54" t="s">
        <v>198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225</v>
      </c>
      <c r="S33" s="56" t="s">
        <v>228</v>
      </c>
      <c r="T33" s="56" t="s">
        <v>233</v>
      </c>
      <c r="U33" s="56" t="s">
        <v>234</v>
      </c>
      <c r="V33" s="51"/>
      <c r="W33" s="51"/>
      <c r="X33" s="51"/>
      <c r="Y33" s="51"/>
      <c r="Z33" s="51"/>
      <c r="AA33" s="51" t="s">
        <v>334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259</v>
      </c>
      <c r="D34" s="54">
        <v>6734</v>
      </c>
      <c r="E34" s="54" t="s">
        <v>260</v>
      </c>
      <c r="F34" s="54">
        <v>1</v>
      </c>
      <c r="G34" s="51" t="s">
        <v>261</v>
      </c>
      <c r="H34" s="51" t="s">
        <v>253</v>
      </c>
      <c r="I34" s="54" t="s">
        <v>63</v>
      </c>
      <c r="J34" s="54" t="s">
        <v>63</v>
      </c>
      <c r="K34" s="54" t="s">
        <v>198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225</v>
      </c>
      <c r="S34" s="56" t="s">
        <v>228</v>
      </c>
      <c r="T34" s="56" t="s">
        <v>233</v>
      </c>
      <c r="U34" s="56" t="s">
        <v>234</v>
      </c>
      <c r="V34" s="51"/>
      <c r="W34" s="51"/>
      <c r="X34" s="51"/>
      <c r="Y34" s="51"/>
      <c r="Z34" s="51"/>
      <c r="AA34" s="51" t="s">
        <v>334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259</v>
      </c>
      <c r="D35" s="54">
        <v>6737</v>
      </c>
      <c r="E35" s="54" t="s">
        <v>260</v>
      </c>
      <c r="F35" s="54">
        <v>1</v>
      </c>
      <c r="G35" s="51" t="s">
        <v>261</v>
      </c>
      <c r="H35" s="51" t="s">
        <v>253</v>
      </c>
      <c r="I35" s="54" t="s">
        <v>63</v>
      </c>
      <c r="J35" s="54" t="s">
        <v>63</v>
      </c>
      <c r="K35" s="54" t="s">
        <v>198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225</v>
      </c>
      <c r="S35" s="56" t="s">
        <v>228</v>
      </c>
      <c r="T35" s="56" t="s">
        <v>233</v>
      </c>
      <c r="U35" s="56" t="s">
        <v>234</v>
      </c>
      <c r="V35" s="51"/>
      <c r="W35" s="51"/>
      <c r="X35" s="51"/>
      <c r="Y35" s="51"/>
      <c r="Z35" s="51"/>
      <c r="AA35" s="51" t="s">
        <v>334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259</v>
      </c>
      <c r="D36" s="54">
        <v>6742</v>
      </c>
      <c r="E36" s="54" t="s">
        <v>260</v>
      </c>
      <c r="F36" s="54">
        <v>1</v>
      </c>
      <c r="G36" s="51" t="s">
        <v>261</v>
      </c>
      <c r="H36" s="51" t="s">
        <v>254</v>
      </c>
      <c r="I36" s="54" t="s">
        <v>63</v>
      </c>
      <c r="J36" s="54" t="s">
        <v>63</v>
      </c>
      <c r="K36" s="54" t="s">
        <v>198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225</v>
      </c>
      <c r="S36" s="56" t="s">
        <v>227</v>
      </c>
      <c r="T36" s="56" t="s">
        <v>228</v>
      </c>
      <c r="U36" s="56" t="s">
        <v>230</v>
      </c>
      <c r="V36" s="56" t="s">
        <v>231</v>
      </c>
      <c r="W36" s="56" t="s">
        <v>232</v>
      </c>
      <c r="X36" s="56" t="s">
        <v>233</v>
      </c>
      <c r="Y36" s="56" t="s">
        <v>234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259</v>
      </c>
      <c r="D37" s="54">
        <v>6743</v>
      </c>
      <c r="E37" s="54" t="s">
        <v>260</v>
      </c>
      <c r="F37" s="54">
        <v>1</v>
      </c>
      <c r="G37" s="51" t="s">
        <v>261</v>
      </c>
      <c r="H37" s="51" t="s">
        <v>254</v>
      </c>
      <c r="I37" s="54" t="s">
        <v>63</v>
      </c>
      <c r="J37" s="54" t="s">
        <v>63</v>
      </c>
      <c r="K37" s="54" t="s">
        <v>198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225</v>
      </c>
      <c r="S37" s="56" t="s">
        <v>227</v>
      </c>
      <c r="T37" s="56" t="s">
        <v>228</v>
      </c>
      <c r="U37" s="56" t="s">
        <v>230</v>
      </c>
      <c r="V37" s="56" t="s">
        <v>231</v>
      </c>
      <c r="W37" s="56" t="s">
        <v>232</v>
      </c>
      <c r="X37" s="56" t="s">
        <v>233</v>
      </c>
      <c r="Y37" s="56" t="s">
        <v>234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259</v>
      </c>
      <c r="D38" s="54">
        <v>6736</v>
      </c>
      <c r="E38" s="54" t="s">
        <v>260</v>
      </c>
      <c r="F38" s="54">
        <v>1</v>
      </c>
      <c r="G38" s="51" t="s">
        <v>261</v>
      </c>
      <c r="H38" s="51" t="s">
        <v>253</v>
      </c>
      <c r="I38" s="54" t="s">
        <v>63</v>
      </c>
      <c r="J38" s="54" t="s">
        <v>63</v>
      </c>
      <c r="K38" s="54" t="s">
        <v>198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225</v>
      </c>
      <c r="S38" s="56" t="s">
        <v>228</v>
      </c>
      <c r="T38" s="56" t="s">
        <v>233</v>
      </c>
      <c r="U38" s="56" t="s">
        <v>234</v>
      </c>
      <c r="V38" s="51"/>
      <c r="W38" s="51"/>
      <c r="X38" s="51"/>
      <c r="Y38" s="51"/>
      <c r="Z38" s="51"/>
      <c r="AA38" s="51" t="s">
        <v>334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259</v>
      </c>
      <c r="D39" s="54">
        <v>6735</v>
      </c>
      <c r="E39" s="54" t="s">
        <v>260</v>
      </c>
      <c r="F39" s="54">
        <v>1</v>
      </c>
      <c r="G39" s="51" t="s">
        <v>261</v>
      </c>
      <c r="H39" s="51" t="s">
        <v>253</v>
      </c>
      <c r="I39" s="54" t="s">
        <v>63</v>
      </c>
      <c r="J39" s="54" t="s">
        <v>63</v>
      </c>
      <c r="K39" s="54" t="s">
        <v>198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225</v>
      </c>
      <c r="S39" s="56" t="s">
        <v>228</v>
      </c>
      <c r="T39" s="56" t="s">
        <v>233</v>
      </c>
      <c r="U39" s="56" t="s">
        <v>234</v>
      </c>
      <c r="V39" s="51"/>
      <c r="W39" s="51"/>
      <c r="X39" s="51"/>
      <c r="Y39" s="51"/>
      <c r="Z39" s="51"/>
      <c r="AA39" s="51" t="s">
        <v>334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259</v>
      </c>
      <c r="D40" s="54">
        <v>6740</v>
      </c>
      <c r="E40" s="54" t="s">
        <v>260</v>
      </c>
      <c r="F40" s="54">
        <v>1</v>
      </c>
      <c r="G40" s="51" t="s">
        <v>261</v>
      </c>
      <c r="H40" s="51" t="s">
        <v>253</v>
      </c>
      <c r="I40" s="54" t="s">
        <v>63</v>
      </c>
      <c r="J40" s="54" t="s">
        <v>63</v>
      </c>
      <c r="K40" s="54" t="s">
        <v>198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225</v>
      </c>
      <c r="S40" s="56" t="s">
        <v>228</v>
      </c>
      <c r="T40" s="56" t="s">
        <v>233</v>
      </c>
      <c r="U40" s="56" t="s">
        <v>234</v>
      </c>
      <c r="V40" s="51"/>
      <c r="W40" s="51"/>
      <c r="X40" s="51"/>
      <c r="Y40" s="51"/>
      <c r="Z40" s="51"/>
      <c r="AA40" s="51" t="s">
        <v>334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259</v>
      </c>
      <c r="D41" s="54">
        <v>6738</v>
      </c>
      <c r="E41" s="54" t="s">
        <v>260</v>
      </c>
      <c r="F41" s="54">
        <v>1</v>
      </c>
      <c r="G41" s="51" t="s">
        <v>261</v>
      </c>
      <c r="H41" s="51" t="s">
        <v>253</v>
      </c>
      <c r="I41" s="54" t="s">
        <v>63</v>
      </c>
      <c r="J41" s="54" t="s">
        <v>63</v>
      </c>
      <c r="K41" s="54" t="s">
        <v>198</v>
      </c>
      <c r="L41" s="54" t="s">
        <v>461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225</v>
      </c>
      <c r="S41" s="56" t="s">
        <v>228</v>
      </c>
      <c r="T41" s="56" t="s">
        <v>233</v>
      </c>
      <c r="U41" s="56" t="s">
        <v>234</v>
      </c>
      <c r="V41" s="51"/>
      <c r="W41" s="51"/>
      <c r="X41" s="51"/>
      <c r="Y41" s="51"/>
      <c r="Z41" s="51"/>
      <c r="AA41" s="51" t="s">
        <v>334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259</v>
      </c>
      <c r="D42" s="54">
        <v>6744</v>
      </c>
      <c r="E42" s="54" t="s">
        <v>260</v>
      </c>
      <c r="F42" s="54">
        <v>1</v>
      </c>
      <c r="G42" s="51" t="s">
        <v>261</v>
      </c>
      <c r="H42" s="51" t="s">
        <v>254</v>
      </c>
      <c r="I42" s="54" t="s">
        <v>63</v>
      </c>
      <c r="J42" s="54" t="s">
        <v>63</v>
      </c>
      <c r="K42" s="54" t="s">
        <v>198</v>
      </c>
      <c r="L42" s="54" t="s">
        <v>462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225</v>
      </c>
      <c r="S42" s="56" t="s">
        <v>227</v>
      </c>
      <c r="T42" s="56" t="s">
        <v>228</v>
      </c>
      <c r="U42" s="56" t="s">
        <v>230</v>
      </c>
      <c r="V42" s="56" t="s">
        <v>231</v>
      </c>
      <c r="W42" s="56" t="s">
        <v>232</v>
      </c>
      <c r="X42" s="56" t="s">
        <v>233</v>
      </c>
      <c r="Y42" s="56" t="s">
        <v>234</v>
      </c>
      <c r="Z42" s="51"/>
      <c r="AA42" s="51" t="s">
        <v>334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259</v>
      </c>
      <c r="D43" s="54">
        <v>6739</v>
      </c>
      <c r="E43" s="54" t="s">
        <v>260</v>
      </c>
      <c r="F43" s="54">
        <v>1</v>
      </c>
      <c r="G43" s="51" t="s">
        <v>261</v>
      </c>
      <c r="H43" s="51" t="s">
        <v>253</v>
      </c>
      <c r="I43" s="54" t="s">
        <v>63</v>
      </c>
      <c r="J43" s="54" t="s">
        <v>63</v>
      </c>
      <c r="K43" s="54" t="s">
        <v>198</v>
      </c>
      <c r="L43" s="54" t="s">
        <v>463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225</v>
      </c>
      <c r="S43" s="56" t="s">
        <v>228</v>
      </c>
      <c r="T43" s="56" t="s">
        <v>233</v>
      </c>
      <c r="U43" s="56" t="s">
        <v>234</v>
      </c>
      <c r="V43" s="51"/>
      <c r="W43" s="51"/>
      <c r="X43" s="51"/>
      <c r="Y43" s="51"/>
      <c r="Z43" s="51"/>
      <c r="AA43" s="51" t="s">
        <v>334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262</v>
      </c>
      <c r="D44" s="51">
        <v>6745</v>
      </c>
      <c r="E44" s="54" t="s">
        <v>260</v>
      </c>
      <c r="F44" s="51">
        <v>1</v>
      </c>
      <c r="G44" s="51" t="s">
        <v>261</v>
      </c>
      <c r="H44" s="51" t="s">
        <v>254</v>
      </c>
      <c r="I44" s="54" t="s">
        <v>63</v>
      </c>
      <c r="J44" s="54" t="s">
        <v>63</v>
      </c>
      <c r="K44" s="54" t="s">
        <v>198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225</v>
      </c>
      <c r="S44" s="56" t="s">
        <v>227</v>
      </c>
      <c r="T44" s="56" t="s">
        <v>228</v>
      </c>
      <c r="U44" s="56" t="s">
        <v>230</v>
      </c>
      <c r="V44" s="56" t="s">
        <v>231</v>
      </c>
      <c r="W44" s="56" t="s">
        <v>232</v>
      </c>
      <c r="X44" s="57" t="s">
        <v>233</v>
      </c>
      <c r="Y44" s="57" t="s">
        <v>234</v>
      </c>
      <c r="Z44" s="51"/>
      <c r="AA44" s="51" t="s">
        <v>257</v>
      </c>
      <c r="AB44" s="51" t="s">
        <v>258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263</v>
      </c>
      <c r="D45" s="51">
        <v>6788</v>
      </c>
      <c r="E45" s="54" t="s">
        <v>260</v>
      </c>
      <c r="F45" s="51">
        <v>1</v>
      </c>
      <c r="G45" s="51" t="s">
        <v>264</v>
      </c>
      <c r="H45" s="51" t="s">
        <v>254</v>
      </c>
      <c r="I45" s="54" t="s">
        <v>63</v>
      </c>
      <c r="J45" s="54" t="s">
        <v>63</v>
      </c>
      <c r="K45" s="54" t="s">
        <v>198</v>
      </c>
      <c r="L45" s="54" t="s">
        <v>465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225</v>
      </c>
      <c r="S45" s="56" t="s">
        <v>227</v>
      </c>
      <c r="T45" s="56" t="s">
        <v>228</v>
      </c>
      <c r="U45" s="56" t="s">
        <v>230</v>
      </c>
      <c r="V45" s="56" t="s">
        <v>231</v>
      </c>
      <c r="W45" s="56" t="s">
        <v>232</v>
      </c>
      <c r="X45" s="56" t="s">
        <v>233</v>
      </c>
      <c r="Y45" s="56" t="s">
        <v>234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265</v>
      </c>
      <c r="D46" s="51">
        <v>6774</v>
      </c>
      <c r="E46" s="54" t="s">
        <v>260</v>
      </c>
      <c r="F46" s="51">
        <v>1</v>
      </c>
      <c r="G46" s="51" t="s">
        <v>202</v>
      </c>
      <c r="H46" s="51" t="s">
        <v>253</v>
      </c>
      <c r="I46" s="54" t="s">
        <v>63</v>
      </c>
      <c r="J46" s="54" t="s">
        <v>63</v>
      </c>
      <c r="K46" s="51" t="s">
        <v>198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225</v>
      </c>
      <c r="S46" s="56" t="s">
        <v>227</v>
      </c>
      <c r="T46" s="56" t="s">
        <v>228</v>
      </c>
      <c r="U46" s="56" t="s">
        <v>230</v>
      </c>
      <c r="V46" s="56" t="s">
        <v>231</v>
      </c>
      <c r="W46" s="56" t="s">
        <v>232</v>
      </c>
      <c r="X46" s="57" t="s">
        <v>233</v>
      </c>
      <c r="Y46" s="57" t="s">
        <v>234</v>
      </c>
      <c r="Z46" s="51"/>
      <c r="AA46" s="51" t="s">
        <v>257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265</v>
      </c>
      <c r="D47" s="51">
        <v>6772</v>
      </c>
      <c r="E47" s="54" t="s">
        <v>260</v>
      </c>
      <c r="F47" s="51">
        <v>1</v>
      </c>
      <c r="G47" s="51" t="s">
        <v>202</v>
      </c>
      <c r="H47" s="51" t="s">
        <v>253</v>
      </c>
      <c r="I47" s="54" t="s">
        <v>63</v>
      </c>
      <c r="J47" s="54" t="s">
        <v>63</v>
      </c>
      <c r="K47" s="51" t="s">
        <v>198</v>
      </c>
      <c r="L47" s="51" t="s">
        <v>468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225</v>
      </c>
      <c r="S47" s="56" t="s">
        <v>227</v>
      </c>
      <c r="T47" s="56" t="s">
        <v>228</v>
      </c>
      <c r="U47" s="56" t="s">
        <v>230</v>
      </c>
      <c r="V47" s="56" t="s">
        <v>231</v>
      </c>
      <c r="W47" s="56" t="s">
        <v>232</v>
      </c>
      <c r="X47" s="57" t="s">
        <v>233</v>
      </c>
      <c r="Y47" s="57" t="s">
        <v>234</v>
      </c>
      <c r="Z47" s="51"/>
      <c r="AA47" s="51" t="s">
        <v>257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265</v>
      </c>
      <c r="D48" s="51">
        <v>6778</v>
      </c>
      <c r="E48" s="54" t="s">
        <v>260</v>
      </c>
      <c r="F48" s="51">
        <v>1</v>
      </c>
      <c r="G48" s="51">
        <v>2200</v>
      </c>
      <c r="H48" s="51" t="s">
        <v>253</v>
      </c>
      <c r="I48" s="54" t="s">
        <v>63</v>
      </c>
      <c r="J48" s="54" t="s">
        <v>63</v>
      </c>
      <c r="K48" s="51" t="s">
        <v>198</v>
      </c>
      <c r="L48" s="51" t="s">
        <v>469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225</v>
      </c>
      <c r="S48" s="56" t="s">
        <v>227</v>
      </c>
      <c r="T48" s="56" t="s">
        <v>228</v>
      </c>
      <c r="U48" s="56" t="s">
        <v>230</v>
      </c>
      <c r="V48" s="56" t="s">
        <v>231</v>
      </c>
      <c r="W48" s="56" t="s">
        <v>232</v>
      </c>
      <c r="X48" s="57" t="s">
        <v>233</v>
      </c>
      <c r="Y48" s="57" t="s">
        <v>234</v>
      </c>
      <c r="Z48" s="51"/>
      <c r="AA48" s="51" t="s">
        <v>257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265</v>
      </c>
      <c r="D49" s="51" t="s">
        <v>63</v>
      </c>
      <c r="E49" s="54" t="s">
        <v>260</v>
      </c>
      <c r="F49" s="51">
        <v>1</v>
      </c>
      <c r="G49" s="51" t="s">
        <v>202</v>
      </c>
      <c r="H49" s="51" t="s">
        <v>253</v>
      </c>
      <c r="I49" s="54" t="s">
        <v>63</v>
      </c>
      <c r="J49" s="54" t="s">
        <v>63</v>
      </c>
      <c r="K49" s="51" t="s">
        <v>210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378</v>
      </c>
      <c r="S49" s="51" t="s">
        <v>226</v>
      </c>
      <c r="T49" s="51" t="s">
        <v>225</v>
      </c>
      <c r="U49" s="51"/>
      <c r="V49" s="51"/>
      <c r="W49" s="51"/>
      <c r="X49" s="51"/>
      <c r="Y49" s="51"/>
      <c r="Z49" s="51"/>
      <c r="AA49" s="51" t="s">
        <v>266</v>
      </c>
      <c r="AB49" s="51" t="s">
        <v>266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267</v>
      </c>
      <c r="D50" s="51" t="s">
        <v>63</v>
      </c>
      <c r="E50" s="54" t="s">
        <v>260</v>
      </c>
      <c r="F50" s="51">
        <v>1</v>
      </c>
      <c r="G50" s="51" t="s">
        <v>268</v>
      </c>
      <c r="H50" s="51" t="s">
        <v>253</v>
      </c>
      <c r="I50" s="54" t="s">
        <v>63</v>
      </c>
      <c r="J50" s="54" t="s">
        <v>63</v>
      </c>
      <c r="K50" s="51" t="s">
        <v>210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378</v>
      </c>
      <c r="S50" s="53" t="s">
        <v>226</v>
      </c>
      <c r="T50" s="53" t="s">
        <v>225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267</v>
      </c>
      <c r="D51" s="51" t="s">
        <v>63</v>
      </c>
      <c r="E51" s="54" t="s">
        <v>260</v>
      </c>
      <c r="F51" s="51">
        <v>1</v>
      </c>
      <c r="G51" s="51" t="s">
        <v>269</v>
      </c>
      <c r="H51" s="51" t="s">
        <v>253</v>
      </c>
      <c r="I51" s="54" t="s">
        <v>63</v>
      </c>
      <c r="J51" s="54" t="s">
        <v>63</v>
      </c>
      <c r="K51" s="51" t="s">
        <v>210</v>
      </c>
      <c r="L51" s="51" t="s">
        <v>464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378</v>
      </c>
      <c r="S51" s="53" t="s">
        <v>226</v>
      </c>
      <c r="T51" s="53" t="s">
        <v>225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270</v>
      </c>
      <c r="D52" s="51">
        <v>6746</v>
      </c>
      <c r="E52" s="54" t="s">
        <v>260</v>
      </c>
      <c r="F52" s="51">
        <v>1</v>
      </c>
      <c r="G52" s="51" t="s">
        <v>269</v>
      </c>
      <c r="H52" s="51" t="s">
        <v>254</v>
      </c>
      <c r="I52" s="54" t="s">
        <v>63</v>
      </c>
      <c r="J52" s="54" t="s">
        <v>63</v>
      </c>
      <c r="K52" s="51" t="s">
        <v>198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225</v>
      </c>
      <c r="S52" s="56" t="s">
        <v>227</v>
      </c>
      <c r="T52" s="56" t="s">
        <v>228</v>
      </c>
      <c r="U52" s="56" t="s">
        <v>230</v>
      </c>
      <c r="V52" s="56" t="s">
        <v>231</v>
      </c>
      <c r="W52" s="56" t="s">
        <v>232</v>
      </c>
      <c r="X52" s="57" t="s">
        <v>233</v>
      </c>
      <c r="Y52" s="57" t="s">
        <v>234</v>
      </c>
      <c r="Z52" s="51"/>
      <c r="AA52" s="51" t="s">
        <v>257</v>
      </c>
      <c r="AB52" s="51" t="s">
        <v>258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271</v>
      </c>
      <c r="D53" s="51">
        <v>6726</v>
      </c>
      <c r="E53" s="54" t="s">
        <v>260</v>
      </c>
      <c r="F53" s="51">
        <v>1</v>
      </c>
      <c r="G53" s="51" t="s">
        <v>269</v>
      </c>
      <c r="H53" s="51" t="s">
        <v>254</v>
      </c>
      <c r="I53" s="54" t="s">
        <v>63</v>
      </c>
      <c r="J53" s="54" t="s">
        <v>63</v>
      </c>
      <c r="K53" s="51" t="s">
        <v>198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225</v>
      </c>
      <c r="S53" s="56" t="s">
        <v>227</v>
      </c>
      <c r="T53" s="56" t="s">
        <v>228</v>
      </c>
      <c r="U53" s="56" t="s">
        <v>230</v>
      </c>
      <c r="V53" s="56" t="s">
        <v>231</v>
      </c>
      <c r="W53" s="56" t="s">
        <v>232</v>
      </c>
      <c r="X53" s="56" t="s">
        <v>233</v>
      </c>
      <c r="Y53" s="56" t="s">
        <v>234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271</v>
      </c>
      <c r="D54" s="51">
        <v>6725</v>
      </c>
      <c r="E54" s="54" t="s">
        <v>260</v>
      </c>
      <c r="F54" s="51">
        <v>1</v>
      </c>
      <c r="G54" s="51" t="s">
        <v>269</v>
      </c>
      <c r="H54" s="51" t="s">
        <v>254</v>
      </c>
      <c r="I54" s="54" t="s">
        <v>63</v>
      </c>
      <c r="J54" s="54" t="s">
        <v>63</v>
      </c>
      <c r="K54" s="51" t="s">
        <v>198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225</v>
      </c>
      <c r="S54" s="56" t="s">
        <v>227</v>
      </c>
      <c r="T54" s="56" t="s">
        <v>228</v>
      </c>
      <c r="U54" s="56" t="s">
        <v>230</v>
      </c>
      <c r="V54" s="56" t="s">
        <v>231</v>
      </c>
      <c r="W54" s="56" t="s">
        <v>232</v>
      </c>
      <c r="X54" s="56" t="s">
        <v>233</v>
      </c>
      <c r="Y54" s="56" t="s">
        <v>234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272</v>
      </c>
      <c r="D55" s="54">
        <v>6751</v>
      </c>
      <c r="E55" s="54" t="s">
        <v>260</v>
      </c>
      <c r="F55" s="54">
        <v>1</v>
      </c>
      <c r="G55" s="51" t="s">
        <v>269</v>
      </c>
      <c r="H55" s="51" t="s">
        <v>254</v>
      </c>
      <c r="I55" s="54" t="s">
        <v>63</v>
      </c>
      <c r="J55" s="54" t="s">
        <v>63</v>
      </c>
      <c r="K55" s="51" t="s">
        <v>198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225</v>
      </c>
      <c r="S55" s="56" t="s">
        <v>227</v>
      </c>
      <c r="T55" s="56" t="s">
        <v>228</v>
      </c>
      <c r="U55" s="56" t="s">
        <v>230</v>
      </c>
      <c r="V55" s="56" t="s">
        <v>231</v>
      </c>
      <c r="W55" s="56" t="s">
        <v>232</v>
      </c>
      <c r="X55" s="54" t="s">
        <v>233</v>
      </c>
      <c r="Y55" s="54" t="s">
        <v>234</v>
      </c>
      <c r="Z55" s="51"/>
      <c r="AA55" s="51" t="s">
        <v>257</v>
      </c>
      <c r="AB55" s="51" t="s">
        <v>258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272</v>
      </c>
      <c r="D56" s="54">
        <v>6749</v>
      </c>
      <c r="E56" s="54" t="s">
        <v>260</v>
      </c>
      <c r="F56" s="54">
        <v>1</v>
      </c>
      <c r="G56" s="51" t="s">
        <v>269</v>
      </c>
      <c r="H56" s="51" t="s">
        <v>254</v>
      </c>
      <c r="I56" s="54" t="s">
        <v>63</v>
      </c>
      <c r="J56" s="54" t="s">
        <v>63</v>
      </c>
      <c r="K56" s="51" t="s">
        <v>198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225</v>
      </c>
      <c r="S56" s="56" t="s">
        <v>227</v>
      </c>
      <c r="T56" s="56" t="s">
        <v>228</v>
      </c>
      <c r="U56" s="56" t="s">
        <v>230</v>
      </c>
      <c r="V56" s="56" t="s">
        <v>231</v>
      </c>
      <c r="W56" s="56" t="s">
        <v>232</v>
      </c>
      <c r="X56" s="54" t="s">
        <v>233</v>
      </c>
      <c r="Y56" s="54" t="s">
        <v>234</v>
      </c>
      <c r="Z56" s="51"/>
      <c r="AA56" s="51" t="s">
        <v>257</v>
      </c>
      <c r="AB56" s="51" t="s">
        <v>258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272</v>
      </c>
      <c r="D57" s="54">
        <v>6750</v>
      </c>
      <c r="E57" s="54" t="s">
        <v>260</v>
      </c>
      <c r="F57" s="54">
        <v>1</v>
      </c>
      <c r="G57" s="54" t="s">
        <v>269</v>
      </c>
      <c r="H57" s="54" t="s">
        <v>254</v>
      </c>
      <c r="I57" s="54" t="s">
        <v>63</v>
      </c>
      <c r="J57" s="54" t="s">
        <v>63</v>
      </c>
      <c r="K57" s="51" t="s">
        <v>198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225</v>
      </c>
      <c r="S57" s="56" t="s">
        <v>227</v>
      </c>
      <c r="T57" s="56" t="s">
        <v>228</v>
      </c>
      <c r="U57" s="56" t="s">
        <v>230</v>
      </c>
      <c r="V57" s="56" t="s">
        <v>231</v>
      </c>
      <c r="W57" s="56" t="s">
        <v>232</v>
      </c>
      <c r="X57" s="54" t="s">
        <v>233</v>
      </c>
      <c r="Y57" s="54" t="s">
        <v>234</v>
      </c>
      <c r="Z57" s="51"/>
      <c r="AA57" s="51" t="s">
        <v>257</v>
      </c>
      <c r="AB57" s="51" t="s">
        <v>258</v>
      </c>
    </row>
    <row r="58" spans="1:28" ht="20.100000000000001" hidden="1" customHeight="1" x14ac:dyDescent="0.25">
      <c r="A58" s="54" t="s">
        <v>278</v>
      </c>
      <c r="B58" s="51" t="s">
        <v>63</v>
      </c>
      <c r="C58" s="54" t="s">
        <v>272</v>
      </c>
      <c r="D58" s="54" t="s">
        <v>63</v>
      </c>
      <c r="E58" s="54" t="s">
        <v>260</v>
      </c>
      <c r="F58" s="54">
        <v>1</v>
      </c>
      <c r="G58" s="54" t="s">
        <v>269</v>
      </c>
      <c r="H58" s="54" t="s">
        <v>253</v>
      </c>
      <c r="I58" s="54" t="s">
        <v>63</v>
      </c>
      <c r="J58" s="54" t="s">
        <v>63</v>
      </c>
      <c r="K58" s="51" t="s">
        <v>198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225</v>
      </c>
      <c r="S58" s="53" t="s">
        <v>228</v>
      </c>
      <c r="T58" s="51" t="s">
        <v>233</v>
      </c>
      <c r="U58" s="51" t="s">
        <v>234</v>
      </c>
      <c r="V58" s="51"/>
      <c r="W58" s="51"/>
      <c r="X58" s="51"/>
      <c r="Y58" s="51"/>
      <c r="Z58" s="51"/>
      <c r="AA58" s="51" t="s">
        <v>257</v>
      </c>
      <c r="AB58" s="51" t="s">
        <v>258</v>
      </c>
    </row>
    <row r="59" spans="1:28" ht="20.100000000000001" hidden="1" customHeight="1" x14ac:dyDescent="0.25">
      <c r="A59" s="54" t="s">
        <v>279</v>
      </c>
      <c r="B59" s="51" t="s">
        <v>63</v>
      </c>
      <c r="C59" s="54" t="s">
        <v>273</v>
      </c>
      <c r="D59" s="54">
        <v>6731</v>
      </c>
      <c r="E59" s="54" t="s">
        <v>260</v>
      </c>
      <c r="F59" s="54">
        <v>1</v>
      </c>
      <c r="G59" s="107">
        <v>2000</v>
      </c>
      <c r="H59" s="54" t="s">
        <v>254</v>
      </c>
      <c r="I59" s="54" t="s">
        <v>63</v>
      </c>
      <c r="J59" s="54" t="s">
        <v>63</v>
      </c>
      <c r="K59" s="51" t="s">
        <v>198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225</v>
      </c>
      <c r="S59" s="56" t="s">
        <v>227</v>
      </c>
      <c r="T59" s="56" t="s">
        <v>228</v>
      </c>
      <c r="U59" s="56" t="s">
        <v>230</v>
      </c>
      <c r="V59" s="56" t="s">
        <v>231</v>
      </c>
      <c r="W59" s="56" t="s">
        <v>232</v>
      </c>
      <c r="X59" s="54" t="s">
        <v>233</v>
      </c>
      <c r="Y59" s="54" t="s">
        <v>234</v>
      </c>
      <c r="Z59" s="51"/>
      <c r="AA59" s="51" t="s">
        <v>257</v>
      </c>
      <c r="AB59" s="51" t="s">
        <v>258</v>
      </c>
    </row>
    <row r="60" spans="1:28" ht="20.100000000000001" hidden="1" customHeight="1" x14ac:dyDescent="0.25">
      <c r="A60" s="54" t="s">
        <v>280</v>
      </c>
      <c r="B60" s="51" t="s">
        <v>63</v>
      </c>
      <c r="C60" s="54" t="s">
        <v>273</v>
      </c>
      <c r="D60" s="54">
        <v>6732</v>
      </c>
      <c r="E60" s="54" t="s">
        <v>260</v>
      </c>
      <c r="F60" s="54">
        <v>1</v>
      </c>
      <c r="G60" s="107">
        <v>2000</v>
      </c>
      <c r="H60" s="54" t="s">
        <v>253</v>
      </c>
      <c r="I60" s="54" t="s">
        <v>63</v>
      </c>
      <c r="J60" s="54" t="s">
        <v>63</v>
      </c>
      <c r="K60" s="51" t="s">
        <v>198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225</v>
      </c>
      <c r="S60" s="53" t="s">
        <v>228</v>
      </c>
      <c r="T60" s="51" t="s">
        <v>233</v>
      </c>
      <c r="U60" s="51" t="s">
        <v>234</v>
      </c>
      <c r="V60" s="51"/>
      <c r="W60" s="51"/>
      <c r="X60" s="51"/>
      <c r="Y60" s="51"/>
      <c r="Z60" s="51"/>
      <c r="AA60" s="51" t="s">
        <v>257</v>
      </c>
      <c r="AB60" s="51" t="s">
        <v>258</v>
      </c>
    </row>
    <row r="61" spans="1:28" ht="20.100000000000001" hidden="1" customHeight="1" x14ac:dyDescent="0.25">
      <c r="A61" s="54" t="s">
        <v>281</v>
      </c>
      <c r="B61" s="51" t="s">
        <v>63</v>
      </c>
      <c r="C61" s="54" t="s">
        <v>274</v>
      </c>
      <c r="D61" s="54">
        <v>6775</v>
      </c>
      <c r="E61" s="54" t="s">
        <v>260</v>
      </c>
      <c r="F61" s="54">
        <v>1</v>
      </c>
      <c r="G61" s="54" t="s">
        <v>261</v>
      </c>
      <c r="H61" s="54" t="s">
        <v>254</v>
      </c>
      <c r="I61" s="54" t="s">
        <v>63</v>
      </c>
      <c r="J61" s="54" t="s">
        <v>63</v>
      </c>
      <c r="K61" s="51" t="s">
        <v>198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225</v>
      </c>
      <c r="S61" s="56" t="s">
        <v>227</v>
      </c>
      <c r="T61" s="56" t="s">
        <v>228</v>
      </c>
      <c r="U61" s="56" t="s">
        <v>230</v>
      </c>
      <c r="V61" s="56" t="s">
        <v>231</v>
      </c>
      <c r="W61" s="56" t="s">
        <v>232</v>
      </c>
      <c r="X61" s="54" t="s">
        <v>233</v>
      </c>
      <c r="Y61" s="54" t="s">
        <v>234</v>
      </c>
      <c r="Z61" s="51"/>
      <c r="AA61" s="51" t="s">
        <v>257</v>
      </c>
      <c r="AB61" s="51" t="s">
        <v>258</v>
      </c>
    </row>
    <row r="62" spans="1:28" ht="20.100000000000001" hidden="1" customHeight="1" x14ac:dyDescent="0.25">
      <c r="A62" s="54" t="s">
        <v>282</v>
      </c>
      <c r="B62" s="51" t="s">
        <v>63</v>
      </c>
      <c r="C62" s="54" t="s">
        <v>274</v>
      </c>
      <c r="D62" s="54">
        <v>6767</v>
      </c>
      <c r="E62" s="54" t="s">
        <v>260</v>
      </c>
      <c r="F62" s="54">
        <v>1</v>
      </c>
      <c r="G62" s="54" t="s">
        <v>261</v>
      </c>
      <c r="H62" s="54" t="s">
        <v>255</v>
      </c>
      <c r="I62" s="54" t="s">
        <v>63</v>
      </c>
      <c r="J62" s="54" t="s">
        <v>63</v>
      </c>
      <c r="K62" s="51" t="s">
        <v>198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225</v>
      </c>
      <c r="S62" s="51" t="s">
        <v>233</v>
      </c>
      <c r="T62" s="51" t="s">
        <v>234</v>
      </c>
      <c r="U62" s="51"/>
      <c r="V62" s="51"/>
      <c r="W62" s="51"/>
      <c r="X62" s="51"/>
      <c r="Y62" s="51"/>
      <c r="Z62" s="51"/>
      <c r="AA62" s="51" t="s">
        <v>257</v>
      </c>
      <c r="AB62" s="51" t="s">
        <v>258</v>
      </c>
    </row>
    <row r="63" spans="1:28" ht="20.100000000000001" hidden="1" customHeight="1" x14ac:dyDescent="0.25">
      <c r="A63" s="54" t="s">
        <v>283</v>
      </c>
      <c r="B63" s="51" t="s">
        <v>63</v>
      </c>
      <c r="C63" s="54" t="s">
        <v>274</v>
      </c>
      <c r="D63" s="54">
        <v>6768</v>
      </c>
      <c r="E63" s="54" t="s">
        <v>260</v>
      </c>
      <c r="F63" s="54">
        <v>1</v>
      </c>
      <c r="G63" s="54" t="s">
        <v>261</v>
      </c>
      <c r="H63" s="54" t="s">
        <v>254</v>
      </c>
      <c r="I63" s="54" t="s">
        <v>63</v>
      </c>
      <c r="J63" s="54" t="s">
        <v>63</v>
      </c>
      <c r="K63" s="51" t="s">
        <v>198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225</v>
      </c>
      <c r="S63" s="56" t="s">
        <v>227</v>
      </c>
      <c r="T63" s="56" t="s">
        <v>228</v>
      </c>
      <c r="U63" s="56" t="s">
        <v>230</v>
      </c>
      <c r="V63" s="56" t="s">
        <v>231</v>
      </c>
      <c r="W63" s="56" t="s">
        <v>232</v>
      </c>
      <c r="X63" s="54" t="s">
        <v>233</v>
      </c>
      <c r="Y63" s="54" t="s">
        <v>234</v>
      </c>
      <c r="Z63" s="51"/>
      <c r="AA63" s="51" t="s">
        <v>257</v>
      </c>
      <c r="AB63" s="51" t="s">
        <v>258</v>
      </c>
    </row>
    <row r="64" spans="1:28" ht="20.100000000000001" hidden="1" customHeight="1" x14ac:dyDescent="0.25">
      <c r="A64" s="54" t="s">
        <v>284</v>
      </c>
      <c r="B64" s="51" t="s">
        <v>63</v>
      </c>
      <c r="C64" s="54" t="s">
        <v>275</v>
      </c>
      <c r="D64" s="54">
        <v>6763</v>
      </c>
      <c r="E64" s="54" t="s">
        <v>260</v>
      </c>
      <c r="F64" s="54">
        <v>1</v>
      </c>
      <c r="G64" s="54" t="s">
        <v>269</v>
      </c>
      <c r="H64" s="54" t="s">
        <v>254</v>
      </c>
      <c r="I64" s="54" t="s">
        <v>63</v>
      </c>
      <c r="J64" s="54" t="s">
        <v>63</v>
      </c>
      <c r="K64" s="51" t="s">
        <v>198</v>
      </c>
      <c r="L64" s="51" t="s">
        <v>473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225</v>
      </c>
      <c r="S64" s="56" t="s">
        <v>227</v>
      </c>
      <c r="T64" s="56" t="s">
        <v>228</v>
      </c>
      <c r="U64" s="56" t="s">
        <v>230</v>
      </c>
      <c r="V64" s="56" t="s">
        <v>231</v>
      </c>
      <c r="W64" s="56" t="s">
        <v>232</v>
      </c>
      <c r="X64" s="56" t="s">
        <v>233</v>
      </c>
      <c r="Y64" s="56" t="s">
        <v>234</v>
      </c>
      <c r="Z64" s="51"/>
      <c r="AA64" s="51" t="s">
        <v>334</v>
      </c>
      <c r="AB64" s="51"/>
    </row>
    <row r="65" spans="1:28" ht="20.100000000000001" hidden="1" customHeight="1" x14ac:dyDescent="0.25">
      <c r="A65" s="54" t="s">
        <v>285</v>
      </c>
      <c r="B65" s="51" t="s">
        <v>63</v>
      </c>
      <c r="C65" s="54" t="s">
        <v>275</v>
      </c>
      <c r="D65" s="54">
        <v>6729</v>
      </c>
      <c r="E65" s="54" t="s">
        <v>260</v>
      </c>
      <c r="F65" s="54">
        <v>1</v>
      </c>
      <c r="G65" s="54" t="s">
        <v>298</v>
      </c>
      <c r="H65" s="54" t="s">
        <v>255</v>
      </c>
      <c r="I65" s="54" t="s">
        <v>63</v>
      </c>
      <c r="J65" s="54" t="s">
        <v>63</v>
      </c>
      <c r="K65" s="51" t="s">
        <v>198</v>
      </c>
      <c r="L65" s="51" t="s">
        <v>474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225</v>
      </c>
      <c r="S65" s="51" t="s">
        <v>233</v>
      </c>
      <c r="T65" s="51" t="s">
        <v>234</v>
      </c>
      <c r="U65" s="51"/>
      <c r="V65" s="51"/>
      <c r="W65" s="51"/>
      <c r="X65" s="51"/>
      <c r="Y65" s="51"/>
      <c r="Z65" s="51"/>
      <c r="AA65" s="51" t="s">
        <v>124</v>
      </c>
      <c r="AB65" s="51" t="s">
        <v>258</v>
      </c>
    </row>
    <row r="66" spans="1:28" ht="20.100000000000001" hidden="1" customHeight="1" x14ac:dyDescent="0.25">
      <c r="A66" s="54" t="s">
        <v>286</v>
      </c>
      <c r="B66" s="51" t="s">
        <v>63</v>
      </c>
      <c r="C66" s="54" t="s">
        <v>276</v>
      </c>
      <c r="D66" s="54">
        <v>6733</v>
      </c>
      <c r="E66" s="54" t="s">
        <v>260</v>
      </c>
      <c r="F66" s="54">
        <v>1</v>
      </c>
      <c r="G66" s="54" t="s">
        <v>299</v>
      </c>
      <c r="H66" s="54" t="s">
        <v>255</v>
      </c>
      <c r="I66" s="54" t="s">
        <v>63</v>
      </c>
      <c r="J66" s="54" t="s">
        <v>63</v>
      </c>
      <c r="K66" s="51" t="s">
        <v>198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225</v>
      </c>
      <c r="S66" s="51" t="s">
        <v>233</v>
      </c>
      <c r="T66" s="51" t="s">
        <v>234</v>
      </c>
      <c r="U66" s="51"/>
      <c r="V66" s="51"/>
      <c r="W66" s="51"/>
      <c r="X66" s="51"/>
      <c r="Y66" s="51"/>
      <c r="Z66" s="51"/>
      <c r="AA66" s="51" t="s">
        <v>124</v>
      </c>
      <c r="AB66" s="51" t="s">
        <v>258</v>
      </c>
    </row>
    <row r="67" spans="1:28" ht="20.100000000000001" hidden="1" customHeight="1" x14ac:dyDescent="0.25">
      <c r="A67" s="54" t="s">
        <v>287</v>
      </c>
      <c r="B67" s="51" t="s">
        <v>63</v>
      </c>
      <c r="C67" s="54" t="s">
        <v>276</v>
      </c>
      <c r="D67" s="54">
        <v>6779</v>
      </c>
      <c r="E67" s="54" t="s">
        <v>260</v>
      </c>
      <c r="F67" s="54">
        <v>1</v>
      </c>
      <c r="G67" s="107">
        <v>2100</v>
      </c>
      <c r="H67" s="54" t="s">
        <v>254</v>
      </c>
      <c r="I67" s="54" t="s">
        <v>63</v>
      </c>
      <c r="J67" s="54" t="s">
        <v>63</v>
      </c>
      <c r="K67" s="51" t="s">
        <v>198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225</v>
      </c>
      <c r="S67" s="56" t="s">
        <v>227</v>
      </c>
      <c r="T67" s="56" t="s">
        <v>228</v>
      </c>
      <c r="U67" s="56" t="s">
        <v>230</v>
      </c>
      <c r="V67" s="56" t="s">
        <v>231</v>
      </c>
      <c r="W67" s="56" t="s">
        <v>232</v>
      </c>
      <c r="X67" s="54" t="s">
        <v>233</v>
      </c>
      <c r="Y67" s="54" t="s">
        <v>234</v>
      </c>
      <c r="Z67" s="51"/>
      <c r="AA67" s="51" t="s">
        <v>257</v>
      </c>
      <c r="AB67" s="51" t="s">
        <v>258</v>
      </c>
    </row>
    <row r="68" spans="1:28" ht="20.100000000000001" hidden="1" customHeight="1" x14ac:dyDescent="0.25">
      <c r="A68" s="54" t="s">
        <v>288</v>
      </c>
      <c r="B68" s="51" t="s">
        <v>63</v>
      </c>
      <c r="C68" s="54" t="s">
        <v>277</v>
      </c>
      <c r="D68" s="54">
        <v>6759</v>
      </c>
      <c r="E68" s="54" t="s">
        <v>260</v>
      </c>
      <c r="F68" s="54">
        <v>1</v>
      </c>
      <c r="G68" s="54" t="s">
        <v>269</v>
      </c>
      <c r="H68" s="54" t="s">
        <v>254</v>
      </c>
      <c r="I68" s="54" t="s">
        <v>63</v>
      </c>
      <c r="J68" s="54" t="s">
        <v>63</v>
      </c>
      <c r="K68" s="51" t="s">
        <v>198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225</v>
      </c>
      <c r="S68" s="56" t="s">
        <v>227</v>
      </c>
      <c r="T68" s="56" t="s">
        <v>228</v>
      </c>
      <c r="U68" s="56" t="s">
        <v>230</v>
      </c>
      <c r="V68" s="56" t="s">
        <v>231</v>
      </c>
      <c r="W68" s="56" t="s">
        <v>232</v>
      </c>
      <c r="X68" s="54" t="s">
        <v>233</v>
      </c>
      <c r="Y68" s="54" t="s">
        <v>234</v>
      </c>
      <c r="Z68" s="51"/>
      <c r="AA68" s="51" t="s">
        <v>257</v>
      </c>
      <c r="AB68" s="51"/>
    </row>
    <row r="69" spans="1:28" ht="20.100000000000001" hidden="1" customHeight="1" x14ac:dyDescent="0.25">
      <c r="A69" s="54" t="s">
        <v>289</v>
      </c>
      <c r="B69" s="51" t="s">
        <v>63</v>
      </c>
      <c r="C69" s="54" t="s">
        <v>277</v>
      </c>
      <c r="D69" s="54">
        <v>6754</v>
      </c>
      <c r="E69" s="54" t="s">
        <v>260</v>
      </c>
      <c r="F69" s="54">
        <v>1</v>
      </c>
      <c r="G69" s="54" t="s">
        <v>269</v>
      </c>
      <c r="H69" s="54" t="s">
        <v>254</v>
      </c>
      <c r="I69" s="54" t="s">
        <v>63</v>
      </c>
      <c r="J69" s="54" t="s">
        <v>63</v>
      </c>
      <c r="K69" s="51" t="s">
        <v>198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225</v>
      </c>
      <c r="S69" s="56" t="s">
        <v>227</v>
      </c>
      <c r="T69" s="56" t="s">
        <v>228</v>
      </c>
      <c r="U69" s="56" t="s">
        <v>230</v>
      </c>
      <c r="V69" s="56" t="s">
        <v>231</v>
      </c>
      <c r="W69" s="56" t="s">
        <v>232</v>
      </c>
      <c r="X69" s="54" t="s">
        <v>233</v>
      </c>
      <c r="Y69" s="54" t="s">
        <v>234</v>
      </c>
      <c r="Z69" s="51"/>
      <c r="AA69" s="51" t="s">
        <v>257</v>
      </c>
      <c r="AB69" s="51"/>
    </row>
    <row r="70" spans="1:28" ht="20.100000000000001" hidden="1" customHeight="1" x14ac:dyDescent="0.25">
      <c r="A70" s="54" t="s">
        <v>290</v>
      </c>
      <c r="B70" s="51" t="s">
        <v>63</v>
      </c>
      <c r="C70" s="54" t="s">
        <v>277</v>
      </c>
      <c r="D70" s="54">
        <v>6760</v>
      </c>
      <c r="E70" s="54" t="s">
        <v>260</v>
      </c>
      <c r="F70" s="54">
        <v>1</v>
      </c>
      <c r="G70" s="54" t="s">
        <v>269</v>
      </c>
      <c r="H70" s="54" t="s">
        <v>254</v>
      </c>
      <c r="I70" s="54" t="s">
        <v>63</v>
      </c>
      <c r="J70" s="54" t="s">
        <v>63</v>
      </c>
      <c r="K70" s="51" t="s">
        <v>198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225</v>
      </c>
      <c r="S70" s="56" t="s">
        <v>227</v>
      </c>
      <c r="T70" s="56" t="s">
        <v>228</v>
      </c>
      <c r="U70" s="56" t="s">
        <v>230</v>
      </c>
      <c r="V70" s="56" t="s">
        <v>231</v>
      </c>
      <c r="W70" s="56" t="s">
        <v>232</v>
      </c>
      <c r="X70" s="54" t="s">
        <v>233</v>
      </c>
      <c r="Y70" s="54" t="s">
        <v>234</v>
      </c>
      <c r="Z70" s="51"/>
      <c r="AA70" s="51" t="s">
        <v>257</v>
      </c>
      <c r="AB70" s="51"/>
    </row>
    <row r="71" spans="1:28" ht="20.100000000000001" hidden="1" customHeight="1" x14ac:dyDescent="0.25">
      <c r="A71" s="54" t="s">
        <v>291</v>
      </c>
      <c r="B71" s="51" t="s">
        <v>63</v>
      </c>
      <c r="C71" s="54" t="s">
        <v>277</v>
      </c>
      <c r="D71" s="54">
        <v>6755</v>
      </c>
      <c r="E71" s="54" t="s">
        <v>260</v>
      </c>
      <c r="F71" s="54">
        <v>1</v>
      </c>
      <c r="G71" s="54" t="s">
        <v>269</v>
      </c>
      <c r="H71" s="54" t="s">
        <v>254</v>
      </c>
      <c r="I71" s="54" t="s">
        <v>63</v>
      </c>
      <c r="J71" s="54" t="s">
        <v>63</v>
      </c>
      <c r="K71" s="51" t="s">
        <v>198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225</v>
      </c>
      <c r="S71" s="56" t="s">
        <v>227</v>
      </c>
      <c r="T71" s="56" t="s">
        <v>228</v>
      </c>
      <c r="U71" s="56" t="s">
        <v>230</v>
      </c>
      <c r="V71" s="56" t="s">
        <v>231</v>
      </c>
      <c r="W71" s="56" t="s">
        <v>232</v>
      </c>
      <c r="X71" s="54" t="s">
        <v>233</v>
      </c>
      <c r="Y71" s="54" t="s">
        <v>234</v>
      </c>
      <c r="Z71" s="51"/>
      <c r="AA71" s="51" t="s">
        <v>257</v>
      </c>
      <c r="AB71" s="51"/>
    </row>
    <row r="72" spans="1:28" ht="20.100000000000001" hidden="1" customHeight="1" x14ac:dyDescent="0.25">
      <c r="A72" s="54" t="s">
        <v>292</v>
      </c>
      <c r="B72" s="51" t="s">
        <v>63</v>
      </c>
      <c r="C72" s="54" t="s">
        <v>277</v>
      </c>
      <c r="D72" s="54">
        <v>6758</v>
      </c>
      <c r="E72" s="54" t="s">
        <v>260</v>
      </c>
      <c r="F72" s="54">
        <v>1</v>
      </c>
      <c r="G72" s="54" t="s">
        <v>269</v>
      </c>
      <c r="H72" s="54" t="s">
        <v>254</v>
      </c>
      <c r="I72" s="54" t="s">
        <v>63</v>
      </c>
      <c r="J72" s="54" t="s">
        <v>63</v>
      </c>
      <c r="K72" s="51" t="s">
        <v>198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225</v>
      </c>
      <c r="S72" s="56" t="s">
        <v>227</v>
      </c>
      <c r="T72" s="56" t="s">
        <v>228</v>
      </c>
      <c r="U72" s="56" t="s">
        <v>230</v>
      </c>
      <c r="V72" s="56" t="s">
        <v>231</v>
      </c>
      <c r="W72" s="56" t="s">
        <v>232</v>
      </c>
      <c r="X72" s="54" t="s">
        <v>233</v>
      </c>
      <c r="Y72" s="54" t="s">
        <v>234</v>
      </c>
      <c r="Z72" s="51"/>
      <c r="AA72" s="51" t="s">
        <v>257</v>
      </c>
      <c r="AB72" s="51"/>
    </row>
    <row r="73" spans="1:28" ht="20.100000000000001" hidden="1" customHeight="1" x14ac:dyDescent="0.25">
      <c r="A73" s="54" t="s">
        <v>293</v>
      </c>
      <c r="B73" s="51" t="s">
        <v>63</v>
      </c>
      <c r="C73" s="54" t="s">
        <v>277</v>
      </c>
      <c r="D73" s="54">
        <v>6757</v>
      </c>
      <c r="E73" s="54" t="s">
        <v>260</v>
      </c>
      <c r="F73" s="54">
        <v>1</v>
      </c>
      <c r="G73" s="54" t="s">
        <v>269</v>
      </c>
      <c r="H73" s="54" t="s">
        <v>254</v>
      </c>
      <c r="I73" s="54" t="s">
        <v>63</v>
      </c>
      <c r="J73" s="54" t="s">
        <v>63</v>
      </c>
      <c r="K73" s="51" t="s">
        <v>198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225</v>
      </c>
      <c r="S73" s="56" t="s">
        <v>227</v>
      </c>
      <c r="T73" s="56" t="s">
        <v>228</v>
      </c>
      <c r="U73" s="56" t="s">
        <v>230</v>
      </c>
      <c r="V73" s="56" t="s">
        <v>231</v>
      </c>
      <c r="W73" s="56" t="s">
        <v>232</v>
      </c>
      <c r="X73" s="54" t="s">
        <v>233</v>
      </c>
      <c r="Y73" s="54" t="s">
        <v>234</v>
      </c>
      <c r="Z73" s="51"/>
      <c r="AA73" s="51" t="s">
        <v>257</v>
      </c>
      <c r="AB73" s="51"/>
    </row>
    <row r="74" spans="1:28" ht="20.100000000000001" hidden="1" customHeight="1" x14ac:dyDescent="0.25">
      <c r="A74" s="54" t="s">
        <v>294</v>
      </c>
      <c r="B74" s="51" t="s">
        <v>63</v>
      </c>
      <c r="C74" s="54" t="s">
        <v>277</v>
      </c>
      <c r="D74" s="54">
        <v>6753</v>
      </c>
      <c r="E74" s="54" t="s">
        <v>260</v>
      </c>
      <c r="F74" s="54">
        <v>1</v>
      </c>
      <c r="G74" s="54" t="s">
        <v>261</v>
      </c>
      <c r="H74" s="54" t="s">
        <v>254</v>
      </c>
      <c r="I74" s="54" t="s">
        <v>63</v>
      </c>
      <c r="J74" s="54" t="s">
        <v>63</v>
      </c>
      <c r="K74" s="51" t="s">
        <v>198</v>
      </c>
      <c r="L74" s="51" t="s">
        <v>477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225</v>
      </c>
      <c r="S74" s="56" t="s">
        <v>227</v>
      </c>
      <c r="T74" s="56" t="s">
        <v>228</v>
      </c>
      <c r="U74" s="56" t="s">
        <v>230</v>
      </c>
      <c r="V74" s="56" t="s">
        <v>231</v>
      </c>
      <c r="W74" s="56" t="s">
        <v>232</v>
      </c>
      <c r="X74" s="54" t="s">
        <v>233</v>
      </c>
      <c r="Y74" s="54" t="s">
        <v>234</v>
      </c>
      <c r="Z74" s="51"/>
      <c r="AA74" s="51" t="s">
        <v>257</v>
      </c>
      <c r="AB74" s="51"/>
    </row>
    <row r="75" spans="1:28" ht="20.100000000000001" hidden="1" customHeight="1" x14ac:dyDescent="0.25">
      <c r="A75" s="54" t="s">
        <v>295</v>
      </c>
      <c r="B75" s="51" t="s">
        <v>63</v>
      </c>
      <c r="C75" s="54" t="s">
        <v>277</v>
      </c>
      <c r="D75" s="54">
        <v>6756</v>
      </c>
      <c r="E75" s="54" t="s">
        <v>260</v>
      </c>
      <c r="F75" s="54">
        <v>1</v>
      </c>
      <c r="G75" s="54" t="s">
        <v>261</v>
      </c>
      <c r="H75" s="54" t="s">
        <v>254</v>
      </c>
      <c r="I75" s="54" t="s">
        <v>63</v>
      </c>
      <c r="J75" s="54" t="s">
        <v>63</v>
      </c>
      <c r="K75" s="51" t="s">
        <v>198</v>
      </c>
      <c r="L75" s="51" t="s">
        <v>478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225</v>
      </c>
      <c r="S75" s="56" t="s">
        <v>227</v>
      </c>
      <c r="T75" s="56" t="s">
        <v>228</v>
      </c>
      <c r="U75" s="56" t="s">
        <v>230</v>
      </c>
      <c r="V75" s="56" t="s">
        <v>231</v>
      </c>
      <c r="W75" s="56" t="s">
        <v>232</v>
      </c>
      <c r="X75" s="54" t="s">
        <v>233</v>
      </c>
      <c r="Y75" s="54" t="s">
        <v>234</v>
      </c>
      <c r="Z75" s="51"/>
      <c r="AA75" s="51" t="s">
        <v>257</v>
      </c>
      <c r="AB75" s="51"/>
    </row>
    <row r="76" spans="1:28" ht="20.100000000000001" hidden="1" customHeight="1" x14ac:dyDescent="0.25">
      <c r="A76" s="54" t="s">
        <v>296</v>
      </c>
      <c r="B76" s="51" t="s">
        <v>63</v>
      </c>
      <c r="C76" s="54" t="s">
        <v>277</v>
      </c>
      <c r="D76" s="54" t="s">
        <v>211</v>
      </c>
      <c r="E76" s="54" t="s">
        <v>260</v>
      </c>
      <c r="F76" s="54">
        <v>1</v>
      </c>
      <c r="G76" s="54" t="s">
        <v>261</v>
      </c>
      <c r="H76" s="54" t="s">
        <v>255</v>
      </c>
      <c r="I76" s="54" t="s">
        <v>63</v>
      </c>
      <c r="J76" s="54" t="s">
        <v>63</v>
      </c>
      <c r="K76" s="51" t="s">
        <v>198</v>
      </c>
      <c r="L76" s="51" t="s">
        <v>479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225</v>
      </c>
      <c r="S76" s="51" t="s">
        <v>233</v>
      </c>
      <c r="T76" s="51" t="s">
        <v>234</v>
      </c>
      <c r="U76" s="51"/>
      <c r="V76" s="51"/>
      <c r="W76" s="51"/>
      <c r="X76" s="51"/>
      <c r="Y76" s="51"/>
      <c r="Z76" s="51"/>
      <c r="AA76" s="51" t="s">
        <v>124</v>
      </c>
      <c r="AB76" s="51" t="s">
        <v>379</v>
      </c>
    </row>
    <row r="77" spans="1:28" ht="20.100000000000001" hidden="1" customHeight="1" x14ac:dyDescent="0.25">
      <c r="A77" s="54" t="s">
        <v>297</v>
      </c>
      <c r="B77" s="51" t="s">
        <v>63</v>
      </c>
      <c r="C77" s="54" t="s">
        <v>277</v>
      </c>
      <c r="D77" s="54">
        <v>6730</v>
      </c>
      <c r="E77" s="54" t="s">
        <v>260</v>
      </c>
      <c r="F77" s="54">
        <v>1</v>
      </c>
      <c r="G77" s="54" t="s">
        <v>269</v>
      </c>
      <c r="H77" s="54" t="s">
        <v>254</v>
      </c>
      <c r="I77" s="54" t="s">
        <v>63</v>
      </c>
      <c r="J77" s="54" t="s">
        <v>63</v>
      </c>
      <c r="K77" s="51" t="s">
        <v>198</v>
      </c>
      <c r="L77" s="51" t="s">
        <v>480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225</v>
      </c>
      <c r="S77" s="56" t="s">
        <v>227</v>
      </c>
      <c r="T77" s="56" t="s">
        <v>228</v>
      </c>
      <c r="U77" s="56" t="s">
        <v>230</v>
      </c>
      <c r="V77" s="56" t="s">
        <v>231</v>
      </c>
      <c r="W77" s="56" t="s">
        <v>232</v>
      </c>
      <c r="X77" s="54" t="s">
        <v>233</v>
      </c>
      <c r="Y77" s="54" t="s">
        <v>234</v>
      </c>
      <c r="Z77" s="51"/>
      <c r="AA77" s="51" t="s">
        <v>257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260</v>
      </c>
      <c r="F78" s="54">
        <v>1</v>
      </c>
      <c r="G78" s="108" t="s">
        <v>377</v>
      </c>
      <c r="H78" s="51" t="s">
        <v>253</v>
      </c>
      <c r="I78" s="51" t="s">
        <v>380</v>
      </c>
      <c r="J78" s="108" t="s">
        <v>205</v>
      </c>
      <c r="K78" s="51" t="s">
        <v>210</v>
      </c>
      <c r="L78" s="108">
        <v>121</v>
      </c>
      <c r="M78" s="51" t="s">
        <v>63</v>
      </c>
      <c r="N78" s="51" t="s">
        <v>63</v>
      </c>
      <c r="O78" s="109">
        <v>46400</v>
      </c>
      <c r="P78" s="77" t="s">
        <v>58</v>
      </c>
      <c r="Q78" s="51" t="s">
        <v>58</v>
      </c>
      <c r="R78" s="51" t="s">
        <v>378</v>
      </c>
      <c r="S78" s="51" t="s">
        <v>226</v>
      </c>
      <c r="T78" s="51" t="s">
        <v>225</v>
      </c>
      <c r="U78" s="51" t="s">
        <v>229</v>
      </c>
      <c r="V78" s="51"/>
      <c r="W78" s="51"/>
      <c r="X78" s="51"/>
      <c r="Y78" s="51"/>
      <c r="Z78" s="51"/>
      <c r="AA78" s="51" t="s">
        <v>201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260</v>
      </c>
      <c r="F79" s="54">
        <v>1</v>
      </c>
      <c r="G79" s="108" t="s">
        <v>377</v>
      </c>
      <c r="H79" s="51" t="s">
        <v>253</v>
      </c>
      <c r="I79" s="51" t="s">
        <v>381</v>
      </c>
      <c r="J79" s="108" t="s">
        <v>205</v>
      </c>
      <c r="K79" s="51" t="s">
        <v>210</v>
      </c>
      <c r="L79" s="108">
        <v>103</v>
      </c>
      <c r="M79" s="51" t="s">
        <v>63</v>
      </c>
      <c r="N79" s="51" t="s">
        <v>63</v>
      </c>
      <c r="O79" s="109">
        <v>46402</v>
      </c>
      <c r="P79" s="51" t="s">
        <v>58</v>
      </c>
      <c r="Q79" s="51" t="s">
        <v>58</v>
      </c>
      <c r="R79" s="51" t="s">
        <v>378</v>
      </c>
      <c r="S79" s="51" t="s">
        <v>226</v>
      </c>
      <c r="T79" s="51" t="s">
        <v>225</v>
      </c>
      <c r="U79" s="51" t="s">
        <v>229</v>
      </c>
      <c r="V79" s="51"/>
      <c r="W79" s="51"/>
      <c r="X79" s="51"/>
      <c r="Y79" s="51"/>
      <c r="Z79" s="51"/>
      <c r="AA79" s="51" t="s">
        <v>201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260</v>
      </c>
      <c r="F80" s="54">
        <v>1</v>
      </c>
      <c r="G80" s="108" t="s">
        <v>264</v>
      </c>
      <c r="H80" s="51" t="s">
        <v>253</v>
      </c>
      <c r="I80" s="51" t="s">
        <v>380</v>
      </c>
      <c r="J80" s="108" t="s">
        <v>206</v>
      </c>
      <c r="K80" s="51" t="s">
        <v>210</v>
      </c>
      <c r="L80" s="108">
        <v>128</v>
      </c>
      <c r="M80" s="51" t="s">
        <v>63</v>
      </c>
      <c r="N80" s="51" t="s">
        <v>63</v>
      </c>
      <c r="O80" s="109">
        <v>46402</v>
      </c>
      <c r="P80" s="51" t="s">
        <v>58</v>
      </c>
      <c r="Q80" s="51" t="s">
        <v>58</v>
      </c>
      <c r="R80" s="51" t="s">
        <v>378</v>
      </c>
      <c r="S80" s="51" t="s">
        <v>226</v>
      </c>
      <c r="T80" s="51" t="s">
        <v>225</v>
      </c>
      <c r="U80" s="51" t="s">
        <v>229</v>
      </c>
      <c r="V80" s="51"/>
      <c r="W80" s="51"/>
      <c r="X80" s="51"/>
      <c r="Y80" s="51"/>
      <c r="Z80" s="51"/>
      <c r="AA80" s="51" t="s">
        <v>201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260</v>
      </c>
      <c r="F81" s="54">
        <v>1</v>
      </c>
      <c r="G81" s="108" t="s">
        <v>264</v>
      </c>
      <c r="H81" s="51" t="s">
        <v>253</v>
      </c>
      <c r="I81" s="51" t="s">
        <v>381</v>
      </c>
      <c r="J81" s="108" t="s">
        <v>206</v>
      </c>
      <c r="K81" s="51" t="s">
        <v>210</v>
      </c>
      <c r="L81" s="108">
        <v>127</v>
      </c>
      <c r="M81" s="51" t="s">
        <v>63</v>
      </c>
      <c r="N81" s="51" t="s">
        <v>63</v>
      </c>
      <c r="O81" s="109">
        <v>46400</v>
      </c>
      <c r="P81" s="51" t="s">
        <v>58</v>
      </c>
      <c r="Q81" s="51" t="s">
        <v>58</v>
      </c>
      <c r="R81" s="51" t="s">
        <v>378</v>
      </c>
      <c r="S81" s="51" t="s">
        <v>226</v>
      </c>
      <c r="T81" s="51" t="s">
        <v>225</v>
      </c>
      <c r="U81" s="51" t="s">
        <v>229</v>
      </c>
      <c r="V81" s="51"/>
      <c r="W81" s="51"/>
      <c r="X81" s="51"/>
      <c r="Y81" s="51"/>
      <c r="Z81" s="51"/>
      <c r="AA81" s="51" t="s">
        <v>201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260</v>
      </c>
      <c r="F82" s="54">
        <v>1</v>
      </c>
      <c r="G82" s="108" t="s">
        <v>264</v>
      </c>
      <c r="H82" s="51" t="s">
        <v>254</v>
      </c>
      <c r="I82" s="51" t="s">
        <v>382</v>
      </c>
      <c r="J82" s="108" t="s">
        <v>206</v>
      </c>
      <c r="K82" s="51" t="s">
        <v>198</v>
      </c>
      <c r="L82" s="108" t="s">
        <v>373</v>
      </c>
      <c r="M82" s="51"/>
      <c r="N82" s="51"/>
      <c r="O82" s="109">
        <v>46329</v>
      </c>
      <c r="P82" s="51" t="s">
        <v>58</v>
      </c>
      <c r="Q82" s="51" t="s">
        <v>58</v>
      </c>
      <c r="R82" s="54" t="s">
        <v>225</v>
      </c>
      <c r="S82" s="54" t="s">
        <v>227</v>
      </c>
      <c r="T82" s="54" t="s">
        <v>228</v>
      </c>
      <c r="U82" s="54" t="s">
        <v>230</v>
      </c>
      <c r="V82" s="54" t="s">
        <v>231</v>
      </c>
      <c r="W82" s="54" t="s">
        <v>232</v>
      </c>
      <c r="X82" s="54" t="s">
        <v>233</v>
      </c>
      <c r="Y82" s="54" t="s">
        <v>234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260</v>
      </c>
      <c r="F83" s="54">
        <v>1</v>
      </c>
      <c r="G83" s="108" t="s">
        <v>264</v>
      </c>
      <c r="H83" s="51" t="s">
        <v>253</v>
      </c>
      <c r="I83" s="51" t="s">
        <v>380</v>
      </c>
      <c r="J83" s="108" t="s">
        <v>207</v>
      </c>
      <c r="K83" s="51" t="s">
        <v>210</v>
      </c>
      <c r="L83" s="108">
        <v>125</v>
      </c>
      <c r="M83" s="51" t="s">
        <v>63</v>
      </c>
      <c r="N83" s="51" t="s">
        <v>63</v>
      </c>
      <c r="O83" s="109">
        <v>46401</v>
      </c>
      <c r="P83" s="51" t="s">
        <v>58</v>
      </c>
      <c r="Q83" s="51" t="s">
        <v>58</v>
      </c>
      <c r="R83" s="51" t="s">
        <v>378</v>
      </c>
      <c r="S83" s="51" t="s">
        <v>226</v>
      </c>
      <c r="T83" s="51" t="s">
        <v>225</v>
      </c>
      <c r="U83" s="51" t="s">
        <v>229</v>
      </c>
      <c r="V83" s="51"/>
      <c r="W83" s="51"/>
      <c r="X83" s="51"/>
      <c r="Y83" s="51"/>
      <c r="Z83" s="51"/>
      <c r="AA83" s="51" t="s">
        <v>201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260</v>
      </c>
      <c r="F84" s="54">
        <v>1</v>
      </c>
      <c r="G84" s="108" t="s">
        <v>264</v>
      </c>
      <c r="H84" s="51" t="s">
        <v>253</v>
      </c>
      <c r="I84" s="51" t="s">
        <v>381</v>
      </c>
      <c r="J84" s="108" t="s">
        <v>207</v>
      </c>
      <c r="K84" s="51" t="s">
        <v>210</v>
      </c>
      <c r="L84" s="108" t="s">
        <v>374</v>
      </c>
      <c r="M84" s="51" t="s">
        <v>63</v>
      </c>
      <c r="N84" s="51" t="s">
        <v>63</v>
      </c>
      <c r="O84" s="109">
        <v>46408</v>
      </c>
      <c r="P84" s="51" t="s">
        <v>58</v>
      </c>
      <c r="Q84" s="51" t="s">
        <v>58</v>
      </c>
      <c r="R84" s="51" t="s">
        <v>378</v>
      </c>
      <c r="S84" s="51" t="s">
        <v>226</v>
      </c>
      <c r="T84" s="51" t="s">
        <v>225</v>
      </c>
      <c r="U84" s="51" t="s">
        <v>229</v>
      </c>
      <c r="V84" s="51"/>
      <c r="W84" s="51"/>
      <c r="X84" s="51"/>
      <c r="Y84" s="51"/>
      <c r="Z84" s="51"/>
      <c r="AA84" s="51" t="s">
        <v>201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260</v>
      </c>
      <c r="F85" s="54">
        <v>1</v>
      </c>
      <c r="G85" s="108" t="s">
        <v>264</v>
      </c>
      <c r="H85" s="51" t="s">
        <v>253</v>
      </c>
      <c r="I85" s="51" t="s">
        <v>382</v>
      </c>
      <c r="J85" s="108" t="s">
        <v>207</v>
      </c>
      <c r="K85" s="51" t="s">
        <v>198</v>
      </c>
      <c r="L85" s="108">
        <v>119</v>
      </c>
      <c r="M85" s="51"/>
      <c r="N85" s="51"/>
      <c r="O85" s="109">
        <v>46233</v>
      </c>
      <c r="P85" s="51" t="s">
        <v>56</v>
      </c>
      <c r="Q85" s="51" t="s">
        <v>56</v>
      </c>
      <c r="R85" s="53" t="s">
        <v>225</v>
      </c>
      <c r="S85" s="53" t="s">
        <v>228</v>
      </c>
      <c r="T85" s="102" t="s">
        <v>229</v>
      </c>
      <c r="U85" s="51" t="s">
        <v>233</v>
      </c>
      <c r="V85" s="51" t="s">
        <v>234</v>
      </c>
      <c r="W85" s="51"/>
      <c r="X85" s="51"/>
      <c r="Y85" s="51"/>
      <c r="Z85" s="51"/>
      <c r="AA85" s="51" t="s">
        <v>203</v>
      </c>
      <c r="AB85" s="51" t="s">
        <v>379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260</v>
      </c>
      <c r="F86" s="54">
        <v>1</v>
      </c>
      <c r="G86" s="108" t="s">
        <v>264</v>
      </c>
      <c r="H86" s="51" t="s">
        <v>253</v>
      </c>
      <c r="I86" s="51" t="s">
        <v>380</v>
      </c>
      <c r="J86" s="108" t="s">
        <v>208</v>
      </c>
      <c r="K86" s="51" t="s">
        <v>210</v>
      </c>
      <c r="L86" s="108">
        <v>110</v>
      </c>
      <c r="M86" s="51" t="s">
        <v>63</v>
      </c>
      <c r="N86" s="51" t="s">
        <v>63</v>
      </c>
      <c r="O86" s="109">
        <v>46409</v>
      </c>
      <c r="P86" s="51" t="s">
        <v>58</v>
      </c>
      <c r="Q86" s="51" t="s">
        <v>58</v>
      </c>
      <c r="R86" s="51" t="s">
        <v>378</v>
      </c>
      <c r="S86" s="51" t="s">
        <v>226</v>
      </c>
      <c r="T86" s="51" t="s">
        <v>225</v>
      </c>
      <c r="U86" s="51" t="s">
        <v>229</v>
      </c>
      <c r="V86" s="51"/>
      <c r="W86" s="51"/>
      <c r="X86" s="51"/>
      <c r="Y86" s="51"/>
      <c r="Z86" s="51"/>
      <c r="AA86" s="51" t="s">
        <v>201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260</v>
      </c>
      <c r="F87" s="54">
        <v>1</v>
      </c>
      <c r="G87" s="108" t="s">
        <v>264</v>
      </c>
      <c r="H87" s="51" t="s">
        <v>253</v>
      </c>
      <c r="I87" s="51" t="s">
        <v>381</v>
      </c>
      <c r="J87" s="108" t="s">
        <v>208</v>
      </c>
      <c r="K87" s="51" t="s">
        <v>210</v>
      </c>
      <c r="L87" s="108">
        <v>111</v>
      </c>
      <c r="M87" s="51" t="s">
        <v>63</v>
      </c>
      <c r="N87" s="51" t="s">
        <v>63</v>
      </c>
      <c r="O87" s="109">
        <v>46713</v>
      </c>
      <c r="P87" s="51" t="s">
        <v>58</v>
      </c>
      <c r="Q87" s="51" t="s">
        <v>58</v>
      </c>
      <c r="R87" s="51" t="s">
        <v>378</v>
      </c>
      <c r="S87" s="51" t="s">
        <v>226</v>
      </c>
      <c r="T87" s="51" t="s">
        <v>225</v>
      </c>
      <c r="U87" s="51" t="s">
        <v>229</v>
      </c>
      <c r="V87" s="51"/>
      <c r="W87" s="51"/>
      <c r="X87" s="51"/>
      <c r="Y87" s="51"/>
      <c r="Z87" s="51"/>
      <c r="AA87" s="51" t="s">
        <v>201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260</v>
      </c>
      <c r="F88" s="54">
        <v>1</v>
      </c>
      <c r="G88" s="108" t="s">
        <v>264</v>
      </c>
      <c r="H88" s="51" t="s">
        <v>253</v>
      </c>
      <c r="I88" s="51" t="s">
        <v>382</v>
      </c>
      <c r="J88" s="108" t="s">
        <v>208</v>
      </c>
      <c r="K88" s="51" t="s">
        <v>198</v>
      </c>
      <c r="L88" s="108">
        <v>109</v>
      </c>
      <c r="M88" s="51"/>
      <c r="N88" s="51"/>
      <c r="O88" s="109">
        <v>46598</v>
      </c>
      <c r="P88" s="51" t="s">
        <v>56</v>
      </c>
      <c r="Q88" s="51" t="s">
        <v>56</v>
      </c>
      <c r="R88" s="53" t="s">
        <v>225</v>
      </c>
      <c r="S88" s="53" t="s">
        <v>228</v>
      </c>
      <c r="T88" s="102" t="s">
        <v>229</v>
      </c>
      <c r="U88" s="51" t="s">
        <v>233</v>
      </c>
      <c r="V88" s="51" t="s">
        <v>234</v>
      </c>
      <c r="W88" s="51"/>
      <c r="X88" s="51"/>
      <c r="Y88" s="51"/>
      <c r="Z88" s="51"/>
      <c r="AA88" s="51" t="s">
        <v>203</v>
      </c>
      <c r="AB88" s="51" t="s">
        <v>379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260</v>
      </c>
      <c r="F89" s="54">
        <v>1</v>
      </c>
      <c r="G89" s="108" t="s">
        <v>264</v>
      </c>
      <c r="H89" s="51" t="s">
        <v>253</v>
      </c>
      <c r="I89" s="51" t="s">
        <v>380</v>
      </c>
      <c r="J89" s="108" t="s">
        <v>209</v>
      </c>
      <c r="K89" s="51" t="s">
        <v>210</v>
      </c>
      <c r="L89" s="108">
        <v>115</v>
      </c>
      <c r="M89" s="51" t="s">
        <v>63</v>
      </c>
      <c r="N89" s="51" t="s">
        <v>63</v>
      </c>
      <c r="O89" s="109">
        <v>46412</v>
      </c>
      <c r="P89" s="51" t="s">
        <v>58</v>
      </c>
      <c r="Q89" s="51" t="s">
        <v>58</v>
      </c>
      <c r="R89" s="51" t="s">
        <v>378</v>
      </c>
      <c r="S89" s="51" t="s">
        <v>226</v>
      </c>
      <c r="T89" s="51" t="s">
        <v>225</v>
      </c>
      <c r="U89" s="51" t="s">
        <v>229</v>
      </c>
      <c r="V89" s="51"/>
      <c r="W89" s="51"/>
      <c r="X89" s="51"/>
      <c r="Y89" s="51"/>
      <c r="Z89" s="51"/>
      <c r="AA89" s="51" t="s">
        <v>201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260</v>
      </c>
      <c r="F90" s="54">
        <v>1</v>
      </c>
      <c r="G90" s="108" t="s">
        <v>264</v>
      </c>
      <c r="H90" s="51" t="s">
        <v>253</v>
      </c>
      <c r="I90" s="51" t="s">
        <v>381</v>
      </c>
      <c r="J90" s="108" t="s">
        <v>209</v>
      </c>
      <c r="K90" s="51" t="s">
        <v>210</v>
      </c>
      <c r="L90" s="108" t="s">
        <v>375</v>
      </c>
      <c r="M90" s="51" t="s">
        <v>63</v>
      </c>
      <c r="N90" s="51" t="s">
        <v>63</v>
      </c>
      <c r="O90" s="109">
        <v>46413</v>
      </c>
      <c r="P90" s="51" t="s">
        <v>58</v>
      </c>
      <c r="Q90" s="51" t="s">
        <v>58</v>
      </c>
      <c r="R90" s="51" t="s">
        <v>378</v>
      </c>
      <c r="S90" s="51" t="s">
        <v>226</v>
      </c>
      <c r="T90" s="51" t="s">
        <v>225</v>
      </c>
      <c r="U90" s="51" t="s">
        <v>229</v>
      </c>
      <c r="V90" s="51"/>
      <c r="W90" s="51"/>
      <c r="X90" s="51"/>
      <c r="Y90" s="51"/>
      <c r="Z90" s="51"/>
      <c r="AA90" s="51" t="s">
        <v>201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260</v>
      </c>
      <c r="F91" s="54">
        <v>1</v>
      </c>
      <c r="G91" s="108" t="s">
        <v>264</v>
      </c>
      <c r="H91" s="51" t="s">
        <v>253</v>
      </c>
      <c r="I91" s="51" t="s">
        <v>382</v>
      </c>
      <c r="J91" s="108" t="s">
        <v>209</v>
      </c>
      <c r="K91" s="51" t="s">
        <v>198</v>
      </c>
      <c r="L91" s="108">
        <v>114</v>
      </c>
      <c r="M91" s="51"/>
      <c r="N91" s="51"/>
      <c r="O91" s="109">
        <v>46233</v>
      </c>
      <c r="P91" s="51" t="s">
        <v>56</v>
      </c>
      <c r="Q91" s="51" t="s">
        <v>56</v>
      </c>
      <c r="R91" s="53" t="s">
        <v>225</v>
      </c>
      <c r="S91" s="53" t="s">
        <v>228</v>
      </c>
      <c r="T91" s="102" t="s">
        <v>229</v>
      </c>
      <c r="U91" s="51" t="s">
        <v>233</v>
      </c>
      <c r="V91" s="51" t="s">
        <v>234</v>
      </c>
      <c r="W91" s="51"/>
      <c r="X91" s="51"/>
      <c r="Y91" s="51"/>
      <c r="Z91" s="51"/>
      <c r="AA91" s="51" t="s">
        <v>203</v>
      </c>
      <c r="AB91" s="51" t="s">
        <v>379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260</v>
      </c>
      <c r="F92" s="54">
        <v>1</v>
      </c>
      <c r="G92" s="108" t="s">
        <v>377</v>
      </c>
      <c r="H92" s="51" t="s">
        <v>253</v>
      </c>
      <c r="I92" s="51" t="s">
        <v>380</v>
      </c>
      <c r="J92" s="108" t="s">
        <v>249</v>
      </c>
      <c r="K92" s="51" t="s">
        <v>210</v>
      </c>
      <c r="L92" s="108">
        <v>129</v>
      </c>
      <c r="M92" s="51" t="s">
        <v>63</v>
      </c>
      <c r="N92" s="51" t="s">
        <v>63</v>
      </c>
      <c r="O92" s="109">
        <v>46414</v>
      </c>
      <c r="P92" s="51" t="s">
        <v>58</v>
      </c>
      <c r="Q92" s="51" t="s">
        <v>58</v>
      </c>
      <c r="R92" s="51" t="s">
        <v>378</v>
      </c>
      <c r="S92" s="51" t="s">
        <v>226</v>
      </c>
      <c r="T92" s="51" t="s">
        <v>225</v>
      </c>
      <c r="U92" s="51" t="s">
        <v>229</v>
      </c>
      <c r="V92" s="51"/>
      <c r="W92" s="51"/>
      <c r="X92" s="51"/>
      <c r="Y92" s="51"/>
      <c r="Z92" s="51"/>
      <c r="AA92" s="51" t="s">
        <v>201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260</v>
      </c>
      <c r="F93" s="54">
        <v>1</v>
      </c>
      <c r="G93" s="108" t="s">
        <v>377</v>
      </c>
      <c r="H93" s="51" t="s">
        <v>253</v>
      </c>
      <c r="I93" s="51" t="s">
        <v>381</v>
      </c>
      <c r="J93" s="108" t="s">
        <v>249</v>
      </c>
      <c r="K93" s="51" t="s">
        <v>210</v>
      </c>
      <c r="L93" s="108">
        <v>123</v>
      </c>
      <c r="M93" s="51" t="s">
        <v>63</v>
      </c>
      <c r="N93" s="51" t="s">
        <v>63</v>
      </c>
      <c r="O93" s="109">
        <v>46414</v>
      </c>
      <c r="P93" s="51" t="s">
        <v>58</v>
      </c>
      <c r="Q93" s="51" t="s">
        <v>58</v>
      </c>
      <c r="R93" s="51" t="s">
        <v>378</v>
      </c>
      <c r="S93" s="51" t="s">
        <v>226</v>
      </c>
      <c r="T93" s="51" t="s">
        <v>225</v>
      </c>
      <c r="U93" s="51" t="s">
        <v>229</v>
      </c>
      <c r="V93" s="51"/>
      <c r="W93" s="51"/>
      <c r="X93" s="51"/>
      <c r="Y93" s="51"/>
      <c r="Z93" s="51"/>
      <c r="AA93" s="51" t="s">
        <v>201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260</v>
      </c>
      <c r="F94" s="54">
        <v>1</v>
      </c>
      <c r="G94" s="108" t="s">
        <v>264</v>
      </c>
      <c r="H94" s="51" t="s">
        <v>253</v>
      </c>
      <c r="I94" s="51" t="s">
        <v>382</v>
      </c>
      <c r="J94" s="108" t="s">
        <v>249</v>
      </c>
      <c r="K94" s="51" t="s">
        <v>210</v>
      </c>
      <c r="L94" s="108" t="s">
        <v>376</v>
      </c>
      <c r="M94" s="51" t="s">
        <v>63</v>
      </c>
      <c r="N94" s="51" t="s">
        <v>63</v>
      </c>
      <c r="O94" s="109">
        <v>46414</v>
      </c>
      <c r="P94" s="51" t="s">
        <v>58</v>
      </c>
      <c r="Q94" s="51" t="s">
        <v>58</v>
      </c>
      <c r="R94" s="51" t="s">
        <v>378</v>
      </c>
      <c r="S94" s="51" t="s">
        <v>226</v>
      </c>
      <c r="T94" s="51" t="s">
        <v>225</v>
      </c>
      <c r="U94" s="51" t="s">
        <v>229</v>
      </c>
      <c r="V94" s="51"/>
      <c r="W94" s="51"/>
      <c r="X94" s="51"/>
      <c r="Y94" s="51"/>
      <c r="Z94" s="51"/>
      <c r="AA94" s="51" t="s">
        <v>201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487</v>
      </c>
      <c r="D95" s="51">
        <v>6859</v>
      </c>
      <c r="E95" s="54" t="s">
        <v>260</v>
      </c>
      <c r="F95" s="51">
        <v>1</v>
      </c>
      <c r="G95" s="51" t="s">
        <v>269</v>
      </c>
      <c r="H95" s="51" t="s">
        <v>254</v>
      </c>
      <c r="I95" s="51" t="s">
        <v>382</v>
      </c>
      <c r="J95" s="51" t="s">
        <v>63</v>
      </c>
      <c r="K95" s="51" t="s">
        <v>198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225</v>
      </c>
      <c r="S95" s="54" t="s">
        <v>227</v>
      </c>
      <c r="T95" s="54" t="s">
        <v>228</v>
      </c>
      <c r="U95" s="54" t="s">
        <v>230</v>
      </c>
      <c r="V95" s="54" t="s">
        <v>231</v>
      </c>
      <c r="W95" s="54" t="s">
        <v>232</v>
      </c>
      <c r="X95" s="54" t="s">
        <v>233</v>
      </c>
      <c r="Y95" s="54" t="s">
        <v>234</v>
      </c>
      <c r="Z95" s="51"/>
      <c r="AA95" s="51" t="s">
        <v>48</v>
      </c>
      <c r="AB95" s="83" t="s">
        <v>551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487</v>
      </c>
      <c r="D96" s="51">
        <v>6860</v>
      </c>
      <c r="E96" s="54" t="s">
        <v>260</v>
      </c>
      <c r="F96" s="51">
        <v>1</v>
      </c>
      <c r="G96" s="51" t="s">
        <v>269</v>
      </c>
      <c r="H96" s="51" t="s">
        <v>254</v>
      </c>
      <c r="I96" s="51" t="s">
        <v>382</v>
      </c>
      <c r="J96" s="51" t="s">
        <v>63</v>
      </c>
      <c r="K96" s="51" t="s">
        <v>198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225</v>
      </c>
      <c r="S96" s="54" t="s">
        <v>227</v>
      </c>
      <c r="T96" s="54" t="s">
        <v>228</v>
      </c>
      <c r="U96" s="54" t="s">
        <v>230</v>
      </c>
      <c r="V96" s="54" t="s">
        <v>231</v>
      </c>
      <c r="W96" s="54" t="s">
        <v>232</v>
      </c>
      <c r="X96" s="54" t="s">
        <v>233</v>
      </c>
      <c r="Y96" s="54" t="s">
        <v>234</v>
      </c>
      <c r="Z96" s="51"/>
      <c r="AA96" s="51" t="s">
        <v>48</v>
      </c>
      <c r="AB96" s="83" t="s">
        <v>551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487</v>
      </c>
      <c r="D97" s="51">
        <v>6861</v>
      </c>
      <c r="E97" s="54" t="s">
        <v>260</v>
      </c>
      <c r="F97" s="51">
        <v>1</v>
      </c>
      <c r="G97" s="51" t="s">
        <v>269</v>
      </c>
      <c r="H97" s="51" t="s">
        <v>254</v>
      </c>
      <c r="I97" s="51" t="s">
        <v>488</v>
      </c>
      <c r="J97" s="51" t="s">
        <v>63</v>
      </c>
      <c r="K97" s="51" t="s">
        <v>198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225</v>
      </c>
      <c r="S97" s="54" t="s">
        <v>227</v>
      </c>
      <c r="T97" s="54" t="s">
        <v>228</v>
      </c>
      <c r="U97" s="54" t="s">
        <v>230</v>
      </c>
      <c r="V97" s="54" t="s">
        <v>231</v>
      </c>
      <c r="W97" s="54" t="s">
        <v>232</v>
      </c>
      <c r="X97" s="54" t="s">
        <v>233</v>
      </c>
      <c r="Y97" s="54" t="s">
        <v>234</v>
      </c>
      <c r="Z97" s="51"/>
      <c r="AA97" s="51" t="s">
        <v>48</v>
      </c>
      <c r="AB97" s="83" t="s">
        <v>551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487</v>
      </c>
      <c r="D98" s="51">
        <v>6862</v>
      </c>
      <c r="E98" s="54" t="s">
        <v>260</v>
      </c>
      <c r="F98" s="51">
        <v>1</v>
      </c>
      <c r="G98" s="51" t="s">
        <v>269</v>
      </c>
      <c r="H98" s="51" t="s">
        <v>254</v>
      </c>
      <c r="I98" s="51" t="s">
        <v>488</v>
      </c>
      <c r="J98" s="51" t="s">
        <v>63</v>
      </c>
      <c r="K98" s="51" t="s">
        <v>198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225</v>
      </c>
      <c r="S98" s="54" t="s">
        <v>227</v>
      </c>
      <c r="T98" s="54" t="s">
        <v>228</v>
      </c>
      <c r="U98" s="54" t="s">
        <v>230</v>
      </c>
      <c r="V98" s="54" t="s">
        <v>231</v>
      </c>
      <c r="W98" s="54" t="s">
        <v>232</v>
      </c>
      <c r="X98" s="54" t="s">
        <v>233</v>
      </c>
      <c r="Y98" s="54" t="s">
        <v>234</v>
      </c>
      <c r="Z98" s="51"/>
      <c r="AA98" s="51" t="s">
        <v>48</v>
      </c>
      <c r="AB98" s="83" t="s">
        <v>551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487</v>
      </c>
      <c r="D99" s="51">
        <v>6863</v>
      </c>
      <c r="E99" s="54" t="s">
        <v>260</v>
      </c>
      <c r="F99" s="51">
        <v>1</v>
      </c>
      <c r="G99" s="51" t="s">
        <v>268</v>
      </c>
      <c r="H99" s="51" t="s">
        <v>254</v>
      </c>
      <c r="I99" s="51" t="s">
        <v>382</v>
      </c>
      <c r="J99" s="51" t="s">
        <v>63</v>
      </c>
      <c r="K99" s="51" t="s">
        <v>198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225</v>
      </c>
      <c r="S99" s="54" t="s">
        <v>227</v>
      </c>
      <c r="T99" s="54" t="s">
        <v>228</v>
      </c>
      <c r="U99" s="54" t="s">
        <v>230</v>
      </c>
      <c r="V99" s="54" t="s">
        <v>231</v>
      </c>
      <c r="W99" s="54" t="s">
        <v>232</v>
      </c>
      <c r="X99" s="54" t="s">
        <v>233</v>
      </c>
      <c r="Y99" s="54" t="s">
        <v>234</v>
      </c>
      <c r="Z99" s="51"/>
      <c r="AA99" s="51" t="s">
        <v>48</v>
      </c>
      <c r="AB99" s="83" t="s">
        <v>551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487</v>
      </c>
      <c r="D100" s="51">
        <v>6864</v>
      </c>
      <c r="E100" s="54" t="s">
        <v>260</v>
      </c>
      <c r="F100" s="51">
        <v>1</v>
      </c>
      <c r="G100" s="51" t="s">
        <v>264</v>
      </c>
      <c r="H100" s="51" t="s">
        <v>254</v>
      </c>
      <c r="I100" s="51" t="s">
        <v>382</v>
      </c>
      <c r="J100" s="51" t="s">
        <v>63</v>
      </c>
      <c r="K100" s="51" t="s">
        <v>198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225</v>
      </c>
      <c r="S100" s="54" t="s">
        <v>227</v>
      </c>
      <c r="T100" s="54" t="s">
        <v>228</v>
      </c>
      <c r="U100" s="54" t="s">
        <v>230</v>
      </c>
      <c r="V100" s="54" t="s">
        <v>231</v>
      </c>
      <c r="W100" s="54" t="s">
        <v>232</v>
      </c>
      <c r="X100" s="54" t="s">
        <v>233</v>
      </c>
      <c r="Y100" s="54" t="s">
        <v>234</v>
      </c>
      <c r="Z100" s="51"/>
      <c r="AA100" s="51" t="s">
        <v>48</v>
      </c>
      <c r="AB100" s="83" t="s">
        <v>551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487</v>
      </c>
      <c r="D101" s="51">
        <v>6865</v>
      </c>
      <c r="E101" s="54" t="s">
        <v>260</v>
      </c>
      <c r="F101" s="51">
        <v>1</v>
      </c>
      <c r="G101" s="51" t="s">
        <v>264</v>
      </c>
      <c r="H101" s="51" t="s">
        <v>254</v>
      </c>
      <c r="I101" s="51" t="s">
        <v>382</v>
      </c>
      <c r="J101" s="51" t="s">
        <v>63</v>
      </c>
      <c r="K101" s="51" t="s">
        <v>198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225</v>
      </c>
      <c r="S101" s="54" t="s">
        <v>227</v>
      </c>
      <c r="T101" s="54" t="s">
        <v>228</v>
      </c>
      <c r="U101" s="54" t="s">
        <v>230</v>
      </c>
      <c r="V101" s="54" t="s">
        <v>231</v>
      </c>
      <c r="W101" s="54" t="s">
        <v>232</v>
      </c>
      <c r="X101" s="54" t="s">
        <v>233</v>
      </c>
      <c r="Y101" s="54" t="s">
        <v>234</v>
      </c>
      <c r="Z101" s="51"/>
      <c r="AA101" s="51" t="s">
        <v>48</v>
      </c>
      <c r="AB101" s="83" t="s">
        <v>551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466</v>
      </c>
      <c r="D102" s="51"/>
      <c r="E102" s="51" t="s">
        <v>260</v>
      </c>
      <c r="F102" s="51">
        <v>1</v>
      </c>
      <c r="G102" s="51" t="s">
        <v>268</v>
      </c>
      <c r="H102" s="51" t="s">
        <v>63</v>
      </c>
      <c r="I102" s="51" t="s">
        <v>63</v>
      </c>
      <c r="J102" s="51" t="s">
        <v>63</v>
      </c>
      <c r="K102" s="51" t="s">
        <v>210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378</v>
      </c>
      <c r="S102" s="53" t="s">
        <v>226</v>
      </c>
      <c r="T102" s="53" t="s">
        <v>225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466</v>
      </c>
      <c r="D103" s="51"/>
      <c r="E103" s="51" t="s">
        <v>260</v>
      </c>
      <c r="F103" s="51">
        <v>1</v>
      </c>
      <c r="G103" s="51" t="s">
        <v>268</v>
      </c>
      <c r="H103" s="51" t="s">
        <v>63</v>
      </c>
      <c r="I103" s="51" t="s">
        <v>63</v>
      </c>
      <c r="J103" s="51" t="s">
        <v>63</v>
      </c>
      <c r="K103" s="51" t="s">
        <v>210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378</v>
      </c>
      <c r="S103" s="53" t="s">
        <v>226</v>
      </c>
      <c r="T103" s="53" t="s">
        <v>225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466</v>
      </c>
      <c r="D104" s="51"/>
      <c r="E104" s="51" t="s">
        <v>260</v>
      </c>
      <c r="F104" s="51">
        <v>1</v>
      </c>
      <c r="G104" s="51" t="s">
        <v>268</v>
      </c>
      <c r="H104" s="51" t="s">
        <v>63</v>
      </c>
      <c r="I104" s="51" t="s">
        <v>63</v>
      </c>
      <c r="J104" s="51" t="s">
        <v>63</v>
      </c>
      <c r="K104" s="51" t="s">
        <v>210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378</v>
      </c>
      <c r="S104" s="53" t="s">
        <v>226</v>
      </c>
      <c r="T104" s="53" t="s">
        <v>225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466</v>
      </c>
      <c r="D105" s="51"/>
      <c r="E105" s="51" t="s">
        <v>260</v>
      </c>
      <c r="F105" s="51">
        <v>1</v>
      </c>
      <c r="G105" s="51" t="s">
        <v>268</v>
      </c>
      <c r="H105" s="51" t="s">
        <v>63</v>
      </c>
      <c r="I105" s="51" t="s">
        <v>63</v>
      </c>
      <c r="J105" s="51" t="s">
        <v>63</v>
      </c>
      <c r="K105" s="51" t="s">
        <v>210</v>
      </c>
      <c r="L105" s="51" t="s">
        <v>467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378</v>
      </c>
      <c r="S105" s="53" t="s">
        <v>226</v>
      </c>
      <c r="T105" s="53" t="s">
        <v>225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153</v>
      </c>
      <c r="D106" s="105">
        <v>6912</v>
      </c>
      <c r="E106" s="51" t="s">
        <v>260</v>
      </c>
      <c r="F106" s="51">
        <v>1</v>
      </c>
      <c r="G106" s="51" t="s">
        <v>248</v>
      </c>
      <c r="H106" s="51" t="s">
        <v>254</v>
      </c>
      <c r="I106" s="51" t="s">
        <v>459</v>
      </c>
      <c r="J106" s="51" t="s">
        <v>209</v>
      </c>
      <c r="K106" s="51" t="s">
        <v>198</v>
      </c>
      <c r="L106" s="51">
        <v>8</v>
      </c>
      <c r="M106" s="52">
        <v>46233</v>
      </c>
      <c r="N106" s="51" t="s">
        <v>63</v>
      </c>
      <c r="O106" s="106">
        <v>46254</v>
      </c>
      <c r="P106" s="51" t="s">
        <v>56</v>
      </c>
      <c r="Q106" s="51" t="s">
        <v>56</v>
      </c>
      <c r="R106" s="51" t="s">
        <v>225</v>
      </c>
      <c r="S106" s="51" t="s">
        <v>227</v>
      </c>
      <c r="T106" s="51" t="s">
        <v>228</v>
      </c>
      <c r="U106" s="51" t="s">
        <v>230</v>
      </c>
      <c r="V106" s="51" t="s">
        <v>231</v>
      </c>
      <c r="W106" s="51" t="s">
        <v>232</v>
      </c>
      <c r="X106" s="51" t="s">
        <v>229</v>
      </c>
      <c r="Y106" s="51" t="s">
        <v>233</v>
      </c>
      <c r="Z106" s="51" t="s">
        <v>234</v>
      </c>
      <c r="AA106" s="51" t="s">
        <v>48</v>
      </c>
      <c r="AB106" s="51"/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153</v>
      </c>
      <c r="D107" s="105">
        <v>6913</v>
      </c>
      <c r="E107" s="51" t="s">
        <v>260</v>
      </c>
      <c r="F107" s="51">
        <v>1</v>
      </c>
      <c r="G107" s="51" t="s">
        <v>248</v>
      </c>
      <c r="H107" s="51" t="s">
        <v>254</v>
      </c>
      <c r="I107" s="51" t="s">
        <v>459</v>
      </c>
      <c r="J107" s="51" t="s">
        <v>205</v>
      </c>
      <c r="K107" s="51" t="s">
        <v>198</v>
      </c>
      <c r="L107" s="51">
        <v>26</v>
      </c>
      <c r="M107" s="52">
        <v>46233</v>
      </c>
      <c r="N107" s="51" t="s">
        <v>63</v>
      </c>
      <c r="O107" s="106">
        <v>46254</v>
      </c>
      <c r="P107" s="51" t="s">
        <v>56</v>
      </c>
      <c r="Q107" s="51" t="s">
        <v>56</v>
      </c>
      <c r="R107" s="51" t="s">
        <v>225</v>
      </c>
      <c r="S107" s="51" t="s">
        <v>227</v>
      </c>
      <c r="T107" s="51" t="s">
        <v>228</v>
      </c>
      <c r="U107" s="51" t="s">
        <v>230</v>
      </c>
      <c r="V107" s="51" t="s">
        <v>231</v>
      </c>
      <c r="W107" s="51" t="s">
        <v>232</v>
      </c>
      <c r="X107" s="51" t="s">
        <v>229</v>
      </c>
      <c r="Y107" s="51" t="s">
        <v>233</v>
      </c>
      <c r="Z107" s="51" t="s">
        <v>234</v>
      </c>
      <c r="AA107" s="51" t="s">
        <v>48</v>
      </c>
      <c r="AB107" s="51" t="s">
        <v>555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153</v>
      </c>
      <c r="D108" s="105">
        <v>6914</v>
      </c>
      <c r="E108" s="51" t="s">
        <v>260</v>
      </c>
      <c r="F108" s="51">
        <v>1</v>
      </c>
      <c r="G108" s="51" t="s">
        <v>248</v>
      </c>
      <c r="H108" s="51" t="s">
        <v>254</v>
      </c>
      <c r="I108" s="51" t="s">
        <v>382</v>
      </c>
      <c r="J108" s="51" t="s">
        <v>205</v>
      </c>
      <c r="K108" s="51" t="s">
        <v>198</v>
      </c>
      <c r="L108" s="51">
        <v>37</v>
      </c>
      <c r="M108" s="52">
        <v>46233</v>
      </c>
      <c r="N108" s="51" t="s">
        <v>63</v>
      </c>
      <c r="O108" s="106">
        <v>46264</v>
      </c>
      <c r="P108" s="51" t="s">
        <v>56</v>
      </c>
      <c r="Q108" s="51" t="s">
        <v>56</v>
      </c>
      <c r="R108" s="51" t="s">
        <v>225</v>
      </c>
      <c r="S108" s="51" t="s">
        <v>227</v>
      </c>
      <c r="T108" s="51" t="s">
        <v>228</v>
      </c>
      <c r="U108" s="51" t="s">
        <v>230</v>
      </c>
      <c r="V108" s="51" t="s">
        <v>231</v>
      </c>
      <c r="W108" s="51" t="s">
        <v>232</v>
      </c>
      <c r="X108" s="51" t="s">
        <v>229</v>
      </c>
      <c r="Y108" s="51" t="s">
        <v>233</v>
      </c>
      <c r="Z108" s="51" t="s">
        <v>234</v>
      </c>
      <c r="AA108" s="51" t="s">
        <v>48</v>
      </c>
      <c r="AB108" s="51" t="s">
        <v>556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153</v>
      </c>
      <c r="D109" s="105">
        <v>6915</v>
      </c>
      <c r="E109" s="51" t="s">
        <v>260</v>
      </c>
      <c r="F109" s="51">
        <v>1</v>
      </c>
      <c r="G109" s="51" t="s">
        <v>248</v>
      </c>
      <c r="H109" s="51" t="s">
        <v>63</v>
      </c>
      <c r="I109" s="51" t="s">
        <v>63</v>
      </c>
      <c r="J109" s="51" t="s">
        <v>63</v>
      </c>
      <c r="K109" s="51" t="s">
        <v>198</v>
      </c>
      <c r="L109" s="51" t="s">
        <v>63</v>
      </c>
      <c r="M109" s="52">
        <v>46233</v>
      </c>
      <c r="N109" s="51" t="s">
        <v>63</v>
      </c>
      <c r="O109" s="106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554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153</v>
      </c>
      <c r="D110" s="105">
        <v>6916</v>
      </c>
      <c r="E110" s="51" t="s">
        <v>260</v>
      </c>
      <c r="F110" s="51">
        <v>1</v>
      </c>
      <c r="G110" s="51" t="s">
        <v>248</v>
      </c>
      <c r="H110" s="51" t="s">
        <v>254</v>
      </c>
      <c r="I110" s="51" t="s">
        <v>382</v>
      </c>
      <c r="J110" s="51" t="s">
        <v>207</v>
      </c>
      <c r="K110" s="51" t="s">
        <v>198</v>
      </c>
      <c r="L110" s="51">
        <v>27</v>
      </c>
      <c r="M110" s="52">
        <v>46233</v>
      </c>
      <c r="N110" s="51" t="s">
        <v>63</v>
      </c>
      <c r="O110" s="106">
        <v>46264</v>
      </c>
      <c r="P110" s="51" t="s">
        <v>56</v>
      </c>
      <c r="Q110" s="51" t="s">
        <v>56</v>
      </c>
      <c r="R110" s="51" t="s">
        <v>225</v>
      </c>
      <c r="S110" s="51" t="s">
        <v>227</v>
      </c>
      <c r="T110" s="51" t="s">
        <v>228</v>
      </c>
      <c r="U110" s="51" t="s">
        <v>230</v>
      </c>
      <c r="V110" s="51" t="s">
        <v>231</v>
      </c>
      <c r="W110" s="51" t="s">
        <v>232</v>
      </c>
      <c r="X110" s="51" t="s">
        <v>229</v>
      </c>
      <c r="Y110" s="51" t="s">
        <v>233</v>
      </c>
      <c r="Z110" s="51" t="s">
        <v>234</v>
      </c>
      <c r="AA110" s="51" t="s">
        <v>48</v>
      </c>
      <c r="AB110" s="51" t="s">
        <v>557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153</v>
      </c>
      <c r="D111" s="105">
        <v>6917</v>
      </c>
      <c r="E111" s="51" t="s">
        <v>260</v>
      </c>
      <c r="F111" s="51">
        <v>1</v>
      </c>
      <c r="G111" s="51" t="s">
        <v>248</v>
      </c>
      <c r="H111" s="51" t="s">
        <v>63</v>
      </c>
      <c r="I111" s="51" t="s">
        <v>63</v>
      </c>
      <c r="J111" s="51" t="s">
        <v>63</v>
      </c>
      <c r="K111" s="51" t="s">
        <v>198</v>
      </c>
      <c r="L111" s="51" t="s">
        <v>63</v>
      </c>
      <c r="M111" s="52">
        <v>46233</v>
      </c>
      <c r="N111" s="51" t="s">
        <v>63</v>
      </c>
      <c r="O111" s="106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554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128</v>
      </c>
      <c r="D112" s="105">
        <v>6838</v>
      </c>
      <c r="E112" s="51" t="s">
        <v>260</v>
      </c>
      <c r="F112" s="51">
        <v>1</v>
      </c>
      <c r="G112" s="51" t="s">
        <v>269</v>
      </c>
      <c r="H112" s="51" t="s">
        <v>254</v>
      </c>
      <c r="I112" s="51" t="s">
        <v>382</v>
      </c>
      <c r="J112" s="51" t="s">
        <v>205</v>
      </c>
      <c r="K112" s="51" t="s">
        <v>198</v>
      </c>
      <c r="L112" s="51">
        <v>77</v>
      </c>
      <c r="M112" s="52">
        <v>46233</v>
      </c>
      <c r="N112" s="52">
        <v>46225</v>
      </c>
      <c r="O112" s="110">
        <v>46295</v>
      </c>
      <c r="P112" s="51" t="s">
        <v>56</v>
      </c>
      <c r="Q112" s="51" t="s">
        <v>56</v>
      </c>
      <c r="R112" s="51" t="s">
        <v>225</v>
      </c>
      <c r="S112" s="51" t="s">
        <v>227</v>
      </c>
      <c r="T112" s="51" t="s">
        <v>228</v>
      </c>
      <c r="U112" s="51" t="s">
        <v>230</v>
      </c>
      <c r="V112" s="51" t="s">
        <v>231</v>
      </c>
      <c r="W112" s="51" t="s">
        <v>232</v>
      </c>
      <c r="X112" s="51" t="s">
        <v>229</v>
      </c>
      <c r="Y112" s="51" t="s">
        <v>233</v>
      </c>
      <c r="Z112" s="51" t="s">
        <v>234</v>
      </c>
      <c r="AA112" s="51" t="s">
        <v>203</v>
      </c>
      <c r="AB112" s="83" t="s">
        <v>585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128</v>
      </c>
      <c r="D113" s="105">
        <v>6834</v>
      </c>
      <c r="E113" s="51" t="s">
        <v>260</v>
      </c>
      <c r="F113" s="51">
        <v>1</v>
      </c>
      <c r="G113" s="51" t="s">
        <v>269</v>
      </c>
      <c r="H113" s="51" t="s">
        <v>253</v>
      </c>
      <c r="I113" s="51" t="s">
        <v>459</v>
      </c>
      <c r="J113" s="51" t="s">
        <v>205</v>
      </c>
      <c r="K113" s="51" t="s">
        <v>198</v>
      </c>
      <c r="L113" s="51">
        <v>78</v>
      </c>
      <c r="M113" s="52">
        <v>46233</v>
      </c>
      <c r="N113" s="52">
        <v>46225</v>
      </c>
      <c r="O113" s="110">
        <v>46295</v>
      </c>
      <c r="P113" s="52">
        <v>46226</v>
      </c>
      <c r="Q113" s="51" t="s">
        <v>58</v>
      </c>
      <c r="R113" s="51" t="s">
        <v>225</v>
      </c>
      <c r="S113" s="51" t="s">
        <v>228</v>
      </c>
      <c r="T113" s="51" t="s">
        <v>229</v>
      </c>
      <c r="U113" s="51" t="s">
        <v>233</v>
      </c>
      <c r="V113" s="51" t="s">
        <v>234</v>
      </c>
      <c r="W113" s="51"/>
      <c r="X113" s="51"/>
      <c r="Y113" s="51"/>
      <c r="Z113" s="51"/>
      <c r="AA113" s="51" t="s">
        <v>203</v>
      </c>
      <c r="AB113" s="51" t="s">
        <v>586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128</v>
      </c>
      <c r="D114" s="105">
        <v>6833</v>
      </c>
      <c r="E114" s="51" t="s">
        <v>260</v>
      </c>
      <c r="F114" s="51">
        <v>1</v>
      </c>
      <c r="G114" s="51" t="s">
        <v>269</v>
      </c>
      <c r="H114" s="51" t="s">
        <v>253</v>
      </c>
      <c r="I114" s="51" t="s">
        <v>255</v>
      </c>
      <c r="J114" s="51" t="s">
        <v>205</v>
      </c>
      <c r="K114" s="51" t="s">
        <v>198</v>
      </c>
      <c r="L114" s="51" t="s">
        <v>559</v>
      </c>
      <c r="M114" s="52">
        <v>46233</v>
      </c>
      <c r="N114" s="52">
        <v>46225</v>
      </c>
      <c r="O114" s="110">
        <v>46417</v>
      </c>
      <c r="P114" s="52">
        <v>46226</v>
      </c>
      <c r="Q114" s="51" t="s">
        <v>58</v>
      </c>
      <c r="R114" s="51" t="s">
        <v>225</v>
      </c>
      <c r="S114" s="51" t="s">
        <v>228</v>
      </c>
      <c r="T114" s="51" t="s">
        <v>229</v>
      </c>
      <c r="U114" s="51" t="s">
        <v>233</v>
      </c>
      <c r="V114" s="51" t="s">
        <v>234</v>
      </c>
      <c r="W114" s="51"/>
      <c r="X114" s="51"/>
      <c r="Y114" s="51"/>
      <c r="Z114" s="51"/>
      <c r="AA114" s="51" t="s">
        <v>203</v>
      </c>
      <c r="AB114" s="51" t="s">
        <v>586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128</v>
      </c>
      <c r="D115" s="105">
        <v>6835</v>
      </c>
      <c r="E115" s="51" t="s">
        <v>260</v>
      </c>
      <c r="F115" s="51">
        <v>1</v>
      </c>
      <c r="G115" s="51" t="s">
        <v>269</v>
      </c>
      <c r="H115" s="51" t="s">
        <v>253</v>
      </c>
      <c r="I115" s="51" t="s">
        <v>459</v>
      </c>
      <c r="J115" s="51" t="s">
        <v>206</v>
      </c>
      <c r="K115" s="51" t="s">
        <v>198</v>
      </c>
      <c r="L115" s="51">
        <v>47</v>
      </c>
      <c r="M115" s="52">
        <v>46233</v>
      </c>
      <c r="N115" s="52">
        <v>46225</v>
      </c>
      <c r="O115" s="110">
        <v>46295</v>
      </c>
      <c r="P115" s="52">
        <v>46226</v>
      </c>
      <c r="Q115" s="51" t="s">
        <v>58</v>
      </c>
      <c r="R115" s="51" t="s">
        <v>225</v>
      </c>
      <c r="S115" s="51" t="s">
        <v>228</v>
      </c>
      <c r="T115" s="51" t="s">
        <v>229</v>
      </c>
      <c r="U115" s="51" t="s">
        <v>233</v>
      </c>
      <c r="V115" s="51" t="s">
        <v>234</v>
      </c>
      <c r="W115" s="51"/>
      <c r="X115" s="51"/>
      <c r="Y115" s="51"/>
      <c r="Z115" s="51"/>
      <c r="AA115" s="51" t="s">
        <v>203</v>
      </c>
      <c r="AB115" s="51" t="s">
        <v>586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128</v>
      </c>
      <c r="D116" s="105">
        <v>6840</v>
      </c>
      <c r="E116" s="51" t="s">
        <v>260</v>
      </c>
      <c r="F116" s="51">
        <v>1</v>
      </c>
      <c r="G116" s="51" t="s">
        <v>269</v>
      </c>
      <c r="H116" s="51" t="s">
        <v>253</v>
      </c>
      <c r="I116" s="51" t="s">
        <v>459</v>
      </c>
      <c r="J116" s="51" t="s">
        <v>208</v>
      </c>
      <c r="K116" s="51" t="s">
        <v>198</v>
      </c>
      <c r="L116" s="51">
        <v>61</v>
      </c>
      <c r="M116" s="52">
        <v>46233</v>
      </c>
      <c r="N116" s="52">
        <v>46225</v>
      </c>
      <c r="O116" s="110">
        <v>46295</v>
      </c>
      <c r="P116" s="52">
        <v>46226</v>
      </c>
      <c r="Q116" s="51" t="s">
        <v>58</v>
      </c>
      <c r="R116" s="51" t="s">
        <v>225</v>
      </c>
      <c r="S116" s="51" t="s">
        <v>228</v>
      </c>
      <c r="T116" s="51" t="s">
        <v>229</v>
      </c>
      <c r="U116" s="51" t="s">
        <v>233</v>
      </c>
      <c r="V116" s="51" t="s">
        <v>234</v>
      </c>
      <c r="W116" s="51"/>
      <c r="X116" s="51"/>
      <c r="Y116" s="51"/>
      <c r="Z116" s="51"/>
      <c r="AA116" s="51" t="s">
        <v>203</v>
      </c>
      <c r="AB116" s="51" t="s">
        <v>586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128</v>
      </c>
      <c r="D117" s="105">
        <v>6837</v>
      </c>
      <c r="E117" s="51" t="s">
        <v>260</v>
      </c>
      <c r="F117" s="51">
        <v>1</v>
      </c>
      <c r="G117" s="51" t="s">
        <v>269</v>
      </c>
      <c r="H117" s="51" t="s">
        <v>254</v>
      </c>
      <c r="I117" s="51" t="s">
        <v>382</v>
      </c>
      <c r="J117" s="51" t="s">
        <v>209</v>
      </c>
      <c r="K117" s="51" t="s">
        <v>198</v>
      </c>
      <c r="L117" s="51">
        <v>73</v>
      </c>
      <c r="M117" s="52">
        <v>46233</v>
      </c>
      <c r="N117" s="52">
        <v>46225</v>
      </c>
      <c r="O117" s="110">
        <v>46295</v>
      </c>
      <c r="P117" s="51" t="s">
        <v>56</v>
      </c>
      <c r="Q117" s="51" t="s">
        <v>56</v>
      </c>
      <c r="R117" s="51" t="s">
        <v>225</v>
      </c>
      <c r="S117" s="51" t="s">
        <v>227</v>
      </c>
      <c r="T117" s="51" t="s">
        <v>228</v>
      </c>
      <c r="U117" s="51" t="s">
        <v>230</v>
      </c>
      <c r="V117" s="51" t="s">
        <v>231</v>
      </c>
      <c r="W117" s="51" t="s">
        <v>232</v>
      </c>
      <c r="X117" s="51" t="s">
        <v>229</v>
      </c>
      <c r="Y117" s="51" t="s">
        <v>233</v>
      </c>
      <c r="Z117" s="51" t="s">
        <v>234</v>
      </c>
      <c r="AA117" s="51" t="s">
        <v>203</v>
      </c>
      <c r="AB117" s="83" t="s">
        <v>585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128</v>
      </c>
      <c r="D118" s="105">
        <v>6836</v>
      </c>
      <c r="E118" s="51" t="s">
        <v>260</v>
      </c>
      <c r="F118" s="51">
        <v>1</v>
      </c>
      <c r="G118" s="51" t="s">
        <v>269</v>
      </c>
      <c r="H118" s="51" t="s">
        <v>254</v>
      </c>
      <c r="I118" s="51" t="s">
        <v>459</v>
      </c>
      <c r="J118" s="51" t="s">
        <v>209</v>
      </c>
      <c r="K118" s="51" t="s">
        <v>198</v>
      </c>
      <c r="L118" s="51">
        <v>40</v>
      </c>
      <c r="M118" s="52">
        <v>46233</v>
      </c>
      <c r="N118" s="52">
        <v>46225</v>
      </c>
      <c r="O118" s="110">
        <v>46295</v>
      </c>
      <c r="P118" s="51" t="s">
        <v>56</v>
      </c>
      <c r="Q118" s="51" t="s">
        <v>56</v>
      </c>
      <c r="R118" s="51" t="s">
        <v>225</v>
      </c>
      <c r="S118" s="51" t="s">
        <v>227</v>
      </c>
      <c r="T118" s="51" t="s">
        <v>228</v>
      </c>
      <c r="U118" s="51" t="s">
        <v>230</v>
      </c>
      <c r="V118" s="51" t="s">
        <v>231</v>
      </c>
      <c r="W118" s="51" t="s">
        <v>232</v>
      </c>
      <c r="X118" s="51" t="s">
        <v>229</v>
      </c>
      <c r="Y118" s="51" t="s">
        <v>233</v>
      </c>
      <c r="Z118" s="51" t="s">
        <v>234</v>
      </c>
      <c r="AA118" s="51" t="s">
        <v>203</v>
      </c>
      <c r="AB118" s="83" t="s">
        <v>585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128</v>
      </c>
      <c r="D119" s="105">
        <v>6839</v>
      </c>
      <c r="E119" s="51" t="s">
        <v>260</v>
      </c>
      <c r="F119" s="51">
        <v>1</v>
      </c>
      <c r="G119" s="51" t="s">
        <v>269</v>
      </c>
      <c r="H119" s="51" t="s">
        <v>253</v>
      </c>
      <c r="I119" s="51" t="s">
        <v>255</v>
      </c>
      <c r="J119" s="51" t="s">
        <v>209</v>
      </c>
      <c r="K119" s="51" t="s">
        <v>198</v>
      </c>
      <c r="L119" s="51" t="s">
        <v>560</v>
      </c>
      <c r="M119" s="52">
        <v>46233</v>
      </c>
      <c r="N119" s="52">
        <v>46225</v>
      </c>
      <c r="O119" s="110">
        <v>46421</v>
      </c>
      <c r="P119" s="52">
        <v>46226</v>
      </c>
      <c r="Q119" s="51" t="s">
        <v>58</v>
      </c>
      <c r="R119" s="51" t="s">
        <v>225</v>
      </c>
      <c r="S119" s="51" t="s">
        <v>228</v>
      </c>
      <c r="T119" s="51" t="s">
        <v>229</v>
      </c>
      <c r="U119" s="51" t="s">
        <v>233</v>
      </c>
      <c r="V119" s="51" t="s">
        <v>234</v>
      </c>
      <c r="W119" s="51"/>
      <c r="X119" s="51"/>
      <c r="Y119" s="51"/>
      <c r="Z119" s="51"/>
      <c r="AA119" s="51" t="s">
        <v>497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260</v>
      </c>
      <c r="F120" s="51">
        <v>1</v>
      </c>
      <c r="G120" s="51" t="s">
        <v>299</v>
      </c>
      <c r="H120" s="51" t="s">
        <v>253</v>
      </c>
      <c r="I120" s="51" t="s">
        <v>63</v>
      </c>
      <c r="J120" s="51" t="s">
        <v>63</v>
      </c>
      <c r="K120" s="51" t="s">
        <v>198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225</v>
      </c>
      <c r="S120" s="51" t="s">
        <v>228</v>
      </c>
      <c r="T120" s="51" t="s">
        <v>233</v>
      </c>
      <c r="U120" s="51" t="s">
        <v>234</v>
      </c>
      <c r="V120" s="51"/>
      <c r="W120" s="51"/>
      <c r="X120" s="51"/>
      <c r="Y120" s="51"/>
      <c r="Z120" s="51"/>
      <c r="AA120" s="51" t="s">
        <v>48</v>
      </c>
      <c r="AB120" s="51" t="s">
        <v>570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260</v>
      </c>
      <c r="F121" s="51">
        <v>1</v>
      </c>
      <c r="G121" s="51" t="s">
        <v>299</v>
      </c>
      <c r="H121" s="51" t="s">
        <v>253</v>
      </c>
      <c r="I121" s="51" t="s">
        <v>63</v>
      </c>
      <c r="J121" s="51" t="s">
        <v>63</v>
      </c>
      <c r="K121" s="51" t="s">
        <v>198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225</v>
      </c>
      <c r="S121" s="51" t="s">
        <v>228</v>
      </c>
      <c r="T121" s="51" t="s">
        <v>233</v>
      </c>
      <c r="U121" s="51" t="s">
        <v>234</v>
      </c>
      <c r="V121" s="51"/>
      <c r="W121" s="51"/>
      <c r="X121" s="51"/>
      <c r="Y121" s="51"/>
      <c r="Z121" s="51"/>
      <c r="AA121" s="51" t="s">
        <v>48</v>
      </c>
      <c r="AB121" s="51" t="s">
        <v>571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260</v>
      </c>
      <c r="F122" s="51">
        <v>1</v>
      </c>
      <c r="G122" s="51" t="s">
        <v>299</v>
      </c>
      <c r="H122" s="51" t="s">
        <v>254</v>
      </c>
      <c r="I122" s="51" t="s">
        <v>63</v>
      </c>
      <c r="J122" s="51" t="s">
        <v>63</v>
      </c>
      <c r="K122" s="51" t="s">
        <v>198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225</v>
      </c>
      <c r="S122" s="51" t="s">
        <v>227</v>
      </c>
      <c r="T122" s="51" t="s">
        <v>228</v>
      </c>
      <c r="U122" s="51" t="s">
        <v>230</v>
      </c>
      <c r="V122" s="51" t="s">
        <v>231</v>
      </c>
      <c r="W122" s="51" t="s">
        <v>232</v>
      </c>
      <c r="X122" s="51" t="s">
        <v>233</v>
      </c>
      <c r="Y122" s="51" t="s">
        <v>234</v>
      </c>
      <c r="Z122" s="51"/>
      <c r="AA122" s="51" t="s">
        <v>48</v>
      </c>
      <c r="AB122" s="83" t="s">
        <v>572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260</v>
      </c>
      <c r="F123" s="51">
        <v>1</v>
      </c>
      <c r="G123" s="51" t="s">
        <v>299</v>
      </c>
      <c r="H123" s="51" t="s">
        <v>254</v>
      </c>
      <c r="I123" s="51" t="s">
        <v>63</v>
      </c>
      <c r="J123" s="51" t="s">
        <v>63</v>
      </c>
      <c r="K123" s="51" t="s">
        <v>198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225</v>
      </c>
      <c r="S123" s="51" t="s">
        <v>227</v>
      </c>
      <c r="T123" s="51" t="s">
        <v>228</v>
      </c>
      <c r="U123" s="51" t="s">
        <v>230</v>
      </c>
      <c r="V123" s="51" t="s">
        <v>231</v>
      </c>
      <c r="W123" s="51" t="s">
        <v>232</v>
      </c>
      <c r="X123" s="51" t="s">
        <v>233</v>
      </c>
      <c r="Y123" s="51" t="s">
        <v>234</v>
      </c>
      <c r="Z123" s="51"/>
      <c r="AA123" s="51" t="s">
        <v>48</v>
      </c>
      <c r="AB123" s="83" t="s">
        <v>572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275</v>
      </c>
      <c r="D124" s="51">
        <v>6350</v>
      </c>
      <c r="E124" s="51" t="s">
        <v>260</v>
      </c>
      <c r="F124" s="51">
        <v>1</v>
      </c>
      <c r="G124" s="51" t="s">
        <v>298</v>
      </c>
      <c r="H124" s="51" t="s">
        <v>254</v>
      </c>
      <c r="I124" s="51" t="s">
        <v>382</v>
      </c>
      <c r="J124" s="51" t="s">
        <v>249</v>
      </c>
      <c r="K124" s="51" t="s">
        <v>198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225</v>
      </c>
      <c r="S124" s="51" t="s">
        <v>227</v>
      </c>
      <c r="T124" s="51" t="s">
        <v>228</v>
      </c>
      <c r="U124" s="51" t="s">
        <v>230</v>
      </c>
      <c r="V124" s="51" t="s">
        <v>231</v>
      </c>
      <c r="W124" s="51" t="s">
        <v>232</v>
      </c>
      <c r="X124" s="51" t="s">
        <v>233</v>
      </c>
      <c r="Y124" s="51" t="s">
        <v>234</v>
      </c>
      <c r="Z124" s="51"/>
      <c r="AA124" s="51" t="s">
        <v>203</v>
      </c>
      <c r="AB124" s="51" t="s">
        <v>573</v>
      </c>
    </row>
    <row r="125" spans="1:28" ht="20.100000000000001" hidden="1" customHeight="1" x14ac:dyDescent="0.25">
      <c r="A125" s="105">
        <v>2348</v>
      </c>
      <c r="B125" s="51" t="s">
        <v>63</v>
      </c>
      <c r="C125" s="51" t="s">
        <v>327</v>
      </c>
      <c r="D125" s="114">
        <v>6855</v>
      </c>
      <c r="E125" s="51" t="s">
        <v>260</v>
      </c>
      <c r="F125" s="51">
        <v>1</v>
      </c>
      <c r="G125" s="51" t="s">
        <v>268</v>
      </c>
      <c r="H125" s="51" t="s">
        <v>253</v>
      </c>
      <c r="I125" s="51" t="s">
        <v>459</v>
      </c>
      <c r="J125" s="51" t="s">
        <v>205</v>
      </c>
      <c r="K125" s="51" t="s">
        <v>198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225</v>
      </c>
      <c r="S125" s="51" t="s">
        <v>228</v>
      </c>
      <c r="T125" s="51" t="s">
        <v>233</v>
      </c>
      <c r="U125" s="51" t="s">
        <v>234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5">
        <v>2348</v>
      </c>
      <c r="B126" s="51" t="s">
        <v>63</v>
      </c>
      <c r="C126" s="51" t="s">
        <v>327</v>
      </c>
      <c r="D126" s="114">
        <v>6854</v>
      </c>
      <c r="E126" s="51" t="s">
        <v>260</v>
      </c>
      <c r="F126" s="51">
        <v>1</v>
      </c>
      <c r="G126" s="51" t="s">
        <v>268</v>
      </c>
      <c r="H126" s="51" t="s">
        <v>253</v>
      </c>
      <c r="I126" s="51" t="s">
        <v>255</v>
      </c>
      <c r="J126" s="51" t="s">
        <v>205</v>
      </c>
      <c r="K126" s="51" t="s">
        <v>198</v>
      </c>
      <c r="L126" s="51" t="s">
        <v>574</v>
      </c>
      <c r="M126" s="52">
        <v>46251</v>
      </c>
      <c r="N126" s="51"/>
      <c r="O126" s="52">
        <v>46295</v>
      </c>
      <c r="P126" s="52">
        <v>46239</v>
      </c>
      <c r="Q126" s="51" t="s">
        <v>58</v>
      </c>
      <c r="R126" s="51" t="s">
        <v>225</v>
      </c>
      <c r="S126" s="51" t="s">
        <v>228</v>
      </c>
      <c r="T126" s="51" t="s">
        <v>233</v>
      </c>
      <c r="U126" s="51" t="s">
        <v>234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5">
        <v>2348</v>
      </c>
      <c r="B127" s="51" t="s">
        <v>63</v>
      </c>
      <c r="C127" s="51" t="s">
        <v>327</v>
      </c>
      <c r="D127" s="114">
        <v>6851</v>
      </c>
      <c r="E127" s="51" t="s">
        <v>260</v>
      </c>
      <c r="F127" s="51">
        <v>1</v>
      </c>
      <c r="G127" s="51" t="s">
        <v>268</v>
      </c>
      <c r="H127" s="51" t="s">
        <v>254</v>
      </c>
      <c r="I127" s="51" t="s">
        <v>382</v>
      </c>
      <c r="J127" s="51" t="s">
        <v>205</v>
      </c>
      <c r="K127" s="51" t="s">
        <v>198</v>
      </c>
      <c r="L127" s="51" t="s">
        <v>575</v>
      </c>
      <c r="M127" s="52">
        <v>46251</v>
      </c>
      <c r="N127" s="51"/>
      <c r="O127" s="52">
        <v>46300</v>
      </c>
      <c r="P127" s="52">
        <v>46239</v>
      </c>
      <c r="Q127" s="51" t="s">
        <v>58</v>
      </c>
      <c r="R127" s="51" t="s">
        <v>225</v>
      </c>
      <c r="S127" s="51" t="s">
        <v>227</v>
      </c>
      <c r="T127" s="51" t="s">
        <v>228</v>
      </c>
      <c r="U127" s="51" t="s">
        <v>230</v>
      </c>
      <c r="V127" s="51" t="s">
        <v>231</v>
      </c>
      <c r="W127" s="51" t="s">
        <v>232</v>
      </c>
      <c r="X127" s="51" t="s">
        <v>233</v>
      </c>
      <c r="Y127" s="51" t="s">
        <v>234</v>
      </c>
      <c r="Z127" s="51"/>
      <c r="AA127" s="51" t="s">
        <v>48</v>
      </c>
      <c r="AB127" s="51"/>
    </row>
    <row r="128" spans="1:28" ht="20.100000000000001" hidden="1" customHeight="1" x14ac:dyDescent="0.25">
      <c r="A128" s="105">
        <v>2348</v>
      </c>
      <c r="B128" s="51" t="s">
        <v>63</v>
      </c>
      <c r="C128" s="51" t="s">
        <v>327</v>
      </c>
      <c r="D128" s="114">
        <v>6856</v>
      </c>
      <c r="E128" s="51" t="s">
        <v>260</v>
      </c>
      <c r="F128" s="51">
        <v>1</v>
      </c>
      <c r="G128" s="51" t="s">
        <v>268</v>
      </c>
      <c r="H128" s="51" t="s">
        <v>253</v>
      </c>
      <c r="I128" s="51" t="s">
        <v>459</v>
      </c>
      <c r="J128" s="51" t="s">
        <v>206</v>
      </c>
      <c r="K128" s="51" t="s">
        <v>198</v>
      </c>
      <c r="L128" s="51" t="s">
        <v>58</v>
      </c>
      <c r="M128" s="52">
        <v>46251</v>
      </c>
      <c r="N128" s="51"/>
      <c r="O128" s="52">
        <v>46285</v>
      </c>
      <c r="P128" s="52">
        <v>46239</v>
      </c>
      <c r="Q128" s="51" t="s">
        <v>58</v>
      </c>
      <c r="R128" s="51" t="s">
        <v>225</v>
      </c>
      <c r="S128" s="51" t="s">
        <v>228</v>
      </c>
      <c r="T128" s="51" t="s">
        <v>233</v>
      </c>
      <c r="U128" s="51" t="s">
        <v>234</v>
      </c>
      <c r="V128" s="51"/>
      <c r="W128" s="51"/>
      <c r="X128" s="51"/>
      <c r="Y128" s="51"/>
      <c r="Z128" s="51"/>
      <c r="AA128" s="51" t="s">
        <v>48</v>
      </c>
      <c r="AB128" s="51"/>
    </row>
    <row r="129" spans="1:28" ht="20.100000000000001" hidden="1" customHeight="1" x14ac:dyDescent="0.25">
      <c r="A129" s="105">
        <v>2348</v>
      </c>
      <c r="B129" s="51" t="s">
        <v>63</v>
      </c>
      <c r="C129" s="51" t="s">
        <v>327</v>
      </c>
      <c r="D129" s="114">
        <v>6852</v>
      </c>
      <c r="E129" s="51" t="s">
        <v>260</v>
      </c>
      <c r="F129" s="51">
        <v>1</v>
      </c>
      <c r="G129" s="51" t="s">
        <v>268</v>
      </c>
      <c r="H129" s="51" t="s">
        <v>254</v>
      </c>
      <c r="I129" s="51" t="s">
        <v>382</v>
      </c>
      <c r="J129" s="51" t="s">
        <v>206</v>
      </c>
      <c r="K129" s="51" t="s">
        <v>198</v>
      </c>
      <c r="L129" s="51" t="s">
        <v>576</v>
      </c>
      <c r="M129" s="52">
        <v>46251</v>
      </c>
      <c r="N129" s="51"/>
      <c r="O129" s="52">
        <v>46272</v>
      </c>
      <c r="P129" s="52">
        <v>46239</v>
      </c>
      <c r="Q129" s="51" t="s">
        <v>58</v>
      </c>
      <c r="R129" s="51" t="s">
        <v>225</v>
      </c>
      <c r="S129" s="51" t="s">
        <v>227</v>
      </c>
      <c r="T129" s="51" t="s">
        <v>228</v>
      </c>
      <c r="U129" s="51" t="s">
        <v>230</v>
      </c>
      <c r="V129" s="51" t="s">
        <v>231</v>
      </c>
      <c r="W129" s="51" t="s">
        <v>232</v>
      </c>
      <c r="X129" s="51" t="s">
        <v>233</v>
      </c>
      <c r="Y129" s="51" t="s">
        <v>234</v>
      </c>
      <c r="Z129" s="51"/>
      <c r="AA129" s="51" t="s">
        <v>48</v>
      </c>
      <c r="AB129" s="51"/>
    </row>
    <row r="130" spans="1:28" ht="20.100000000000001" hidden="1" customHeight="1" x14ac:dyDescent="0.25">
      <c r="A130" s="105">
        <v>2348</v>
      </c>
      <c r="B130" s="51" t="s">
        <v>63</v>
      </c>
      <c r="C130" s="51" t="s">
        <v>327</v>
      </c>
      <c r="D130" s="114">
        <v>6857</v>
      </c>
      <c r="E130" s="51" t="s">
        <v>260</v>
      </c>
      <c r="F130" s="51">
        <v>1</v>
      </c>
      <c r="G130" s="51" t="s">
        <v>268</v>
      </c>
      <c r="H130" s="51" t="s">
        <v>253</v>
      </c>
      <c r="I130" s="51" t="s">
        <v>459</v>
      </c>
      <c r="J130" s="51" t="s">
        <v>209</v>
      </c>
      <c r="K130" s="51" t="s">
        <v>198</v>
      </c>
      <c r="L130" s="51" t="s">
        <v>58</v>
      </c>
      <c r="M130" s="52">
        <v>46251</v>
      </c>
      <c r="N130" s="51"/>
      <c r="O130" s="52">
        <v>46285</v>
      </c>
      <c r="P130" s="52">
        <v>46239</v>
      </c>
      <c r="Q130" s="51" t="s">
        <v>58</v>
      </c>
      <c r="R130" s="51" t="s">
        <v>225</v>
      </c>
      <c r="S130" s="51" t="s">
        <v>228</v>
      </c>
      <c r="T130" s="51" t="s">
        <v>233</v>
      </c>
      <c r="U130" s="51" t="s">
        <v>234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5">
        <v>2348</v>
      </c>
      <c r="B131" s="51" t="s">
        <v>63</v>
      </c>
      <c r="C131" s="51" t="s">
        <v>327</v>
      </c>
      <c r="D131" s="114">
        <v>6858</v>
      </c>
      <c r="E131" s="51" t="s">
        <v>260</v>
      </c>
      <c r="F131" s="51">
        <v>1</v>
      </c>
      <c r="G131" s="51" t="s">
        <v>268</v>
      </c>
      <c r="H131" s="51" t="s">
        <v>254</v>
      </c>
      <c r="I131" s="51" t="s">
        <v>459</v>
      </c>
      <c r="J131" s="51" t="s">
        <v>249</v>
      </c>
      <c r="K131" s="51" t="s">
        <v>198</v>
      </c>
      <c r="L131" s="51" t="s">
        <v>58</v>
      </c>
      <c r="M131" s="52">
        <v>46251</v>
      </c>
      <c r="N131" s="51"/>
      <c r="O131" s="52">
        <v>46300</v>
      </c>
      <c r="P131" s="52">
        <v>46239</v>
      </c>
      <c r="Q131" s="51" t="s">
        <v>58</v>
      </c>
      <c r="R131" s="51" t="s">
        <v>225</v>
      </c>
      <c r="S131" s="51" t="s">
        <v>227</v>
      </c>
      <c r="T131" s="51" t="s">
        <v>228</v>
      </c>
      <c r="U131" s="51" t="s">
        <v>230</v>
      </c>
      <c r="V131" s="51" t="s">
        <v>231</v>
      </c>
      <c r="W131" s="51" t="s">
        <v>232</v>
      </c>
      <c r="X131" s="51" t="s">
        <v>233</v>
      </c>
      <c r="Y131" s="51" t="s">
        <v>234</v>
      </c>
      <c r="Z131" s="51"/>
      <c r="AA131" s="51" t="s">
        <v>48</v>
      </c>
      <c r="AB131" s="51"/>
    </row>
    <row r="132" spans="1:28" ht="20.100000000000001" hidden="1" customHeight="1" x14ac:dyDescent="0.25">
      <c r="A132" s="105">
        <v>2348</v>
      </c>
      <c r="B132" s="51" t="s">
        <v>63</v>
      </c>
      <c r="C132" s="51" t="s">
        <v>327</v>
      </c>
      <c r="D132" s="114">
        <v>6853</v>
      </c>
      <c r="E132" s="51" t="s">
        <v>260</v>
      </c>
      <c r="F132" s="51">
        <v>1</v>
      </c>
      <c r="G132" s="51" t="s">
        <v>268</v>
      </c>
      <c r="H132" s="51" t="s">
        <v>254</v>
      </c>
      <c r="I132" s="51" t="s">
        <v>382</v>
      </c>
      <c r="J132" s="51" t="s">
        <v>249</v>
      </c>
      <c r="K132" s="51" t="s">
        <v>198</v>
      </c>
      <c r="L132" s="51" t="s">
        <v>577</v>
      </c>
      <c r="M132" s="52">
        <v>46251</v>
      </c>
      <c r="N132" s="51"/>
      <c r="O132" s="52">
        <v>46272</v>
      </c>
      <c r="P132" s="52">
        <v>46239</v>
      </c>
      <c r="Q132" s="51" t="s">
        <v>58</v>
      </c>
      <c r="R132" s="51" t="s">
        <v>225</v>
      </c>
      <c r="S132" s="51" t="s">
        <v>227</v>
      </c>
      <c r="T132" s="51" t="s">
        <v>228</v>
      </c>
      <c r="U132" s="51" t="s">
        <v>230</v>
      </c>
      <c r="V132" s="51" t="s">
        <v>231</v>
      </c>
      <c r="W132" s="51" t="s">
        <v>232</v>
      </c>
      <c r="X132" s="51" t="s">
        <v>233</v>
      </c>
      <c r="Y132" s="51" t="s">
        <v>234</v>
      </c>
      <c r="Z132" s="51"/>
      <c r="AA132" s="51" t="s">
        <v>48</v>
      </c>
      <c r="AB132" s="51"/>
    </row>
    <row r="133" spans="1:28" ht="20.100000000000001" customHeight="1" x14ac:dyDescent="0.25"/>
    <row r="134" spans="1:28" ht="20.100000000000001" customHeight="1" x14ac:dyDescent="0.25"/>
    <row r="135" spans="1:28" ht="20.100000000000001" customHeight="1" x14ac:dyDescent="0.25"/>
    <row r="136" spans="1:28" ht="20.100000000000001" customHeight="1" x14ac:dyDescent="0.25"/>
    <row r="137" spans="1:28" ht="20.100000000000001" customHeight="1" x14ac:dyDescent="0.25"/>
    <row r="138" spans="1:28" ht="20.100000000000001" customHeight="1" x14ac:dyDescent="0.25"/>
    <row r="139" spans="1:28" ht="20.100000000000001" customHeight="1" x14ac:dyDescent="0.25"/>
    <row r="140" spans="1:28" ht="20.100000000000001" customHeight="1" x14ac:dyDescent="0.25"/>
    <row r="141" spans="1:28" ht="20.100000000000001" customHeight="1" x14ac:dyDescent="0.25"/>
    <row r="142" spans="1:28" ht="20.100000000000001" customHeight="1" x14ac:dyDescent="0.25"/>
    <row r="143" spans="1:28" ht="20.100000000000001" customHeight="1" x14ac:dyDescent="0.25"/>
    <row r="144" spans="1:28" ht="20.100000000000001" customHeight="1" x14ac:dyDescent="0.25"/>
    <row r="145" s="50" customFormat="1" ht="20.100000000000001" customHeight="1" x14ac:dyDescent="0.25"/>
    <row r="146" s="50" customFormat="1" ht="20.100000000000001" customHeight="1" x14ac:dyDescent="0.25"/>
    <row r="147" s="50" customFormat="1" ht="20.100000000000001" customHeight="1" x14ac:dyDescent="0.25"/>
    <row r="148" s="50" customFormat="1" ht="20.100000000000001" customHeight="1" x14ac:dyDescent="0.25"/>
    <row r="149" s="50" customFormat="1" ht="20.100000000000001" customHeight="1" x14ac:dyDescent="0.25"/>
    <row r="150" s="50" customFormat="1" ht="20.100000000000001" customHeight="1" x14ac:dyDescent="0.25"/>
    <row r="151" s="50" customFormat="1" ht="20.100000000000001" customHeight="1" x14ac:dyDescent="0.25"/>
    <row r="152" s="50" customFormat="1" ht="20.100000000000001" customHeight="1" x14ac:dyDescent="0.25"/>
    <row r="153" s="50" customFormat="1" ht="20.100000000000001" customHeight="1" x14ac:dyDescent="0.25"/>
    <row r="154" s="50" customFormat="1" ht="20.100000000000001" customHeight="1" x14ac:dyDescent="0.25"/>
    <row r="155" s="50" customFormat="1" ht="20.100000000000001" customHeight="1" x14ac:dyDescent="0.25"/>
    <row r="156" s="50" customFormat="1" ht="20.100000000000001" customHeight="1" x14ac:dyDescent="0.25"/>
    <row r="157" s="50" customFormat="1" ht="20.100000000000001" customHeight="1" x14ac:dyDescent="0.25"/>
    <row r="158" s="50" customFormat="1" ht="20.100000000000001" customHeight="1" x14ac:dyDescent="0.25"/>
    <row r="159" s="50" customFormat="1" ht="20.100000000000001" customHeight="1" x14ac:dyDescent="0.25"/>
    <row r="160" s="50" customFormat="1" ht="20.100000000000001" customHeight="1" x14ac:dyDescent="0.25"/>
    <row r="161" s="50" customFormat="1" ht="20.100000000000001" customHeight="1" x14ac:dyDescent="0.25"/>
    <row r="162" s="50" customFormat="1" ht="20.100000000000001" customHeight="1" x14ac:dyDescent="0.25"/>
    <row r="163" s="50" customFormat="1" ht="20.100000000000001" customHeight="1" x14ac:dyDescent="0.25"/>
    <row r="164" s="50" customFormat="1" ht="20.100000000000001" customHeight="1" x14ac:dyDescent="0.25"/>
    <row r="165" s="50" customFormat="1" ht="20.100000000000001" customHeight="1" x14ac:dyDescent="0.25"/>
    <row r="166" s="50" customFormat="1" ht="20.100000000000001" customHeight="1" x14ac:dyDescent="0.25"/>
    <row r="167" s="50" customFormat="1" ht="20.100000000000001" customHeight="1" x14ac:dyDescent="0.25"/>
    <row r="168" s="50" customFormat="1" ht="20.100000000000001" customHeight="1" x14ac:dyDescent="0.25"/>
    <row r="169" s="50" customFormat="1" ht="20.100000000000001" customHeight="1" x14ac:dyDescent="0.25"/>
    <row r="170" s="50" customFormat="1" ht="20.100000000000001" customHeight="1" x14ac:dyDescent="0.25"/>
    <row r="171" s="50" customFormat="1" ht="20.100000000000001" customHeight="1" x14ac:dyDescent="0.25"/>
    <row r="172" s="50" customFormat="1" ht="20.100000000000001" customHeight="1" x14ac:dyDescent="0.25"/>
    <row r="173" s="50" customFormat="1" ht="20.100000000000001" customHeight="1" x14ac:dyDescent="0.25"/>
    <row r="174" s="50" customFormat="1" ht="20.100000000000001" customHeight="1" x14ac:dyDescent="0.25"/>
    <row r="175" s="50" customFormat="1" ht="20.100000000000001" customHeight="1" x14ac:dyDescent="0.25"/>
    <row r="176" s="50" customFormat="1" ht="20.100000000000001" customHeight="1" x14ac:dyDescent="0.25"/>
    <row r="177" s="50" customFormat="1" ht="20.100000000000001" customHeight="1" x14ac:dyDescent="0.25"/>
    <row r="178" s="50" customFormat="1" ht="20.100000000000001" customHeight="1" x14ac:dyDescent="0.25"/>
    <row r="179" s="50" customFormat="1" ht="20.100000000000001" customHeight="1" x14ac:dyDescent="0.25"/>
    <row r="180" s="50" customFormat="1" ht="20.100000000000001" customHeight="1" x14ac:dyDescent="0.25"/>
    <row r="181" s="50" customFormat="1" ht="20.100000000000001" customHeight="1" x14ac:dyDescent="0.25"/>
    <row r="182" s="50" customFormat="1" ht="20.100000000000001" customHeight="1" x14ac:dyDescent="0.25"/>
    <row r="183" s="50" customFormat="1" ht="20.100000000000001" customHeight="1" x14ac:dyDescent="0.25"/>
    <row r="184" s="50" customFormat="1" ht="20.100000000000001" customHeight="1" x14ac:dyDescent="0.25"/>
    <row r="185" s="50" customFormat="1" ht="20.100000000000001" customHeight="1" x14ac:dyDescent="0.25"/>
    <row r="186" s="50" customFormat="1" ht="20.100000000000001" customHeight="1" x14ac:dyDescent="0.25"/>
    <row r="187" s="50" customFormat="1" ht="20.100000000000001" customHeight="1" x14ac:dyDescent="0.25"/>
    <row r="188" s="50" customFormat="1" ht="20.100000000000001" customHeight="1" x14ac:dyDescent="0.25"/>
    <row r="189" s="50" customFormat="1" ht="20.100000000000001" customHeight="1" x14ac:dyDescent="0.25"/>
    <row r="190" s="50" customFormat="1" ht="20.100000000000001" customHeight="1" x14ac:dyDescent="0.25"/>
    <row r="191" s="50" customFormat="1" ht="20.100000000000001" customHeight="1" x14ac:dyDescent="0.25"/>
    <row r="192" s="50" customFormat="1" ht="20.100000000000001" customHeight="1" x14ac:dyDescent="0.25"/>
    <row r="193" s="50" customFormat="1" ht="20.100000000000001" customHeight="1" x14ac:dyDescent="0.25"/>
    <row r="194" s="50" customFormat="1" ht="20.100000000000001" customHeight="1" x14ac:dyDescent="0.25"/>
    <row r="195" s="50" customFormat="1" ht="20.100000000000001" customHeight="1" x14ac:dyDescent="0.25"/>
    <row r="196" s="50" customFormat="1" ht="20.100000000000001" customHeight="1" x14ac:dyDescent="0.25"/>
    <row r="197" s="50" customFormat="1" ht="20.100000000000001" customHeight="1" x14ac:dyDescent="0.25"/>
    <row r="198" s="50" customFormat="1" ht="20.100000000000001" customHeight="1" x14ac:dyDescent="0.25"/>
    <row r="199" s="50" customFormat="1" ht="20.100000000000001" customHeight="1" x14ac:dyDescent="0.25"/>
    <row r="200" s="50" customFormat="1" ht="20.100000000000001" customHeight="1" x14ac:dyDescent="0.25"/>
    <row r="201" s="50" customFormat="1" ht="20.100000000000001" customHeight="1" x14ac:dyDescent="0.25"/>
    <row r="202" s="50" customFormat="1" ht="20.100000000000001" customHeight="1" x14ac:dyDescent="0.25"/>
    <row r="203" s="50" customFormat="1" ht="20.100000000000001" customHeight="1" x14ac:dyDescent="0.25"/>
    <row r="204" s="50" customFormat="1" ht="20.100000000000001" customHeight="1" x14ac:dyDescent="0.25"/>
    <row r="205" s="50" customFormat="1" ht="20.100000000000001" customHeight="1" x14ac:dyDescent="0.25"/>
    <row r="206" s="50" customFormat="1" ht="20.100000000000001" customHeight="1" x14ac:dyDescent="0.25"/>
    <row r="207" s="50" customFormat="1" ht="20.100000000000001" customHeight="1" x14ac:dyDescent="0.25"/>
    <row r="208" s="50" customFormat="1" ht="20.100000000000001" customHeight="1" x14ac:dyDescent="0.25"/>
    <row r="209" s="50" customFormat="1" ht="20.100000000000001" customHeight="1" x14ac:dyDescent="0.25"/>
    <row r="210" s="50" customFormat="1" ht="20.100000000000001" customHeight="1" x14ac:dyDescent="0.25"/>
    <row r="211" s="50" customFormat="1" ht="20.100000000000001" customHeight="1" x14ac:dyDescent="0.25"/>
    <row r="212" s="50" customFormat="1" ht="20.100000000000001" customHeight="1" x14ac:dyDescent="0.25"/>
    <row r="213" s="50" customFormat="1" ht="15" customHeight="1" x14ac:dyDescent="0.25"/>
    <row r="214" s="50" customFormat="1" ht="15" customHeight="1" x14ac:dyDescent="0.25"/>
    <row r="215" s="50" customFormat="1" ht="15" customHeight="1" x14ac:dyDescent="0.25"/>
    <row r="216" s="50" customFormat="1" ht="15" customHeight="1" x14ac:dyDescent="0.25"/>
    <row r="217" s="50" customFormat="1" ht="15" customHeight="1" x14ac:dyDescent="0.25"/>
    <row r="218" s="50" customFormat="1" ht="15" customHeight="1" x14ac:dyDescent="0.25"/>
    <row r="219" s="50" customFormat="1" ht="15" customHeight="1" x14ac:dyDescent="0.25"/>
    <row r="220" s="50" customFormat="1" ht="15" customHeight="1" x14ac:dyDescent="0.25"/>
    <row r="221" s="50" customFormat="1" ht="15" customHeight="1" x14ac:dyDescent="0.25"/>
    <row r="222" s="50" customFormat="1" ht="15" customHeight="1" x14ac:dyDescent="0.25"/>
    <row r="223" s="50" customFormat="1" ht="15" customHeight="1" x14ac:dyDescent="0.25"/>
    <row r="224" s="50" customFormat="1" ht="15" customHeight="1" x14ac:dyDescent="0.25"/>
    <row r="225" s="50" customFormat="1" ht="15" customHeight="1" x14ac:dyDescent="0.25"/>
    <row r="226" s="50" customFormat="1" ht="15" customHeight="1" x14ac:dyDescent="0.25"/>
    <row r="227" s="50" customFormat="1" ht="15" customHeight="1" x14ac:dyDescent="0.25"/>
    <row r="228" s="50" customFormat="1" ht="15" customHeight="1" x14ac:dyDescent="0.25"/>
    <row r="229" s="50" customFormat="1" ht="15" customHeight="1" x14ac:dyDescent="0.25"/>
    <row r="230" s="50" customFormat="1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79" zoomScale="90" zoomScaleNormal="90" workbookViewId="0">
      <selection activeCell="M106" sqref="M106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251</v>
      </c>
      <c r="H1" s="48" t="s">
        <v>204</v>
      </c>
      <c r="I1" s="49" t="s">
        <v>212</v>
      </c>
      <c r="J1" s="49" t="s">
        <v>84</v>
      </c>
      <c r="K1" s="49" t="s">
        <v>68</v>
      </c>
      <c r="L1" s="49" t="s">
        <v>250</v>
      </c>
      <c r="M1" s="49" t="s">
        <v>235</v>
      </c>
      <c r="N1" s="49" t="s">
        <v>236</v>
      </c>
      <c r="O1" s="49" t="s">
        <v>237</v>
      </c>
      <c r="P1" s="49" t="s">
        <v>238</v>
      </c>
      <c r="Q1" s="49" t="s">
        <v>239</v>
      </c>
      <c r="R1" s="49" t="s">
        <v>240</v>
      </c>
      <c r="S1" s="49" t="s">
        <v>241</v>
      </c>
      <c r="T1" s="49" t="s">
        <v>242</v>
      </c>
      <c r="U1" s="49" t="s">
        <v>243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200</v>
      </c>
      <c r="D2" s="51" t="s">
        <v>391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378</v>
      </c>
      <c r="N2" s="51" t="s">
        <v>383</v>
      </c>
      <c r="O2" s="51" t="s">
        <v>247</v>
      </c>
      <c r="P2" s="51"/>
      <c r="Q2" s="51"/>
      <c r="R2" s="51"/>
      <c r="S2" s="51"/>
      <c r="T2" s="51"/>
      <c r="U2" s="51"/>
      <c r="V2" s="51" t="s">
        <v>201</v>
      </c>
      <c r="W2" s="51" t="s">
        <v>399</v>
      </c>
    </row>
    <row r="3" spans="1:23" ht="20.100000000000001" customHeight="1" x14ac:dyDescent="0.25">
      <c r="A3" s="78">
        <v>1020</v>
      </c>
      <c r="B3" s="78" t="s">
        <v>63</v>
      </c>
      <c r="C3" s="51" t="s">
        <v>423</v>
      </c>
      <c r="D3" s="51" t="s">
        <v>391</v>
      </c>
      <c r="E3" s="51">
        <v>1</v>
      </c>
      <c r="F3" s="76" t="s">
        <v>377</v>
      </c>
      <c r="G3" s="51" t="s">
        <v>380</v>
      </c>
      <c r="H3" s="76" t="s">
        <v>205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378</v>
      </c>
      <c r="N3" s="51" t="s">
        <v>383</v>
      </c>
      <c r="O3" s="51" t="s">
        <v>247</v>
      </c>
      <c r="P3" s="51"/>
      <c r="Q3" s="51"/>
      <c r="R3" s="51"/>
      <c r="S3" s="51"/>
      <c r="T3" s="51"/>
      <c r="U3" s="51"/>
      <c r="V3" s="51" t="s">
        <v>201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423</v>
      </c>
      <c r="D4" s="51" t="s">
        <v>391</v>
      </c>
      <c r="E4" s="51">
        <v>1</v>
      </c>
      <c r="F4" s="76" t="s">
        <v>377</v>
      </c>
      <c r="G4" s="51" t="s">
        <v>381</v>
      </c>
      <c r="H4" s="76" t="s">
        <v>205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378</v>
      </c>
      <c r="N4" s="51" t="s">
        <v>383</v>
      </c>
      <c r="O4" s="51" t="s">
        <v>247</v>
      </c>
      <c r="P4" s="51"/>
      <c r="Q4" s="51"/>
      <c r="R4" s="51"/>
      <c r="S4" s="51"/>
      <c r="T4" s="51"/>
      <c r="U4" s="51"/>
      <c r="V4" s="51" t="s">
        <v>201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423</v>
      </c>
      <c r="D5" s="51" t="s">
        <v>391</v>
      </c>
      <c r="E5" s="51">
        <v>1</v>
      </c>
      <c r="F5" s="76" t="s">
        <v>264</v>
      </c>
      <c r="G5" s="51" t="s">
        <v>380</v>
      </c>
      <c r="H5" s="76" t="s">
        <v>206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378</v>
      </c>
      <c r="N5" s="51" t="s">
        <v>383</v>
      </c>
      <c r="O5" s="51" t="s">
        <v>247</v>
      </c>
      <c r="P5" s="51"/>
      <c r="Q5" s="51"/>
      <c r="R5" s="51"/>
      <c r="S5" s="51"/>
      <c r="T5" s="51"/>
      <c r="U5" s="51"/>
      <c r="V5" s="51" t="s">
        <v>201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423</v>
      </c>
      <c r="D6" s="51" t="s">
        <v>391</v>
      </c>
      <c r="E6" s="51">
        <v>1</v>
      </c>
      <c r="F6" s="76" t="s">
        <v>264</v>
      </c>
      <c r="G6" s="51" t="s">
        <v>381</v>
      </c>
      <c r="H6" s="76" t="s">
        <v>206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378</v>
      </c>
      <c r="N6" s="51" t="s">
        <v>383</v>
      </c>
      <c r="O6" s="51" t="s">
        <v>247</v>
      </c>
      <c r="P6" s="51"/>
      <c r="Q6" s="51"/>
      <c r="R6" s="51"/>
      <c r="S6" s="51"/>
      <c r="T6" s="51"/>
      <c r="U6" s="51"/>
      <c r="V6" s="51" t="s">
        <v>201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423</v>
      </c>
      <c r="D7" s="51" t="s">
        <v>391</v>
      </c>
      <c r="E7" s="51">
        <v>1</v>
      </c>
      <c r="F7" s="76" t="s">
        <v>264</v>
      </c>
      <c r="G7" s="51" t="s">
        <v>382</v>
      </c>
      <c r="H7" s="76" t="s">
        <v>206</v>
      </c>
      <c r="I7" s="75">
        <v>46430</v>
      </c>
      <c r="J7" s="52">
        <v>46388</v>
      </c>
      <c r="K7" s="51" t="s">
        <v>58</v>
      </c>
      <c r="L7" s="74" t="s">
        <v>373</v>
      </c>
      <c r="M7" s="51" t="s">
        <v>378</v>
      </c>
      <c r="N7" s="51" t="s">
        <v>383</v>
      </c>
      <c r="O7" s="51" t="s">
        <v>247</v>
      </c>
      <c r="P7" s="51"/>
      <c r="Q7" s="51"/>
      <c r="R7" s="51"/>
      <c r="S7" s="51"/>
      <c r="T7" s="51"/>
      <c r="U7" s="51"/>
      <c r="V7" s="51" t="s">
        <v>201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423</v>
      </c>
      <c r="D8" s="51" t="s">
        <v>391</v>
      </c>
      <c r="E8" s="51">
        <v>1</v>
      </c>
      <c r="F8" s="76" t="s">
        <v>264</v>
      </c>
      <c r="G8" s="51" t="s">
        <v>380</v>
      </c>
      <c r="H8" s="76" t="s">
        <v>207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378</v>
      </c>
      <c r="N8" s="51" t="s">
        <v>383</v>
      </c>
      <c r="O8" s="51" t="s">
        <v>247</v>
      </c>
      <c r="P8" s="51"/>
      <c r="Q8" s="51"/>
      <c r="R8" s="51"/>
      <c r="S8" s="51"/>
      <c r="T8" s="51"/>
      <c r="U8" s="51"/>
      <c r="V8" s="51" t="s">
        <v>201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423</v>
      </c>
      <c r="D9" s="51" t="s">
        <v>391</v>
      </c>
      <c r="E9" s="51">
        <v>1</v>
      </c>
      <c r="F9" s="76" t="s">
        <v>264</v>
      </c>
      <c r="G9" s="51" t="s">
        <v>381</v>
      </c>
      <c r="H9" s="76" t="s">
        <v>207</v>
      </c>
      <c r="I9" s="75">
        <v>46416</v>
      </c>
      <c r="J9" s="52">
        <v>46388</v>
      </c>
      <c r="K9" s="51" t="s">
        <v>58</v>
      </c>
      <c r="L9" s="74" t="s">
        <v>374</v>
      </c>
      <c r="M9" s="51" t="s">
        <v>378</v>
      </c>
      <c r="N9" s="51" t="s">
        <v>383</v>
      </c>
      <c r="O9" s="51" t="s">
        <v>247</v>
      </c>
      <c r="P9" s="51"/>
      <c r="Q9" s="51"/>
      <c r="R9" s="51"/>
      <c r="S9" s="51"/>
      <c r="T9" s="51"/>
      <c r="U9" s="51"/>
      <c r="V9" s="51" t="s">
        <v>201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423</v>
      </c>
      <c r="D10" s="51" t="s">
        <v>391</v>
      </c>
      <c r="E10" s="51">
        <v>1</v>
      </c>
      <c r="F10" s="76" t="s">
        <v>264</v>
      </c>
      <c r="G10" s="51" t="s">
        <v>382</v>
      </c>
      <c r="H10" s="76" t="s">
        <v>207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378</v>
      </c>
      <c r="N10" s="51" t="s">
        <v>383</v>
      </c>
      <c r="O10" s="51" t="s">
        <v>247</v>
      </c>
      <c r="P10" s="51"/>
      <c r="Q10" s="51"/>
      <c r="R10" s="51"/>
      <c r="S10" s="51"/>
      <c r="T10" s="51"/>
      <c r="U10" s="51"/>
      <c r="V10" s="51" t="s">
        <v>201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423</v>
      </c>
      <c r="D11" s="51" t="s">
        <v>391</v>
      </c>
      <c r="E11" s="51">
        <v>1</v>
      </c>
      <c r="F11" s="76" t="s">
        <v>264</v>
      </c>
      <c r="G11" s="51" t="s">
        <v>380</v>
      </c>
      <c r="H11" s="76" t="s">
        <v>208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378</v>
      </c>
      <c r="N11" s="51" t="s">
        <v>383</v>
      </c>
      <c r="O11" s="51" t="s">
        <v>247</v>
      </c>
      <c r="P11" s="51"/>
      <c r="Q11" s="51"/>
      <c r="R11" s="51"/>
      <c r="S11" s="51"/>
      <c r="T11" s="51"/>
      <c r="U11" s="51"/>
      <c r="V11" s="51" t="s">
        <v>201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423</v>
      </c>
      <c r="D12" s="51" t="s">
        <v>391</v>
      </c>
      <c r="E12" s="51">
        <v>1</v>
      </c>
      <c r="F12" s="76" t="s">
        <v>264</v>
      </c>
      <c r="G12" s="51" t="s">
        <v>381</v>
      </c>
      <c r="H12" s="76" t="s">
        <v>208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378</v>
      </c>
      <c r="N12" s="51" t="s">
        <v>383</v>
      </c>
      <c r="O12" s="51" t="s">
        <v>247</v>
      </c>
      <c r="P12" s="51"/>
      <c r="Q12" s="51"/>
      <c r="R12" s="51"/>
      <c r="S12" s="51"/>
      <c r="T12" s="51"/>
      <c r="U12" s="51"/>
      <c r="V12" s="51" t="s">
        <v>201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423</v>
      </c>
      <c r="D13" s="51" t="s">
        <v>391</v>
      </c>
      <c r="E13" s="51">
        <v>1</v>
      </c>
      <c r="F13" s="76" t="s">
        <v>264</v>
      </c>
      <c r="G13" s="51" t="s">
        <v>382</v>
      </c>
      <c r="H13" s="76" t="s">
        <v>208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378</v>
      </c>
      <c r="N13" s="51" t="s">
        <v>383</v>
      </c>
      <c r="O13" s="51" t="s">
        <v>247</v>
      </c>
      <c r="P13" s="51"/>
      <c r="Q13" s="51"/>
      <c r="R13" s="51"/>
      <c r="S13" s="51"/>
      <c r="T13" s="51"/>
      <c r="U13" s="51"/>
      <c r="V13" s="51" t="s">
        <v>201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423</v>
      </c>
      <c r="D14" s="51" t="s">
        <v>391</v>
      </c>
      <c r="E14" s="51">
        <v>1</v>
      </c>
      <c r="F14" s="76" t="s">
        <v>264</v>
      </c>
      <c r="G14" s="51" t="s">
        <v>380</v>
      </c>
      <c r="H14" s="76" t="s">
        <v>209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378</v>
      </c>
      <c r="N14" s="51" t="s">
        <v>383</v>
      </c>
      <c r="O14" s="51" t="s">
        <v>247</v>
      </c>
      <c r="P14" s="51"/>
      <c r="Q14" s="51"/>
      <c r="R14" s="51"/>
      <c r="S14" s="51"/>
      <c r="T14" s="51"/>
      <c r="U14" s="51"/>
      <c r="V14" s="51" t="s">
        <v>201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423</v>
      </c>
      <c r="D15" s="51" t="s">
        <v>391</v>
      </c>
      <c r="E15" s="51">
        <v>1</v>
      </c>
      <c r="F15" s="76" t="s">
        <v>264</v>
      </c>
      <c r="G15" s="51" t="s">
        <v>381</v>
      </c>
      <c r="H15" s="76" t="s">
        <v>209</v>
      </c>
      <c r="I15" s="75">
        <v>46422</v>
      </c>
      <c r="J15" s="52">
        <v>46388</v>
      </c>
      <c r="K15" s="51" t="s">
        <v>58</v>
      </c>
      <c r="L15" s="74" t="s">
        <v>375</v>
      </c>
      <c r="M15" s="51" t="s">
        <v>378</v>
      </c>
      <c r="N15" s="51" t="s">
        <v>383</v>
      </c>
      <c r="O15" s="51" t="s">
        <v>247</v>
      </c>
      <c r="P15" s="51"/>
      <c r="Q15" s="51"/>
      <c r="R15" s="51"/>
      <c r="S15" s="51"/>
      <c r="T15" s="51"/>
      <c r="U15" s="51"/>
      <c r="V15" s="51" t="s">
        <v>201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423</v>
      </c>
      <c r="D16" s="51" t="s">
        <v>391</v>
      </c>
      <c r="E16" s="51">
        <v>1</v>
      </c>
      <c r="F16" s="76" t="s">
        <v>264</v>
      </c>
      <c r="G16" s="51" t="s">
        <v>382</v>
      </c>
      <c r="H16" s="76" t="s">
        <v>209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378</v>
      </c>
      <c r="N16" s="51" t="s">
        <v>383</v>
      </c>
      <c r="O16" s="51" t="s">
        <v>247</v>
      </c>
      <c r="P16" s="51"/>
      <c r="Q16" s="51"/>
      <c r="R16" s="51"/>
      <c r="S16" s="51"/>
      <c r="T16" s="51"/>
      <c r="U16" s="51"/>
      <c r="V16" s="51" t="s">
        <v>201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423</v>
      </c>
      <c r="D17" s="51" t="s">
        <v>391</v>
      </c>
      <c r="E17" s="51">
        <v>1</v>
      </c>
      <c r="F17" s="76" t="s">
        <v>377</v>
      </c>
      <c r="G17" s="51" t="s">
        <v>380</v>
      </c>
      <c r="H17" s="76" t="s">
        <v>249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378</v>
      </c>
      <c r="N17" s="51" t="s">
        <v>383</v>
      </c>
      <c r="O17" s="51" t="s">
        <v>247</v>
      </c>
      <c r="P17" s="51"/>
      <c r="Q17" s="51"/>
      <c r="R17" s="51"/>
      <c r="S17" s="51"/>
      <c r="T17" s="51"/>
      <c r="U17" s="51"/>
      <c r="V17" s="51" t="s">
        <v>201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423</v>
      </c>
      <c r="D18" s="51" t="s">
        <v>391</v>
      </c>
      <c r="E18" s="51">
        <v>1</v>
      </c>
      <c r="F18" s="76" t="s">
        <v>377</v>
      </c>
      <c r="G18" s="51" t="s">
        <v>381</v>
      </c>
      <c r="H18" s="76" t="s">
        <v>249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378</v>
      </c>
      <c r="N18" s="51" t="s">
        <v>383</v>
      </c>
      <c r="O18" s="51" t="s">
        <v>247</v>
      </c>
      <c r="P18" s="51"/>
      <c r="Q18" s="51"/>
      <c r="R18" s="51"/>
      <c r="S18" s="51"/>
      <c r="T18" s="51"/>
      <c r="U18" s="51"/>
      <c r="V18" s="51" t="s">
        <v>201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423</v>
      </c>
      <c r="D19" s="51" t="s">
        <v>391</v>
      </c>
      <c r="E19" s="51">
        <v>1</v>
      </c>
      <c r="F19" s="51" t="s">
        <v>377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460</v>
      </c>
      <c r="N19" s="53" t="s">
        <v>471</v>
      </c>
      <c r="O19" s="53" t="s">
        <v>485</v>
      </c>
      <c r="P19" s="53" t="s">
        <v>225</v>
      </c>
      <c r="Q19" s="51" t="s">
        <v>486</v>
      </c>
      <c r="R19" s="51" t="s">
        <v>383</v>
      </c>
      <c r="S19" s="51"/>
      <c r="T19" s="51"/>
      <c r="U19" s="51"/>
      <c r="V19" s="51" t="s">
        <v>203</v>
      </c>
      <c r="W19" s="51" t="s">
        <v>484</v>
      </c>
    </row>
    <row r="20" spans="1:23" ht="20.100000000000001" customHeight="1" x14ac:dyDescent="0.25">
      <c r="A20" s="78">
        <v>1020</v>
      </c>
      <c r="B20" s="78" t="s">
        <v>63</v>
      </c>
      <c r="C20" s="51" t="s">
        <v>372</v>
      </c>
      <c r="D20" s="51" t="s">
        <v>391</v>
      </c>
      <c r="E20" s="51">
        <v>1</v>
      </c>
      <c r="F20" s="76" t="s">
        <v>264</v>
      </c>
      <c r="G20" s="51" t="s">
        <v>382</v>
      </c>
      <c r="H20" s="76" t="s">
        <v>249</v>
      </c>
      <c r="I20" s="75">
        <v>46430</v>
      </c>
      <c r="J20" s="52">
        <v>46388</v>
      </c>
      <c r="K20" s="51" t="s">
        <v>58</v>
      </c>
      <c r="L20" s="74" t="s">
        <v>376</v>
      </c>
      <c r="M20" s="51" t="s">
        <v>378</v>
      </c>
      <c r="N20" s="51" t="s">
        <v>383</v>
      </c>
      <c r="O20" s="51" t="s">
        <v>247</v>
      </c>
      <c r="P20" s="51"/>
      <c r="Q20" s="51"/>
      <c r="R20" s="51"/>
      <c r="S20" s="51"/>
      <c r="T20" s="51"/>
      <c r="U20" s="51"/>
      <c r="V20" s="51" t="s">
        <v>201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391</v>
      </c>
      <c r="E21" s="51">
        <v>1</v>
      </c>
      <c r="F21" s="51" t="s">
        <v>202</v>
      </c>
      <c r="G21" s="51" t="s">
        <v>380</v>
      </c>
      <c r="H21" s="51" t="s">
        <v>205</v>
      </c>
      <c r="I21" s="52">
        <v>46410</v>
      </c>
      <c r="J21" s="52">
        <v>46388</v>
      </c>
      <c r="K21" s="51" t="s">
        <v>58</v>
      </c>
      <c r="L21" s="74" t="s">
        <v>392</v>
      </c>
      <c r="M21" s="51" t="s">
        <v>378</v>
      </c>
      <c r="N21" s="51" t="s">
        <v>383</v>
      </c>
      <c r="O21" s="51" t="s">
        <v>247</v>
      </c>
      <c r="P21" s="51"/>
      <c r="Q21" s="51"/>
      <c r="R21" s="51"/>
      <c r="S21" s="51"/>
      <c r="T21" s="51"/>
      <c r="U21" s="51"/>
      <c r="V21" s="51" t="s">
        <v>201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391</v>
      </c>
      <c r="E22" s="51">
        <v>1</v>
      </c>
      <c r="F22" s="51" t="s">
        <v>202</v>
      </c>
      <c r="G22" s="51" t="s">
        <v>381</v>
      </c>
      <c r="H22" s="51" t="s">
        <v>205</v>
      </c>
      <c r="I22" s="52">
        <v>46414</v>
      </c>
      <c r="J22" s="52">
        <v>46388</v>
      </c>
      <c r="K22" s="51" t="s">
        <v>58</v>
      </c>
      <c r="L22" s="74" t="s">
        <v>393</v>
      </c>
      <c r="M22" s="51" t="s">
        <v>378</v>
      </c>
      <c r="N22" s="51" t="s">
        <v>383</v>
      </c>
      <c r="O22" s="51" t="s">
        <v>247</v>
      </c>
      <c r="P22" s="51"/>
      <c r="Q22" s="51"/>
      <c r="R22" s="51"/>
      <c r="S22" s="51"/>
      <c r="T22" s="51"/>
      <c r="U22" s="51"/>
      <c r="V22" s="51" t="s">
        <v>201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391</v>
      </c>
      <c r="E23" s="51">
        <v>1</v>
      </c>
      <c r="F23" s="51" t="s">
        <v>202</v>
      </c>
      <c r="G23" s="51" t="s">
        <v>380</v>
      </c>
      <c r="H23" s="51" t="s">
        <v>206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378</v>
      </c>
      <c r="N23" s="51" t="s">
        <v>383</v>
      </c>
      <c r="O23" s="51" t="s">
        <v>247</v>
      </c>
      <c r="P23" s="51"/>
      <c r="Q23" s="51"/>
      <c r="R23" s="51"/>
      <c r="S23" s="51"/>
      <c r="T23" s="51"/>
      <c r="U23" s="51"/>
      <c r="V23" s="51" t="s">
        <v>201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391</v>
      </c>
      <c r="E24" s="51">
        <v>1</v>
      </c>
      <c r="F24" s="51">
        <v>1700</v>
      </c>
      <c r="G24" s="51" t="s">
        <v>381</v>
      </c>
      <c r="H24" s="51" t="s">
        <v>206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378</v>
      </c>
      <c r="N24" s="51" t="s">
        <v>383</v>
      </c>
      <c r="O24" s="51" t="s">
        <v>247</v>
      </c>
      <c r="P24" s="51"/>
      <c r="Q24" s="51"/>
      <c r="R24" s="51"/>
      <c r="S24" s="51"/>
      <c r="T24" s="51"/>
      <c r="U24" s="51"/>
      <c r="V24" s="51" t="s">
        <v>201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391</v>
      </c>
      <c r="E25" s="51">
        <v>1</v>
      </c>
      <c r="F25" s="51">
        <v>1700</v>
      </c>
      <c r="G25" s="51" t="s">
        <v>380</v>
      </c>
      <c r="H25" s="51" t="s">
        <v>207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378</v>
      </c>
      <c r="N25" s="51" t="s">
        <v>383</v>
      </c>
      <c r="O25" s="51" t="s">
        <v>247</v>
      </c>
      <c r="P25" s="51"/>
      <c r="Q25" s="51"/>
      <c r="R25" s="51"/>
      <c r="S25" s="51"/>
      <c r="T25" s="51"/>
      <c r="U25" s="51"/>
      <c r="V25" s="51" t="s">
        <v>201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391</v>
      </c>
      <c r="E26" s="51">
        <v>1</v>
      </c>
      <c r="F26" s="51">
        <v>1700</v>
      </c>
      <c r="G26" s="51" t="s">
        <v>381</v>
      </c>
      <c r="H26" s="51" t="s">
        <v>207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378</v>
      </c>
      <c r="N26" s="53" t="s">
        <v>383</v>
      </c>
      <c r="O26" s="53" t="s">
        <v>247</v>
      </c>
      <c r="P26" s="51"/>
      <c r="Q26" s="51"/>
      <c r="R26" s="51"/>
      <c r="S26" s="51"/>
      <c r="T26" s="51"/>
      <c r="U26" s="51"/>
      <c r="V26" s="51" t="s">
        <v>458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391</v>
      </c>
      <c r="E27" s="51">
        <v>1</v>
      </c>
      <c r="F27" s="51">
        <v>1700</v>
      </c>
      <c r="G27" s="51" t="s">
        <v>380</v>
      </c>
      <c r="H27" s="51" t="s">
        <v>208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378</v>
      </c>
      <c r="N27" s="51" t="s">
        <v>383</v>
      </c>
      <c r="O27" s="51" t="s">
        <v>247</v>
      </c>
      <c r="P27" s="51"/>
      <c r="Q27" s="51"/>
      <c r="R27" s="51"/>
      <c r="S27" s="51"/>
      <c r="T27" s="51"/>
      <c r="U27" s="51"/>
      <c r="V27" s="51" t="s">
        <v>201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391</v>
      </c>
      <c r="E28" s="51">
        <v>1</v>
      </c>
      <c r="F28" s="51">
        <v>1700</v>
      </c>
      <c r="G28" s="51" t="s">
        <v>381</v>
      </c>
      <c r="H28" s="51" t="s">
        <v>208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378</v>
      </c>
      <c r="N28" s="53" t="s">
        <v>383</v>
      </c>
      <c r="O28" s="53" t="s">
        <v>247</v>
      </c>
      <c r="P28" s="51"/>
      <c r="Q28" s="51"/>
      <c r="R28" s="51"/>
      <c r="S28" s="51"/>
      <c r="T28" s="51"/>
      <c r="U28" s="51"/>
      <c r="V28" s="51" t="s">
        <v>458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391</v>
      </c>
      <c r="E29" s="51">
        <v>1</v>
      </c>
      <c r="F29" s="51">
        <v>1700</v>
      </c>
      <c r="G29" s="51" t="s">
        <v>380</v>
      </c>
      <c r="H29" s="51" t="s">
        <v>209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378</v>
      </c>
      <c r="N29" s="51" t="s">
        <v>383</v>
      </c>
      <c r="O29" s="51" t="s">
        <v>247</v>
      </c>
      <c r="P29" s="51"/>
      <c r="Q29" s="51"/>
      <c r="R29" s="51"/>
      <c r="S29" s="51"/>
      <c r="T29" s="51"/>
      <c r="U29" s="51"/>
      <c r="V29" s="51" t="s">
        <v>201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391</v>
      </c>
      <c r="E30" s="51">
        <v>1</v>
      </c>
      <c r="F30" s="51">
        <v>1700</v>
      </c>
      <c r="G30" s="51" t="s">
        <v>381</v>
      </c>
      <c r="H30" s="51" t="s">
        <v>209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378</v>
      </c>
      <c r="N30" s="53" t="s">
        <v>383</v>
      </c>
      <c r="O30" s="53" t="s">
        <v>247</v>
      </c>
      <c r="P30" s="51"/>
      <c r="Q30" s="51"/>
      <c r="R30" s="51"/>
      <c r="S30" s="51"/>
      <c r="T30" s="51"/>
      <c r="U30" s="51"/>
      <c r="V30" s="51" t="s">
        <v>458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391</v>
      </c>
      <c r="E31" s="51">
        <v>1</v>
      </c>
      <c r="F31" s="51">
        <v>1700</v>
      </c>
      <c r="G31" s="51" t="s">
        <v>255</v>
      </c>
      <c r="H31" s="51" t="s">
        <v>208</v>
      </c>
      <c r="I31" s="52">
        <v>46424</v>
      </c>
      <c r="J31" s="52">
        <v>46388</v>
      </c>
      <c r="K31" s="51" t="s">
        <v>58</v>
      </c>
      <c r="L31" s="74" t="s">
        <v>394</v>
      </c>
      <c r="M31" s="51" t="s">
        <v>378</v>
      </c>
      <c r="N31" s="51" t="s">
        <v>383</v>
      </c>
      <c r="O31" s="51" t="s">
        <v>247</v>
      </c>
      <c r="P31" s="51"/>
      <c r="Q31" s="51"/>
      <c r="R31" s="51"/>
      <c r="S31" s="51"/>
      <c r="T31" s="51"/>
      <c r="U31" s="51"/>
      <c r="V31" s="51" t="s">
        <v>201</v>
      </c>
      <c r="W31" s="51" t="s">
        <v>397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391</v>
      </c>
      <c r="E32" s="51">
        <v>1</v>
      </c>
      <c r="F32" s="51" t="s">
        <v>202</v>
      </c>
      <c r="G32" s="51" t="s">
        <v>382</v>
      </c>
      <c r="H32" s="51" t="s">
        <v>205</v>
      </c>
      <c r="I32" s="52">
        <v>46426</v>
      </c>
      <c r="J32" s="52">
        <v>46388</v>
      </c>
      <c r="K32" s="51" t="s">
        <v>58</v>
      </c>
      <c r="L32" s="74" t="s">
        <v>395</v>
      </c>
      <c r="M32" s="53" t="s">
        <v>378</v>
      </c>
      <c r="N32" s="53" t="s">
        <v>383</v>
      </c>
      <c r="O32" s="53" t="s">
        <v>247</v>
      </c>
      <c r="P32" s="51"/>
      <c r="Q32" s="51"/>
      <c r="R32" s="51"/>
      <c r="S32" s="51"/>
      <c r="T32" s="51"/>
      <c r="U32" s="51"/>
      <c r="V32" s="51" t="s">
        <v>458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391</v>
      </c>
      <c r="E33" s="51">
        <v>1</v>
      </c>
      <c r="F33" s="51">
        <v>1700</v>
      </c>
      <c r="G33" s="51" t="s">
        <v>382</v>
      </c>
      <c r="H33" s="51" t="s">
        <v>206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378</v>
      </c>
      <c r="N33" s="51" t="s">
        <v>383</v>
      </c>
      <c r="O33" s="51" t="s">
        <v>247</v>
      </c>
      <c r="P33" s="51"/>
      <c r="Q33" s="51"/>
      <c r="R33" s="51"/>
      <c r="S33" s="51"/>
      <c r="T33" s="51"/>
      <c r="U33" s="51"/>
      <c r="V33" s="51" t="s">
        <v>201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391</v>
      </c>
      <c r="E34" s="51">
        <v>1</v>
      </c>
      <c r="F34" s="51">
        <v>1700</v>
      </c>
      <c r="G34" s="51" t="s">
        <v>382</v>
      </c>
      <c r="H34" s="51" t="s">
        <v>207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378</v>
      </c>
      <c r="N34" s="53" t="s">
        <v>383</v>
      </c>
      <c r="O34" s="53" t="s">
        <v>247</v>
      </c>
      <c r="P34" s="51"/>
      <c r="Q34" s="51"/>
      <c r="R34" s="51"/>
      <c r="S34" s="51"/>
      <c r="T34" s="51"/>
      <c r="U34" s="51"/>
      <c r="V34" s="51" t="s">
        <v>458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391</v>
      </c>
      <c r="E35" s="51">
        <v>1</v>
      </c>
      <c r="F35" s="51">
        <v>1700</v>
      </c>
      <c r="G35" s="51" t="s">
        <v>382</v>
      </c>
      <c r="H35" s="51" t="s">
        <v>208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378</v>
      </c>
      <c r="N35" s="51" t="s">
        <v>383</v>
      </c>
      <c r="O35" s="51" t="s">
        <v>247</v>
      </c>
      <c r="P35" s="51"/>
      <c r="Q35" s="51"/>
      <c r="R35" s="51"/>
      <c r="S35" s="51"/>
      <c r="T35" s="51"/>
      <c r="U35" s="51"/>
      <c r="V35" s="51" t="s">
        <v>201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391</v>
      </c>
      <c r="E36" s="51">
        <v>1</v>
      </c>
      <c r="F36" s="51">
        <v>1700</v>
      </c>
      <c r="G36" s="51" t="s">
        <v>382</v>
      </c>
      <c r="H36" s="51" t="s">
        <v>209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378</v>
      </c>
      <c r="N36" s="51" t="s">
        <v>383</v>
      </c>
      <c r="O36" s="51" t="s">
        <v>247</v>
      </c>
      <c r="P36" s="51"/>
      <c r="Q36" s="51"/>
      <c r="R36" s="51"/>
      <c r="S36" s="51"/>
      <c r="T36" s="51"/>
      <c r="U36" s="51"/>
      <c r="V36" s="51" t="s">
        <v>201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153</v>
      </c>
      <c r="D37" s="51" t="s">
        <v>391</v>
      </c>
      <c r="E37" s="51">
        <v>1</v>
      </c>
      <c r="F37" s="51" t="s">
        <v>248</v>
      </c>
      <c r="G37" s="51" t="s">
        <v>380</v>
      </c>
      <c r="H37" s="51" t="s">
        <v>205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460</v>
      </c>
      <c r="N37" s="51" t="s">
        <v>383</v>
      </c>
      <c r="O37" s="51"/>
      <c r="P37" s="51"/>
      <c r="Q37" s="51"/>
      <c r="R37" s="51"/>
      <c r="S37" s="51"/>
      <c r="T37" s="51"/>
      <c r="U37" s="51"/>
      <c r="V37" s="51" t="s">
        <v>203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153</v>
      </c>
      <c r="D38" s="51" t="s">
        <v>391</v>
      </c>
      <c r="E38" s="51">
        <v>1</v>
      </c>
      <c r="F38" s="51" t="s">
        <v>248</v>
      </c>
      <c r="G38" s="51" t="s">
        <v>380</v>
      </c>
      <c r="H38" s="51" t="s">
        <v>206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460</v>
      </c>
      <c r="N38" s="51" t="s">
        <v>383</v>
      </c>
      <c r="O38" s="51"/>
      <c r="P38" s="51"/>
      <c r="Q38" s="51"/>
      <c r="R38" s="51"/>
      <c r="S38" s="51"/>
      <c r="T38" s="51"/>
      <c r="U38" s="51"/>
      <c r="V38" s="51" t="s">
        <v>203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153</v>
      </c>
      <c r="D39" s="51" t="s">
        <v>391</v>
      </c>
      <c r="E39" s="51">
        <v>1</v>
      </c>
      <c r="F39" s="51" t="s">
        <v>248</v>
      </c>
      <c r="G39" s="51" t="s">
        <v>382</v>
      </c>
      <c r="H39" s="51" t="s">
        <v>206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483</v>
      </c>
      <c r="N39" s="51" t="s">
        <v>515</v>
      </c>
      <c r="O39" s="51" t="s">
        <v>485</v>
      </c>
      <c r="P39" s="51" t="s">
        <v>225</v>
      </c>
      <c r="Q39" s="51" t="s">
        <v>383</v>
      </c>
      <c r="R39" s="51"/>
      <c r="S39" s="51"/>
      <c r="T39" s="51"/>
      <c r="U39" s="51"/>
      <c r="V39" s="51" t="s">
        <v>203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153</v>
      </c>
      <c r="D40" s="51" t="s">
        <v>391</v>
      </c>
      <c r="E40" s="51">
        <v>1</v>
      </c>
      <c r="F40" s="51" t="s">
        <v>248</v>
      </c>
      <c r="G40" s="51" t="s">
        <v>459</v>
      </c>
      <c r="H40" s="51" t="s">
        <v>206</v>
      </c>
      <c r="I40" s="52">
        <v>46254</v>
      </c>
      <c r="J40" s="52">
        <v>46224</v>
      </c>
      <c r="K40" s="51" t="s">
        <v>56</v>
      </c>
      <c r="L40" s="51">
        <v>7</v>
      </c>
      <c r="M40" s="51" t="s">
        <v>460</v>
      </c>
      <c r="N40" s="51" t="s">
        <v>383</v>
      </c>
      <c r="O40" s="51"/>
      <c r="P40" s="51"/>
      <c r="Q40" s="51"/>
      <c r="R40" s="51"/>
      <c r="S40" s="51"/>
      <c r="T40" s="51"/>
      <c r="U40" s="51"/>
      <c r="V40" s="51" t="s">
        <v>203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153</v>
      </c>
      <c r="D41" s="51" t="s">
        <v>391</v>
      </c>
      <c r="E41" s="51">
        <v>1</v>
      </c>
      <c r="F41" s="51" t="s">
        <v>248</v>
      </c>
      <c r="G41" s="51" t="s">
        <v>380</v>
      </c>
      <c r="H41" s="51" t="s">
        <v>207</v>
      </c>
      <c r="I41" s="52">
        <v>46254</v>
      </c>
      <c r="J41" s="52">
        <v>46224</v>
      </c>
      <c r="K41" s="51" t="s">
        <v>56</v>
      </c>
      <c r="L41" s="51">
        <v>21</v>
      </c>
      <c r="M41" s="51" t="s">
        <v>460</v>
      </c>
      <c r="N41" s="51" t="s">
        <v>383</v>
      </c>
      <c r="O41" s="51"/>
      <c r="P41" s="51"/>
      <c r="Q41" s="51"/>
      <c r="R41" s="51"/>
      <c r="S41" s="51"/>
      <c r="T41" s="51"/>
      <c r="U41" s="51"/>
      <c r="V41" s="51" t="s">
        <v>203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153</v>
      </c>
      <c r="D42" s="51" t="s">
        <v>391</v>
      </c>
      <c r="E42" s="51">
        <v>1</v>
      </c>
      <c r="F42" s="51" t="s">
        <v>248</v>
      </c>
      <c r="G42" s="51" t="s">
        <v>459</v>
      </c>
      <c r="H42" s="51" t="s">
        <v>207</v>
      </c>
      <c r="I42" s="52">
        <v>46254</v>
      </c>
      <c r="J42" s="52">
        <v>46224</v>
      </c>
      <c r="K42" s="51" t="s">
        <v>56</v>
      </c>
      <c r="L42" s="51">
        <v>4</v>
      </c>
      <c r="M42" s="51" t="s">
        <v>460</v>
      </c>
      <c r="N42" s="51" t="s">
        <v>383</v>
      </c>
      <c r="O42" s="51"/>
      <c r="P42" s="51"/>
      <c r="Q42" s="51"/>
      <c r="R42" s="51"/>
      <c r="S42" s="51"/>
      <c r="T42" s="51"/>
      <c r="U42" s="51"/>
      <c r="V42" s="51" t="s">
        <v>203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153</v>
      </c>
      <c r="D43" s="51" t="s">
        <v>391</v>
      </c>
      <c r="E43" s="51">
        <v>1</v>
      </c>
      <c r="F43" s="51" t="s">
        <v>248</v>
      </c>
      <c r="G43" s="51" t="s">
        <v>380</v>
      </c>
      <c r="H43" s="51" t="s">
        <v>208</v>
      </c>
      <c r="I43" s="52">
        <v>46254</v>
      </c>
      <c r="J43" s="52">
        <v>46224</v>
      </c>
      <c r="K43" s="51" t="s">
        <v>56</v>
      </c>
      <c r="L43" s="51">
        <v>5</v>
      </c>
      <c r="M43" s="51" t="s">
        <v>460</v>
      </c>
      <c r="N43" s="51" t="s">
        <v>383</v>
      </c>
      <c r="O43" s="51"/>
      <c r="P43" s="51"/>
      <c r="Q43" s="51"/>
      <c r="R43" s="51"/>
      <c r="S43" s="51"/>
      <c r="T43" s="51"/>
      <c r="U43" s="51"/>
      <c r="V43" s="51" t="s">
        <v>203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153</v>
      </c>
      <c r="D44" s="51" t="s">
        <v>391</v>
      </c>
      <c r="E44" s="51">
        <v>1</v>
      </c>
      <c r="F44" s="51" t="s">
        <v>248</v>
      </c>
      <c r="G44" s="51" t="s">
        <v>382</v>
      </c>
      <c r="H44" s="51" t="s">
        <v>208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483</v>
      </c>
      <c r="N44" s="51" t="s">
        <v>225</v>
      </c>
      <c r="O44" s="51" t="s">
        <v>383</v>
      </c>
      <c r="P44" s="51"/>
      <c r="Q44" s="51"/>
      <c r="R44" s="51"/>
      <c r="S44" s="51"/>
      <c r="T44" s="51"/>
      <c r="U44" s="51"/>
      <c r="V44" s="51" t="s">
        <v>203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153</v>
      </c>
      <c r="D45" s="51" t="s">
        <v>391</v>
      </c>
      <c r="E45" s="51">
        <v>1</v>
      </c>
      <c r="F45" s="51" t="s">
        <v>248</v>
      </c>
      <c r="G45" s="51" t="s">
        <v>380</v>
      </c>
      <c r="H45" s="51" t="s">
        <v>209</v>
      </c>
      <c r="I45" s="52">
        <v>46254</v>
      </c>
      <c r="J45" s="52">
        <v>46224</v>
      </c>
      <c r="K45" s="51" t="s">
        <v>56</v>
      </c>
      <c r="L45" s="51">
        <v>13</v>
      </c>
      <c r="M45" s="51" t="s">
        <v>460</v>
      </c>
      <c r="N45" s="51" t="s">
        <v>383</v>
      </c>
      <c r="O45" s="51"/>
      <c r="P45" s="51"/>
      <c r="Q45" s="51"/>
      <c r="R45" s="51"/>
      <c r="S45" s="51"/>
      <c r="T45" s="51"/>
      <c r="U45" s="51"/>
      <c r="V45" s="51" t="s">
        <v>203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153</v>
      </c>
      <c r="D46" s="51" t="s">
        <v>391</v>
      </c>
      <c r="E46" s="51">
        <v>1</v>
      </c>
      <c r="F46" s="51" t="s">
        <v>248</v>
      </c>
      <c r="G46" s="51" t="s">
        <v>382</v>
      </c>
      <c r="H46" s="51" t="s">
        <v>209</v>
      </c>
      <c r="I46" s="52">
        <v>46254</v>
      </c>
      <c r="J46" s="52">
        <v>46224</v>
      </c>
      <c r="K46" s="51" t="s">
        <v>56</v>
      </c>
      <c r="L46" s="51">
        <v>30</v>
      </c>
      <c r="M46" s="51" t="s">
        <v>460</v>
      </c>
      <c r="N46" s="51" t="s">
        <v>383</v>
      </c>
      <c r="O46" s="51"/>
      <c r="P46" s="51"/>
      <c r="Q46" s="51"/>
      <c r="R46" s="51"/>
      <c r="S46" s="51"/>
      <c r="T46" s="51"/>
      <c r="U46" s="51"/>
      <c r="V46" s="51" t="s">
        <v>203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153</v>
      </c>
      <c r="D47" s="51" t="s">
        <v>391</v>
      </c>
      <c r="E47" s="51">
        <v>1</v>
      </c>
      <c r="F47" s="51" t="s">
        <v>248</v>
      </c>
      <c r="G47" s="51" t="s">
        <v>459</v>
      </c>
      <c r="H47" s="51" t="s">
        <v>209</v>
      </c>
      <c r="I47" s="52">
        <v>46254</v>
      </c>
      <c r="J47" s="52">
        <v>46224</v>
      </c>
      <c r="K47" s="51" t="s">
        <v>56</v>
      </c>
      <c r="L47" s="51">
        <v>23</v>
      </c>
      <c r="M47" s="51" t="s">
        <v>460</v>
      </c>
      <c r="N47" s="51" t="s">
        <v>383</v>
      </c>
      <c r="O47" s="51"/>
      <c r="P47" s="51"/>
      <c r="Q47" s="51"/>
      <c r="R47" s="51"/>
      <c r="S47" s="51"/>
      <c r="T47" s="51"/>
      <c r="U47" s="51"/>
      <c r="V47" s="51" t="s">
        <v>203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153</v>
      </c>
      <c r="D48" s="51" t="s">
        <v>391</v>
      </c>
      <c r="E48" s="51">
        <v>1</v>
      </c>
      <c r="F48" s="51" t="s">
        <v>248</v>
      </c>
      <c r="G48" s="54" t="s">
        <v>382</v>
      </c>
      <c r="H48" s="51" t="s">
        <v>207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460</v>
      </c>
      <c r="N48" s="51" t="s">
        <v>515</v>
      </c>
      <c r="O48" s="51" t="s">
        <v>485</v>
      </c>
      <c r="P48" s="51" t="s">
        <v>516</v>
      </c>
      <c r="Q48" s="51" t="s">
        <v>486</v>
      </c>
      <c r="R48" s="51" t="s">
        <v>383</v>
      </c>
      <c r="S48" s="51"/>
      <c r="T48" s="51"/>
      <c r="U48" s="51"/>
      <c r="V48" s="51" t="s">
        <v>203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153</v>
      </c>
      <c r="D49" s="51" t="s">
        <v>391</v>
      </c>
      <c r="E49" s="51">
        <v>1</v>
      </c>
      <c r="F49" s="51" t="s">
        <v>248</v>
      </c>
      <c r="G49" s="54" t="s">
        <v>488</v>
      </c>
      <c r="H49" s="51" t="s">
        <v>209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460</v>
      </c>
      <c r="N49" s="51" t="s">
        <v>383</v>
      </c>
      <c r="O49" s="51"/>
      <c r="P49" s="51"/>
      <c r="Q49" s="51"/>
      <c r="R49" s="51"/>
      <c r="S49" s="51"/>
      <c r="T49" s="51"/>
      <c r="U49" s="51"/>
      <c r="V49" s="51" t="s">
        <v>203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153</v>
      </c>
      <c r="D50" s="51" t="s">
        <v>391</v>
      </c>
      <c r="E50" s="51">
        <v>1</v>
      </c>
      <c r="F50" s="51" t="s">
        <v>248</v>
      </c>
      <c r="G50" s="54" t="s">
        <v>488</v>
      </c>
      <c r="H50" s="51" t="s">
        <v>205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460</v>
      </c>
      <c r="N50" s="51" t="s">
        <v>383</v>
      </c>
      <c r="O50" s="51"/>
      <c r="P50" s="51"/>
      <c r="Q50" s="51"/>
      <c r="R50" s="51"/>
      <c r="S50" s="51"/>
      <c r="T50" s="51"/>
      <c r="U50" s="51"/>
      <c r="V50" s="51" t="s">
        <v>203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271</v>
      </c>
      <c r="D51" s="51" t="s">
        <v>391</v>
      </c>
      <c r="E51" s="51">
        <v>1</v>
      </c>
      <c r="F51" s="51" t="s">
        <v>269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460</v>
      </c>
      <c r="N51" s="53" t="s">
        <v>383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271</v>
      </c>
      <c r="D52" s="51" t="s">
        <v>391</v>
      </c>
      <c r="E52" s="51">
        <v>1</v>
      </c>
      <c r="F52" s="51" t="s">
        <v>269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460</v>
      </c>
      <c r="N52" s="53" t="s">
        <v>383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259</v>
      </c>
      <c r="D53" s="51" t="s">
        <v>391</v>
      </c>
      <c r="E53" s="51">
        <v>1</v>
      </c>
      <c r="F53" s="51" t="s">
        <v>261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460</v>
      </c>
      <c r="N53" s="53" t="s">
        <v>383</v>
      </c>
      <c r="O53" s="51"/>
      <c r="P53" s="51"/>
      <c r="Q53" s="51"/>
      <c r="R53" s="51"/>
      <c r="S53" s="51"/>
      <c r="T53" s="51"/>
      <c r="U53" s="51"/>
      <c r="V53" s="51" t="s">
        <v>334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259</v>
      </c>
      <c r="D54" s="51" t="s">
        <v>391</v>
      </c>
      <c r="E54" s="51">
        <v>1</v>
      </c>
      <c r="F54" s="51" t="s">
        <v>261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460</v>
      </c>
      <c r="N54" s="53" t="s">
        <v>383</v>
      </c>
      <c r="O54" s="51"/>
      <c r="P54" s="51"/>
      <c r="Q54" s="51"/>
      <c r="R54" s="51"/>
      <c r="S54" s="51"/>
      <c r="T54" s="51"/>
      <c r="U54" s="51"/>
      <c r="V54" s="51" t="s">
        <v>334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259</v>
      </c>
      <c r="D55" s="51" t="s">
        <v>391</v>
      </c>
      <c r="E55" s="51">
        <v>1</v>
      </c>
      <c r="F55" s="51" t="s">
        <v>261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460</v>
      </c>
      <c r="N55" s="53" t="s">
        <v>383</v>
      </c>
      <c r="O55" s="51"/>
      <c r="P55" s="51"/>
      <c r="Q55" s="51"/>
      <c r="R55" s="51"/>
      <c r="S55" s="51"/>
      <c r="T55" s="51"/>
      <c r="U55" s="51"/>
      <c r="V55" s="51" t="s">
        <v>334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259</v>
      </c>
      <c r="D56" s="51" t="s">
        <v>391</v>
      </c>
      <c r="E56" s="51">
        <v>1</v>
      </c>
      <c r="F56" s="51" t="s">
        <v>261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460</v>
      </c>
      <c r="N56" s="53" t="s">
        <v>383</v>
      </c>
      <c r="O56" s="51"/>
      <c r="P56" s="51"/>
      <c r="Q56" s="51"/>
      <c r="R56" s="51"/>
      <c r="S56" s="51"/>
      <c r="T56" s="51"/>
      <c r="U56" s="51"/>
      <c r="V56" s="51" t="s">
        <v>334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259</v>
      </c>
      <c r="D57" s="51" t="s">
        <v>391</v>
      </c>
      <c r="E57" s="51">
        <v>1</v>
      </c>
      <c r="F57" s="51" t="s">
        <v>261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460</v>
      </c>
      <c r="N57" s="53" t="s">
        <v>383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259</v>
      </c>
      <c r="D58" s="51" t="s">
        <v>391</v>
      </c>
      <c r="E58" s="51">
        <v>1</v>
      </c>
      <c r="F58" s="51" t="s">
        <v>261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460</v>
      </c>
      <c r="N58" s="53" t="s">
        <v>383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259</v>
      </c>
      <c r="D59" s="51" t="s">
        <v>391</v>
      </c>
      <c r="E59" s="51">
        <v>1</v>
      </c>
      <c r="F59" s="51" t="s">
        <v>261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460</v>
      </c>
      <c r="N59" s="53" t="s">
        <v>383</v>
      </c>
      <c r="O59" s="51"/>
      <c r="P59" s="51"/>
      <c r="Q59" s="51"/>
      <c r="R59" s="51"/>
      <c r="S59" s="51"/>
      <c r="T59" s="51"/>
      <c r="U59" s="51"/>
      <c r="V59" s="51" t="s">
        <v>334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259</v>
      </c>
      <c r="D60" s="51" t="s">
        <v>391</v>
      </c>
      <c r="E60" s="51">
        <v>1</v>
      </c>
      <c r="F60" s="51" t="s">
        <v>261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460</v>
      </c>
      <c r="N60" s="53" t="s">
        <v>383</v>
      </c>
      <c r="O60" s="51"/>
      <c r="P60" s="51"/>
      <c r="Q60" s="51"/>
      <c r="R60" s="51"/>
      <c r="S60" s="51"/>
      <c r="T60" s="51"/>
      <c r="U60" s="51"/>
      <c r="V60" s="51" t="s">
        <v>334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259</v>
      </c>
      <c r="D61" s="51" t="s">
        <v>391</v>
      </c>
      <c r="E61" s="51">
        <v>1</v>
      </c>
      <c r="F61" s="51" t="s">
        <v>261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461</v>
      </c>
      <c r="M61" s="53" t="s">
        <v>460</v>
      </c>
      <c r="N61" s="53" t="s">
        <v>383</v>
      </c>
      <c r="O61" s="51"/>
      <c r="P61" s="51"/>
      <c r="Q61" s="51"/>
      <c r="R61" s="51"/>
      <c r="S61" s="51"/>
      <c r="T61" s="51"/>
      <c r="U61" s="51"/>
      <c r="V61" s="51" t="s">
        <v>334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259</v>
      </c>
      <c r="D62" s="51" t="s">
        <v>391</v>
      </c>
      <c r="E62" s="51">
        <v>1</v>
      </c>
      <c r="F62" s="51" t="s">
        <v>261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462</v>
      </c>
      <c r="M62" s="53" t="s">
        <v>460</v>
      </c>
      <c r="N62" s="53" t="s">
        <v>383</v>
      </c>
      <c r="O62" s="51"/>
      <c r="P62" s="51"/>
      <c r="Q62" s="51"/>
      <c r="R62" s="51"/>
      <c r="S62" s="51"/>
      <c r="T62" s="51"/>
      <c r="U62" s="51"/>
      <c r="V62" s="51" t="s">
        <v>334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259</v>
      </c>
      <c r="D63" s="51" t="s">
        <v>391</v>
      </c>
      <c r="E63" s="51">
        <v>1</v>
      </c>
      <c r="F63" s="51" t="s">
        <v>261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463</v>
      </c>
      <c r="M63" s="53" t="s">
        <v>460</v>
      </c>
      <c r="N63" s="53" t="s">
        <v>383</v>
      </c>
      <c r="O63" s="51"/>
      <c r="P63" s="51"/>
      <c r="Q63" s="51"/>
      <c r="R63" s="51"/>
      <c r="S63" s="51"/>
      <c r="T63" s="51"/>
      <c r="U63" s="51"/>
      <c r="V63" s="51" t="s">
        <v>257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256</v>
      </c>
      <c r="D64" s="51" t="s">
        <v>391</v>
      </c>
      <c r="E64" s="51">
        <v>1</v>
      </c>
      <c r="F64" s="54" t="s">
        <v>202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460</v>
      </c>
      <c r="N64" s="53" t="s">
        <v>383</v>
      </c>
      <c r="O64" s="51"/>
      <c r="P64" s="51"/>
      <c r="Q64" s="51"/>
      <c r="R64" s="51"/>
      <c r="S64" s="51"/>
      <c r="T64" s="51"/>
      <c r="U64" s="51"/>
      <c r="V64" s="51" t="s">
        <v>334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256</v>
      </c>
      <c r="D65" s="51" t="s">
        <v>391</v>
      </c>
      <c r="E65" s="51">
        <v>1</v>
      </c>
      <c r="F65" s="54" t="s">
        <v>202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460</v>
      </c>
      <c r="N65" s="53" t="s">
        <v>383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256</v>
      </c>
      <c r="D66" s="51" t="s">
        <v>391</v>
      </c>
      <c r="E66" s="51">
        <v>1</v>
      </c>
      <c r="F66" s="54" t="s">
        <v>202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378</v>
      </c>
      <c r="N66" s="51" t="s">
        <v>383</v>
      </c>
      <c r="O66" s="51" t="s">
        <v>247</v>
      </c>
      <c r="P66" s="51"/>
      <c r="Q66" s="51"/>
      <c r="R66" s="51"/>
      <c r="S66" s="51"/>
      <c r="T66" s="51"/>
      <c r="U66" s="51"/>
      <c r="V66" s="51" t="s">
        <v>201</v>
      </c>
      <c r="W66" s="51" t="s">
        <v>379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267</v>
      </c>
      <c r="D67" s="51" t="s">
        <v>391</v>
      </c>
      <c r="E67" s="51">
        <v>1</v>
      </c>
      <c r="F67" s="51" t="s">
        <v>268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460</v>
      </c>
      <c r="N67" s="53" t="s">
        <v>383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267</v>
      </c>
      <c r="D68" s="51" t="s">
        <v>391</v>
      </c>
      <c r="E68" s="51">
        <v>1</v>
      </c>
      <c r="F68" s="51" t="s">
        <v>269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464</v>
      </c>
      <c r="M68" s="53" t="s">
        <v>460</v>
      </c>
      <c r="N68" s="53" t="s">
        <v>383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263</v>
      </c>
      <c r="D69" s="51" t="s">
        <v>391</v>
      </c>
      <c r="E69" s="51">
        <v>1</v>
      </c>
      <c r="F69" s="51" t="s">
        <v>264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465</v>
      </c>
      <c r="M69" s="53" t="s">
        <v>460</v>
      </c>
      <c r="N69" s="53" t="s">
        <v>383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466</v>
      </c>
      <c r="D70" s="51" t="s">
        <v>391</v>
      </c>
      <c r="E70" s="51">
        <v>1</v>
      </c>
      <c r="F70" s="51" t="s">
        <v>268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460</v>
      </c>
      <c r="N70" s="53" t="s">
        <v>383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466</v>
      </c>
      <c r="D71" s="51" t="s">
        <v>391</v>
      </c>
      <c r="E71" s="51">
        <v>1</v>
      </c>
      <c r="F71" s="51" t="s">
        <v>268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460</v>
      </c>
      <c r="N71" s="53" t="s">
        <v>383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466</v>
      </c>
      <c r="D72" s="51" t="s">
        <v>391</v>
      </c>
      <c r="E72" s="51">
        <v>1</v>
      </c>
      <c r="F72" s="51" t="s">
        <v>268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460</v>
      </c>
      <c r="N72" s="53" t="s">
        <v>383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466</v>
      </c>
      <c r="D73" s="51" t="s">
        <v>391</v>
      </c>
      <c r="E73" s="51">
        <v>1</v>
      </c>
      <c r="F73" s="51" t="s">
        <v>268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467</v>
      </c>
      <c r="M73" s="53" t="s">
        <v>460</v>
      </c>
      <c r="N73" s="53" t="s">
        <v>383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265</v>
      </c>
      <c r="D74" s="51" t="s">
        <v>391</v>
      </c>
      <c r="E74" s="51">
        <v>1</v>
      </c>
      <c r="F74" s="51" t="s">
        <v>202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460</v>
      </c>
      <c r="N74" s="53" t="s">
        <v>383</v>
      </c>
      <c r="O74" s="51"/>
      <c r="P74" s="51"/>
      <c r="Q74" s="51"/>
      <c r="R74" s="51"/>
      <c r="S74" s="51"/>
      <c r="T74" s="51"/>
      <c r="U74" s="51"/>
      <c r="V74" s="51" t="s">
        <v>257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265</v>
      </c>
      <c r="D75" s="51" t="s">
        <v>391</v>
      </c>
      <c r="E75" s="51">
        <v>1</v>
      </c>
      <c r="F75" s="51" t="s">
        <v>202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468</v>
      </c>
      <c r="M75" s="53" t="s">
        <v>460</v>
      </c>
      <c r="N75" s="53" t="s">
        <v>383</v>
      </c>
      <c r="O75" s="51"/>
      <c r="P75" s="51"/>
      <c r="Q75" s="51"/>
      <c r="R75" s="51"/>
      <c r="S75" s="51"/>
      <c r="T75" s="51"/>
      <c r="U75" s="51"/>
      <c r="V75" s="51" t="s">
        <v>257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265</v>
      </c>
      <c r="D76" s="51" t="s">
        <v>391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469</v>
      </c>
      <c r="M76" s="53" t="s">
        <v>471</v>
      </c>
      <c r="N76" s="53" t="s">
        <v>472</v>
      </c>
      <c r="O76" s="51" t="s">
        <v>225</v>
      </c>
      <c r="P76" s="51" t="s">
        <v>383</v>
      </c>
      <c r="Q76" s="51"/>
      <c r="R76" s="51"/>
      <c r="S76" s="51"/>
      <c r="T76" s="51"/>
      <c r="U76" s="51"/>
      <c r="V76" s="51" t="s">
        <v>203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265</v>
      </c>
      <c r="D77" s="51" t="s">
        <v>391</v>
      </c>
      <c r="E77" s="51">
        <v>1</v>
      </c>
      <c r="F77" s="51" t="s">
        <v>202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460</v>
      </c>
      <c r="N77" s="51" t="s">
        <v>383</v>
      </c>
      <c r="O77" s="51"/>
      <c r="P77" s="51"/>
      <c r="Q77" s="51"/>
      <c r="R77" s="51"/>
      <c r="S77" s="51"/>
      <c r="T77" s="51"/>
      <c r="U77" s="51"/>
      <c r="V77" s="51" t="s">
        <v>203</v>
      </c>
      <c r="W77" s="51" t="s">
        <v>470</v>
      </c>
    </row>
    <row r="78" spans="1:23" ht="20.100000000000001" customHeight="1" x14ac:dyDescent="0.25">
      <c r="A78" s="78" t="s">
        <v>284</v>
      </c>
      <c r="B78" s="78" t="s">
        <v>63</v>
      </c>
      <c r="C78" s="51" t="s">
        <v>275</v>
      </c>
      <c r="D78" s="51" t="s">
        <v>391</v>
      </c>
      <c r="E78" s="51">
        <v>1</v>
      </c>
      <c r="F78" s="51" t="s">
        <v>269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473</v>
      </c>
      <c r="M78" s="53" t="s">
        <v>460</v>
      </c>
      <c r="N78" s="53" t="s">
        <v>383</v>
      </c>
      <c r="O78" s="51"/>
      <c r="P78" s="51"/>
      <c r="Q78" s="51"/>
      <c r="R78" s="51"/>
      <c r="S78" s="51"/>
      <c r="T78" s="51"/>
      <c r="U78" s="51"/>
      <c r="V78" s="51" t="s">
        <v>334</v>
      </c>
      <c r="W78" s="51"/>
    </row>
    <row r="79" spans="1:23" ht="20.100000000000001" customHeight="1" x14ac:dyDescent="0.25">
      <c r="A79" s="78" t="s">
        <v>285</v>
      </c>
      <c r="B79" s="78" t="s">
        <v>63</v>
      </c>
      <c r="C79" s="51" t="s">
        <v>275</v>
      </c>
      <c r="D79" s="51" t="s">
        <v>391</v>
      </c>
      <c r="E79" s="51">
        <v>1</v>
      </c>
      <c r="F79" s="51" t="s">
        <v>269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475</v>
      </c>
      <c r="M79" s="51" t="s">
        <v>476</v>
      </c>
      <c r="N79" s="51" t="s">
        <v>383</v>
      </c>
      <c r="O79" s="51"/>
      <c r="P79" s="51"/>
      <c r="Q79" s="51"/>
      <c r="R79" s="51"/>
      <c r="S79" s="51"/>
      <c r="T79" s="51"/>
      <c r="U79" s="51"/>
      <c r="V79" s="51" t="s">
        <v>203</v>
      </c>
      <c r="W79" s="51"/>
    </row>
    <row r="80" spans="1:23" ht="20.100000000000001" customHeight="1" x14ac:dyDescent="0.25">
      <c r="A80" s="78" t="s">
        <v>288</v>
      </c>
      <c r="B80" s="78" t="s">
        <v>63</v>
      </c>
      <c r="C80" s="51" t="s">
        <v>277</v>
      </c>
      <c r="D80" s="51" t="s">
        <v>391</v>
      </c>
      <c r="E80" s="51">
        <v>1</v>
      </c>
      <c r="F80" s="54" t="s">
        <v>269</v>
      </c>
      <c r="G80" s="54" t="s">
        <v>63</v>
      </c>
      <c r="H80" s="51" t="s">
        <v>63</v>
      </c>
      <c r="I80" s="51" t="s">
        <v>481</v>
      </c>
      <c r="J80" s="51" t="s">
        <v>56</v>
      </c>
      <c r="K80" s="51" t="s">
        <v>56</v>
      </c>
      <c r="L80" s="51">
        <v>22</v>
      </c>
      <c r="M80" s="53" t="s">
        <v>460</v>
      </c>
      <c r="N80" s="53" t="s">
        <v>482</v>
      </c>
      <c r="O80" s="53" t="s">
        <v>383</v>
      </c>
      <c r="P80" s="51"/>
      <c r="Q80" s="51"/>
      <c r="R80" s="51"/>
      <c r="S80" s="51"/>
      <c r="T80" s="51"/>
      <c r="U80" s="51"/>
      <c r="V80" s="51" t="s">
        <v>257</v>
      </c>
      <c r="W80" s="51" t="s">
        <v>538</v>
      </c>
    </row>
    <row r="81" spans="1:23" ht="20.100000000000001" customHeight="1" x14ac:dyDescent="0.25">
      <c r="A81" s="78" t="s">
        <v>289</v>
      </c>
      <c r="B81" s="78" t="s">
        <v>63</v>
      </c>
      <c r="C81" s="51" t="s">
        <v>277</v>
      </c>
      <c r="D81" s="51" t="s">
        <v>391</v>
      </c>
      <c r="E81" s="51">
        <v>1</v>
      </c>
      <c r="F81" s="54" t="s">
        <v>269</v>
      </c>
      <c r="G81" s="54" t="s">
        <v>63</v>
      </c>
      <c r="H81" s="51" t="s">
        <v>63</v>
      </c>
      <c r="I81" s="51" t="s">
        <v>481</v>
      </c>
      <c r="J81" s="51" t="s">
        <v>56</v>
      </c>
      <c r="K81" s="51" t="s">
        <v>56</v>
      </c>
      <c r="L81" s="51">
        <v>24</v>
      </c>
      <c r="M81" s="53" t="s">
        <v>483</v>
      </c>
      <c r="N81" s="53" t="s">
        <v>472</v>
      </c>
      <c r="O81" s="102" t="s">
        <v>225</v>
      </c>
      <c r="P81" s="51" t="s">
        <v>482</v>
      </c>
      <c r="Q81" s="51" t="s">
        <v>383</v>
      </c>
      <c r="R81" s="51"/>
      <c r="S81" s="51"/>
      <c r="T81" s="51"/>
      <c r="U81" s="51"/>
      <c r="V81" s="51" t="s">
        <v>203</v>
      </c>
      <c r="W81" s="51" t="s">
        <v>569</v>
      </c>
    </row>
    <row r="82" spans="1:23" ht="20.100000000000001" customHeight="1" x14ac:dyDescent="0.25">
      <c r="A82" s="78" t="s">
        <v>290</v>
      </c>
      <c r="B82" s="78" t="s">
        <v>63</v>
      </c>
      <c r="C82" s="51" t="s">
        <v>277</v>
      </c>
      <c r="D82" s="51" t="s">
        <v>391</v>
      </c>
      <c r="E82" s="51">
        <v>1</v>
      </c>
      <c r="F82" s="54" t="s">
        <v>269</v>
      </c>
      <c r="G82" s="54" t="s">
        <v>63</v>
      </c>
      <c r="H82" s="51" t="s">
        <v>63</v>
      </c>
      <c r="I82" s="51" t="s">
        <v>481</v>
      </c>
      <c r="J82" s="51" t="s">
        <v>56</v>
      </c>
      <c r="K82" s="51" t="s">
        <v>56</v>
      </c>
      <c r="L82" s="51">
        <v>25</v>
      </c>
      <c r="M82" s="53" t="s">
        <v>460</v>
      </c>
      <c r="N82" s="53" t="s">
        <v>476</v>
      </c>
      <c r="O82" s="53" t="s">
        <v>482</v>
      </c>
      <c r="P82" s="53" t="s">
        <v>383</v>
      </c>
      <c r="Q82" s="51"/>
      <c r="R82" s="51"/>
      <c r="S82" s="51"/>
      <c r="T82" s="51"/>
      <c r="U82" s="51"/>
      <c r="V82" s="51" t="s">
        <v>203</v>
      </c>
      <c r="W82" s="51" t="s">
        <v>538</v>
      </c>
    </row>
    <row r="83" spans="1:23" ht="20.100000000000001" customHeight="1" x14ac:dyDescent="0.25">
      <c r="A83" s="78" t="s">
        <v>291</v>
      </c>
      <c r="B83" s="78" t="s">
        <v>63</v>
      </c>
      <c r="C83" s="51" t="s">
        <v>277</v>
      </c>
      <c r="D83" s="51" t="s">
        <v>391</v>
      </c>
      <c r="E83" s="51">
        <v>1</v>
      </c>
      <c r="F83" s="54" t="s">
        <v>269</v>
      </c>
      <c r="G83" s="54" t="s">
        <v>63</v>
      </c>
      <c r="H83" s="51" t="s">
        <v>63</v>
      </c>
      <c r="I83" s="51" t="s">
        <v>481</v>
      </c>
      <c r="J83" s="51" t="s">
        <v>56</v>
      </c>
      <c r="K83" s="51" t="s">
        <v>56</v>
      </c>
      <c r="L83" s="51">
        <v>30</v>
      </c>
      <c r="M83" s="51" t="s">
        <v>460</v>
      </c>
      <c r="N83" s="51" t="s">
        <v>482</v>
      </c>
      <c r="O83" s="51" t="s">
        <v>383</v>
      </c>
      <c r="P83" s="51"/>
      <c r="Q83" s="51"/>
      <c r="R83" s="51"/>
      <c r="S83" s="51"/>
      <c r="T83" s="51"/>
      <c r="U83" s="51"/>
      <c r="V83" s="51" t="s">
        <v>203</v>
      </c>
      <c r="W83" s="51"/>
    </row>
    <row r="84" spans="1:23" ht="20.100000000000001" customHeight="1" x14ac:dyDescent="0.25">
      <c r="A84" s="78" t="s">
        <v>292</v>
      </c>
      <c r="B84" s="78" t="s">
        <v>63</v>
      </c>
      <c r="C84" s="51" t="s">
        <v>277</v>
      </c>
      <c r="D84" s="51" t="s">
        <v>391</v>
      </c>
      <c r="E84" s="51">
        <v>1</v>
      </c>
      <c r="F84" s="54" t="s">
        <v>269</v>
      </c>
      <c r="G84" s="54" t="s">
        <v>63</v>
      </c>
      <c r="H84" s="51" t="s">
        <v>63</v>
      </c>
      <c r="I84" s="51" t="s">
        <v>481</v>
      </c>
      <c r="J84" s="51" t="s">
        <v>56</v>
      </c>
      <c r="K84" s="51" t="s">
        <v>56</v>
      </c>
      <c r="L84" s="51">
        <v>32</v>
      </c>
      <c r="M84" s="53" t="s">
        <v>460</v>
      </c>
      <c r="N84" s="53" t="s">
        <v>482</v>
      </c>
      <c r="O84" s="53" t="s">
        <v>383</v>
      </c>
      <c r="P84" s="51"/>
      <c r="Q84" s="51"/>
      <c r="R84" s="51"/>
      <c r="S84" s="51"/>
      <c r="T84" s="51"/>
      <c r="U84" s="51"/>
      <c r="V84" s="51" t="s">
        <v>257</v>
      </c>
      <c r="W84" s="51" t="s">
        <v>538</v>
      </c>
    </row>
    <row r="85" spans="1:23" ht="20.100000000000001" customHeight="1" x14ac:dyDescent="0.25">
      <c r="A85" s="78" t="s">
        <v>293</v>
      </c>
      <c r="B85" s="78" t="s">
        <v>63</v>
      </c>
      <c r="C85" s="51" t="s">
        <v>277</v>
      </c>
      <c r="D85" s="51" t="s">
        <v>391</v>
      </c>
      <c r="E85" s="51">
        <v>1</v>
      </c>
      <c r="F85" s="54" t="s">
        <v>269</v>
      </c>
      <c r="G85" s="54" t="s">
        <v>63</v>
      </c>
      <c r="H85" s="51" t="s">
        <v>63</v>
      </c>
      <c r="I85" s="51" t="s">
        <v>481</v>
      </c>
      <c r="J85" s="51" t="s">
        <v>56</v>
      </c>
      <c r="K85" s="51" t="s">
        <v>56</v>
      </c>
      <c r="L85" s="51">
        <v>46</v>
      </c>
      <c r="M85" s="51" t="s">
        <v>378</v>
      </c>
      <c r="N85" s="51" t="s">
        <v>383</v>
      </c>
      <c r="O85" s="51" t="s">
        <v>247</v>
      </c>
      <c r="P85" s="51"/>
      <c r="Q85" s="51"/>
      <c r="R85" s="51"/>
      <c r="S85" s="51"/>
      <c r="T85" s="51"/>
      <c r="U85" s="51"/>
      <c r="V85" s="51" t="s">
        <v>201</v>
      </c>
      <c r="W85" s="51"/>
    </row>
    <row r="86" spans="1:23" ht="20.100000000000001" customHeight="1" x14ac:dyDescent="0.25">
      <c r="A86" s="78" t="s">
        <v>294</v>
      </c>
      <c r="B86" s="78" t="s">
        <v>63</v>
      </c>
      <c r="C86" s="51" t="s">
        <v>277</v>
      </c>
      <c r="D86" s="51" t="s">
        <v>391</v>
      </c>
      <c r="E86" s="51">
        <v>1</v>
      </c>
      <c r="F86" s="54" t="s">
        <v>261</v>
      </c>
      <c r="G86" s="54" t="s">
        <v>63</v>
      </c>
      <c r="H86" s="51" t="s">
        <v>63</v>
      </c>
      <c r="I86" s="51" t="s">
        <v>481</v>
      </c>
      <c r="J86" s="51" t="s">
        <v>56</v>
      </c>
      <c r="K86" s="51" t="s">
        <v>56</v>
      </c>
      <c r="L86" s="51" t="s">
        <v>477</v>
      </c>
      <c r="M86" s="53" t="s">
        <v>460</v>
      </c>
      <c r="N86" s="53" t="s">
        <v>476</v>
      </c>
      <c r="O86" s="53" t="s">
        <v>482</v>
      </c>
      <c r="P86" s="53" t="s">
        <v>383</v>
      </c>
      <c r="Q86" s="51"/>
      <c r="R86" s="51"/>
      <c r="S86" s="51"/>
      <c r="T86" s="51"/>
      <c r="U86" s="51"/>
      <c r="V86" s="51" t="s">
        <v>203</v>
      </c>
      <c r="W86" s="83" t="s">
        <v>539</v>
      </c>
    </row>
    <row r="87" spans="1:23" ht="20.100000000000001" customHeight="1" x14ac:dyDescent="0.25">
      <c r="A87" s="78" t="s">
        <v>295</v>
      </c>
      <c r="B87" s="78" t="s">
        <v>63</v>
      </c>
      <c r="C87" s="51" t="s">
        <v>277</v>
      </c>
      <c r="D87" s="51" t="s">
        <v>391</v>
      </c>
      <c r="E87" s="51">
        <v>1</v>
      </c>
      <c r="F87" s="54" t="s">
        <v>261</v>
      </c>
      <c r="G87" s="54" t="s">
        <v>63</v>
      </c>
      <c r="H87" s="51" t="s">
        <v>63</v>
      </c>
      <c r="I87" s="51" t="s">
        <v>481</v>
      </c>
      <c r="J87" s="51" t="s">
        <v>56</v>
      </c>
      <c r="K87" s="51" t="s">
        <v>56</v>
      </c>
      <c r="L87" s="51" t="s">
        <v>478</v>
      </c>
      <c r="M87" s="53" t="s">
        <v>460</v>
      </c>
      <c r="N87" s="53" t="s">
        <v>482</v>
      </c>
      <c r="O87" s="51"/>
      <c r="P87" s="51"/>
      <c r="Q87" s="51"/>
      <c r="R87" s="51"/>
      <c r="S87" s="51"/>
      <c r="T87" s="51"/>
      <c r="U87" s="51"/>
      <c r="V87" s="51" t="s">
        <v>257</v>
      </c>
      <c r="W87" s="51" t="s">
        <v>538</v>
      </c>
    </row>
    <row r="88" spans="1:23" ht="20.100000000000001" customHeight="1" x14ac:dyDescent="0.25">
      <c r="A88" s="78" t="s">
        <v>296</v>
      </c>
      <c r="B88" s="78" t="s">
        <v>63</v>
      </c>
      <c r="C88" s="51" t="s">
        <v>277</v>
      </c>
      <c r="D88" s="51" t="s">
        <v>391</v>
      </c>
      <c r="E88" s="51">
        <v>1</v>
      </c>
      <c r="F88" s="54" t="s">
        <v>261</v>
      </c>
      <c r="G88" s="54" t="s">
        <v>63</v>
      </c>
      <c r="H88" s="51" t="s">
        <v>63</v>
      </c>
      <c r="I88" s="51" t="s">
        <v>481</v>
      </c>
      <c r="J88" s="51" t="s">
        <v>56</v>
      </c>
      <c r="K88" s="51" t="s">
        <v>56</v>
      </c>
      <c r="L88" s="51" t="s">
        <v>479</v>
      </c>
      <c r="M88" s="51" t="s">
        <v>378</v>
      </c>
      <c r="N88" s="51" t="s">
        <v>383</v>
      </c>
      <c r="O88" s="51" t="s">
        <v>247</v>
      </c>
      <c r="P88" s="51"/>
      <c r="Q88" s="51"/>
      <c r="R88" s="51"/>
      <c r="S88" s="51"/>
      <c r="T88" s="51"/>
      <c r="U88" s="51"/>
      <c r="V88" s="51" t="s">
        <v>201</v>
      </c>
      <c r="W88" s="51"/>
    </row>
    <row r="89" spans="1:23" ht="20.100000000000001" customHeight="1" x14ac:dyDescent="0.25">
      <c r="A89" s="78" t="s">
        <v>297</v>
      </c>
      <c r="B89" s="78" t="s">
        <v>63</v>
      </c>
      <c r="C89" s="51" t="s">
        <v>277</v>
      </c>
      <c r="D89" s="51" t="s">
        <v>391</v>
      </c>
      <c r="E89" s="51">
        <v>1</v>
      </c>
      <c r="F89" s="54" t="s">
        <v>269</v>
      </c>
      <c r="G89" s="54" t="s">
        <v>63</v>
      </c>
      <c r="H89" s="51" t="s">
        <v>63</v>
      </c>
      <c r="I89" s="51" t="s">
        <v>481</v>
      </c>
      <c r="J89" s="51" t="s">
        <v>56</v>
      </c>
      <c r="K89" s="51" t="s">
        <v>56</v>
      </c>
      <c r="L89" s="51" t="s">
        <v>480</v>
      </c>
      <c r="M89" s="51" t="s">
        <v>460</v>
      </c>
      <c r="N89" s="51" t="s">
        <v>476</v>
      </c>
      <c r="O89" s="51" t="s">
        <v>482</v>
      </c>
      <c r="P89" s="51"/>
      <c r="Q89" s="51"/>
      <c r="R89" s="51"/>
      <c r="S89" s="51"/>
      <c r="T89" s="51"/>
      <c r="U89" s="51"/>
      <c r="V89" s="51" t="s">
        <v>203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566</v>
      </c>
      <c r="D90" s="51" t="s">
        <v>582</v>
      </c>
      <c r="E90" s="51">
        <v>1</v>
      </c>
      <c r="F90" s="51" t="s">
        <v>268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378</v>
      </c>
      <c r="N90" s="51" t="s">
        <v>383</v>
      </c>
      <c r="O90" s="51" t="s">
        <v>247</v>
      </c>
      <c r="P90" s="51"/>
      <c r="Q90" s="51"/>
      <c r="R90" s="51"/>
      <c r="S90" s="51"/>
      <c r="T90" s="51"/>
      <c r="U90" s="51"/>
      <c r="V90" s="51" t="s">
        <v>201</v>
      </c>
      <c r="W90" s="51" t="s">
        <v>568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566</v>
      </c>
      <c r="D91" s="51" t="s">
        <v>582</v>
      </c>
      <c r="E91" s="51">
        <v>1</v>
      </c>
      <c r="F91" s="51" t="s">
        <v>268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378</v>
      </c>
      <c r="N91" s="51" t="s">
        <v>383</v>
      </c>
      <c r="O91" s="51" t="s">
        <v>247</v>
      </c>
      <c r="P91" s="51"/>
      <c r="Q91" s="51"/>
      <c r="R91" s="51"/>
      <c r="S91" s="51"/>
      <c r="T91" s="51"/>
      <c r="U91" s="51"/>
      <c r="V91" s="51" t="s">
        <v>201</v>
      </c>
      <c r="W91" s="51" t="s">
        <v>568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275</v>
      </c>
      <c r="D92" s="51" t="s">
        <v>391</v>
      </c>
      <c r="E92" s="51">
        <v>1</v>
      </c>
      <c r="F92" s="51" t="s">
        <v>298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378</v>
      </c>
      <c r="N92" s="51" t="s">
        <v>383</v>
      </c>
      <c r="O92" s="51" t="s">
        <v>247</v>
      </c>
      <c r="P92" s="51"/>
      <c r="Q92" s="51"/>
      <c r="R92" s="51"/>
      <c r="S92" s="51"/>
      <c r="T92" s="51"/>
      <c r="U92" s="51"/>
      <c r="V92" s="51" t="s">
        <v>388</v>
      </c>
      <c r="W92" s="51"/>
    </row>
    <row r="93" spans="1:23" ht="20.100000000000001" customHeight="1" x14ac:dyDescent="0.25">
      <c r="A93" s="78">
        <v>2347</v>
      </c>
      <c r="B93" s="78" t="s">
        <v>63</v>
      </c>
      <c r="C93" s="51" t="s">
        <v>578</v>
      </c>
      <c r="D93" s="51" t="s">
        <v>583</v>
      </c>
      <c r="E93" s="51">
        <v>1</v>
      </c>
      <c r="F93" s="51" t="s">
        <v>268</v>
      </c>
      <c r="G93" s="54" t="s">
        <v>382</v>
      </c>
      <c r="H93" s="51" t="s">
        <v>205</v>
      </c>
      <c r="I93" s="52">
        <v>46311</v>
      </c>
      <c r="J93" s="52">
        <v>46244</v>
      </c>
      <c r="K93" s="51" t="s">
        <v>58</v>
      </c>
      <c r="L93" s="51" t="s">
        <v>575</v>
      </c>
      <c r="M93" s="51" t="s">
        <v>579</v>
      </c>
      <c r="N93" s="51" t="s">
        <v>225</v>
      </c>
      <c r="O93" s="51" t="s">
        <v>476</v>
      </c>
      <c r="P93" s="51" t="s">
        <v>383</v>
      </c>
      <c r="Q93" s="51"/>
      <c r="R93" s="51"/>
      <c r="S93" s="51"/>
      <c r="T93" s="51"/>
      <c r="U93" s="51"/>
      <c r="V93" s="51" t="s">
        <v>201</v>
      </c>
      <c r="W93" s="51" t="s">
        <v>580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578</v>
      </c>
      <c r="D94" s="51" t="s">
        <v>583</v>
      </c>
      <c r="E94" s="51">
        <v>1</v>
      </c>
      <c r="F94" s="51" t="s">
        <v>268</v>
      </c>
      <c r="G94" s="54" t="s">
        <v>382</v>
      </c>
      <c r="H94" s="51" t="s">
        <v>206</v>
      </c>
      <c r="I94" s="52">
        <v>46318</v>
      </c>
      <c r="J94" s="52">
        <v>46244</v>
      </c>
      <c r="K94" s="51" t="s">
        <v>58</v>
      </c>
      <c r="L94" s="51" t="s">
        <v>576</v>
      </c>
      <c r="M94" s="51" t="s">
        <v>579</v>
      </c>
      <c r="N94" s="51" t="s">
        <v>225</v>
      </c>
      <c r="O94" s="51" t="s">
        <v>476</v>
      </c>
      <c r="P94" s="51" t="s">
        <v>383</v>
      </c>
      <c r="Q94" s="51"/>
      <c r="R94" s="51"/>
      <c r="S94" s="51"/>
      <c r="T94" s="51"/>
      <c r="U94" s="51"/>
      <c r="V94" s="51" t="s">
        <v>201</v>
      </c>
      <c r="W94" s="51" t="s">
        <v>580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578</v>
      </c>
      <c r="D95" s="51" t="s">
        <v>583</v>
      </c>
      <c r="E95" s="51">
        <v>1</v>
      </c>
      <c r="F95" s="51" t="s">
        <v>268</v>
      </c>
      <c r="G95" s="54" t="s">
        <v>382</v>
      </c>
      <c r="H95" s="51" t="s">
        <v>249</v>
      </c>
      <c r="I95" s="52">
        <v>46300</v>
      </c>
      <c r="J95" s="52">
        <v>46244</v>
      </c>
      <c r="K95" s="51" t="s">
        <v>58</v>
      </c>
      <c r="L95" s="51" t="s">
        <v>577</v>
      </c>
      <c r="M95" s="51" t="s">
        <v>579</v>
      </c>
      <c r="N95" s="51" t="s">
        <v>225</v>
      </c>
      <c r="O95" s="51" t="s">
        <v>476</v>
      </c>
      <c r="P95" s="51" t="s">
        <v>383</v>
      </c>
      <c r="Q95" s="51"/>
      <c r="R95" s="51"/>
      <c r="S95" s="51"/>
      <c r="T95" s="51"/>
      <c r="U95" s="51"/>
      <c r="V95" s="51" t="s">
        <v>201</v>
      </c>
      <c r="W95" s="51" t="s">
        <v>580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578</v>
      </c>
      <c r="D96" s="51" t="s">
        <v>584</v>
      </c>
      <c r="E96" s="51">
        <v>1</v>
      </c>
      <c r="F96" s="51" t="s">
        <v>268</v>
      </c>
      <c r="G96" s="54" t="s">
        <v>255</v>
      </c>
      <c r="H96" s="51" t="s">
        <v>205</v>
      </c>
      <c r="I96" s="52">
        <v>46264</v>
      </c>
      <c r="J96" s="51" t="s">
        <v>56</v>
      </c>
      <c r="K96" s="51" t="s">
        <v>56</v>
      </c>
      <c r="L96" s="51" t="s">
        <v>574</v>
      </c>
      <c r="M96" s="51" t="s">
        <v>460</v>
      </c>
      <c r="N96" s="51" t="s">
        <v>476</v>
      </c>
      <c r="O96" s="51" t="s">
        <v>383</v>
      </c>
      <c r="P96" s="51"/>
      <c r="Q96" s="51"/>
      <c r="R96" s="51"/>
      <c r="S96" s="51"/>
      <c r="T96" s="51"/>
      <c r="U96" s="51"/>
      <c r="V96" s="51" t="s">
        <v>203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578</v>
      </c>
      <c r="D97" s="51" t="s">
        <v>391</v>
      </c>
      <c r="E97" s="51">
        <v>1</v>
      </c>
      <c r="F97" s="51" t="s">
        <v>268</v>
      </c>
      <c r="G97" s="54" t="s">
        <v>459</v>
      </c>
      <c r="H97" s="51" t="s">
        <v>205</v>
      </c>
      <c r="I97" s="52">
        <v>46421</v>
      </c>
      <c r="J97" s="52">
        <v>46388</v>
      </c>
      <c r="K97" s="51" t="s">
        <v>58</v>
      </c>
      <c r="L97" s="51" t="s">
        <v>58</v>
      </c>
      <c r="M97" s="51" t="s">
        <v>378</v>
      </c>
      <c r="N97" s="51" t="s">
        <v>383</v>
      </c>
      <c r="O97" s="51" t="s">
        <v>247</v>
      </c>
      <c r="P97" s="51"/>
      <c r="Q97" s="51"/>
      <c r="R97" s="51"/>
      <c r="S97" s="51"/>
      <c r="T97" s="51"/>
      <c r="U97" s="51"/>
      <c r="V97" s="51" t="s">
        <v>201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578</v>
      </c>
      <c r="D98" s="51" t="s">
        <v>391</v>
      </c>
      <c r="E98" s="51">
        <v>1</v>
      </c>
      <c r="F98" s="51" t="s">
        <v>268</v>
      </c>
      <c r="G98" s="54" t="s">
        <v>459</v>
      </c>
      <c r="H98" s="51" t="s">
        <v>206</v>
      </c>
      <c r="I98" s="52">
        <v>46285</v>
      </c>
      <c r="J98" s="52">
        <v>46266</v>
      </c>
      <c r="K98" s="51" t="s">
        <v>58</v>
      </c>
      <c r="L98" s="51" t="s">
        <v>58</v>
      </c>
      <c r="M98" s="51" t="s">
        <v>378</v>
      </c>
      <c r="N98" s="51" t="s">
        <v>383</v>
      </c>
      <c r="O98" s="51" t="s">
        <v>247</v>
      </c>
      <c r="P98" s="51"/>
      <c r="Q98" s="51"/>
      <c r="R98" s="51"/>
      <c r="S98" s="51"/>
      <c r="T98" s="51"/>
      <c r="U98" s="51"/>
      <c r="V98" s="51" t="s">
        <v>201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578</v>
      </c>
      <c r="D99" s="51" t="s">
        <v>391</v>
      </c>
      <c r="E99" s="51">
        <v>1</v>
      </c>
      <c r="F99" s="51" t="s">
        <v>268</v>
      </c>
      <c r="G99" s="54" t="s">
        <v>459</v>
      </c>
      <c r="H99" s="51" t="s">
        <v>209</v>
      </c>
      <c r="I99" s="52">
        <v>46285</v>
      </c>
      <c r="J99" s="52">
        <v>46266</v>
      </c>
      <c r="K99" s="51" t="s">
        <v>58</v>
      </c>
      <c r="L99" s="51" t="s">
        <v>58</v>
      </c>
      <c r="M99" s="51" t="s">
        <v>378</v>
      </c>
      <c r="N99" s="51" t="s">
        <v>383</v>
      </c>
      <c r="O99" s="51" t="s">
        <v>247</v>
      </c>
      <c r="P99" s="51"/>
      <c r="Q99" s="51"/>
      <c r="R99" s="51"/>
      <c r="S99" s="51"/>
      <c r="T99" s="51"/>
      <c r="U99" s="51"/>
      <c r="V99" s="51" t="s">
        <v>201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578</v>
      </c>
      <c r="D100" s="51" t="s">
        <v>391</v>
      </c>
      <c r="E100" s="51">
        <v>1</v>
      </c>
      <c r="F100" s="51" t="s">
        <v>268</v>
      </c>
      <c r="G100" s="54" t="s">
        <v>459</v>
      </c>
      <c r="H100" s="51" t="s">
        <v>249</v>
      </c>
      <c r="I100" s="52">
        <v>46421</v>
      </c>
      <c r="J100" s="52">
        <v>46388</v>
      </c>
      <c r="K100" s="51" t="s">
        <v>58</v>
      </c>
      <c r="L100" s="51" t="s">
        <v>58</v>
      </c>
      <c r="M100" s="51" t="s">
        <v>378</v>
      </c>
      <c r="N100" s="51" t="s">
        <v>383</v>
      </c>
      <c r="O100" s="51" t="s">
        <v>247</v>
      </c>
      <c r="P100" s="51"/>
      <c r="Q100" s="51"/>
      <c r="R100" s="51"/>
      <c r="S100" s="51"/>
      <c r="T100" s="51"/>
      <c r="U100" s="51"/>
      <c r="V100" s="51" t="s">
        <v>201</v>
      </c>
      <c r="W100" s="51"/>
    </row>
    <row r="101" spans="1:23" ht="20.100000000000001" customHeight="1" x14ac:dyDescent="0.25"/>
    <row r="102" spans="1:23" ht="20.100000000000001" customHeight="1" x14ac:dyDescent="0.25"/>
    <row r="103" spans="1:23" ht="20.100000000000001" customHeight="1" x14ac:dyDescent="0.25"/>
    <row r="104" spans="1:23" ht="20.100000000000001" customHeight="1" x14ac:dyDescent="0.25"/>
    <row r="105" spans="1:23" ht="20.100000000000001" customHeight="1" x14ac:dyDescent="0.25"/>
    <row r="106" spans="1:23" ht="20.100000000000001" customHeight="1" x14ac:dyDescent="0.25"/>
    <row r="107" spans="1:23" ht="20.100000000000001" customHeight="1" x14ac:dyDescent="0.25"/>
    <row r="108" spans="1:23" ht="20.100000000000001" customHeight="1" x14ac:dyDescent="0.25"/>
    <row r="109" spans="1:23" ht="20.100000000000001" customHeight="1" x14ac:dyDescent="0.25"/>
    <row r="110" spans="1:23" ht="20.100000000000001" customHeight="1" x14ac:dyDescent="0.25"/>
    <row r="111" spans="1:23" ht="20.100000000000001" customHeight="1" x14ac:dyDescent="0.25"/>
    <row r="112" spans="1:23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E65" sqref="E65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172</v>
      </c>
      <c r="G1" s="19" t="s">
        <v>173</v>
      </c>
      <c r="H1" s="19" t="s">
        <v>166</v>
      </c>
      <c r="I1" s="19" t="s">
        <v>165</v>
      </c>
      <c r="J1" s="19" t="s">
        <v>167</v>
      </c>
      <c r="K1" s="19" t="s">
        <v>168</v>
      </c>
      <c r="L1" s="19" t="s">
        <v>169</v>
      </c>
      <c r="M1" s="19" t="s">
        <v>344</v>
      </c>
      <c r="N1" s="19" t="s">
        <v>170</v>
      </c>
      <c r="O1" s="19" t="s">
        <v>171</v>
      </c>
      <c r="P1" s="19" t="s">
        <v>101</v>
      </c>
      <c r="Q1" s="19" t="s">
        <v>102</v>
      </c>
      <c r="R1" s="19" t="s">
        <v>59</v>
      </c>
    </row>
    <row r="2" spans="1:18" hidden="1" x14ac:dyDescent="0.25">
      <c r="A2" s="20">
        <v>27108</v>
      </c>
      <c r="B2" s="20">
        <v>1</v>
      </c>
      <c r="C2" s="21" t="s">
        <v>147</v>
      </c>
      <c r="D2" s="20">
        <v>299368</v>
      </c>
      <c r="E2" s="59" t="s">
        <v>178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341</v>
      </c>
    </row>
    <row r="3" spans="1:18" hidden="1" x14ac:dyDescent="0.25">
      <c r="A3" s="20">
        <v>27330</v>
      </c>
      <c r="B3" s="20">
        <v>1</v>
      </c>
      <c r="C3" s="21" t="s">
        <v>147</v>
      </c>
      <c r="D3" s="20">
        <v>299368</v>
      </c>
      <c r="E3" s="59" t="s">
        <v>178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341</v>
      </c>
    </row>
    <row r="4" spans="1:18" hidden="1" x14ac:dyDescent="0.25">
      <c r="A4" s="44">
        <v>27507</v>
      </c>
      <c r="B4" s="44">
        <v>1</v>
      </c>
      <c r="C4" s="45" t="s">
        <v>148</v>
      </c>
      <c r="D4" s="20">
        <v>1449018</v>
      </c>
      <c r="E4" s="21" t="s">
        <v>179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334</v>
      </c>
      <c r="Q4" s="20">
        <v>496</v>
      </c>
      <c r="R4" s="47"/>
    </row>
    <row r="5" spans="1:18" hidden="1" x14ac:dyDescent="0.25">
      <c r="A5" s="44">
        <v>27507</v>
      </c>
      <c r="B5" s="44">
        <v>2</v>
      </c>
      <c r="C5" s="45" t="s">
        <v>148</v>
      </c>
      <c r="D5" s="20">
        <v>1449018</v>
      </c>
      <c r="E5" s="21" t="s">
        <v>179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334</v>
      </c>
      <c r="Q5" s="20">
        <v>496</v>
      </c>
      <c r="R5" s="47"/>
    </row>
    <row r="6" spans="1:18" hidden="1" x14ac:dyDescent="0.25">
      <c r="A6" s="44">
        <v>27473</v>
      </c>
      <c r="B6" s="44">
        <v>1</v>
      </c>
      <c r="C6" s="45" t="s">
        <v>149</v>
      </c>
      <c r="D6" s="20">
        <v>1281005</v>
      </c>
      <c r="E6" s="21" t="s">
        <v>174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335</v>
      </c>
      <c r="Q6" s="20" t="s">
        <v>158</v>
      </c>
      <c r="R6" s="47" t="s">
        <v>337</v>
      </c>
    </row>
    <row r="7" spans="1:18" hidden="1" x14ac:dyDescent="0.25">
      <c r="A7" s="44">
        <v>27473</v>
      </c>
      <c r="B7" s="44">
        <v>2</v>
      </c>
      <c r="C7" s="45" t="s">
        <v>149</v>
      </c>
      <c r="D7" s="20">
        <v>1281006</v>
      </c>
      <c r="E7" s="21" t="s">
        <v>175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334</v>
      </c>
      <c r="Q7" s="20" t="s">
        <v>159</v>
      </c>
      <c r="R7" s="47"/>
    </row>
    <row r="8" spans="1:18" hidden="1" x14ac:dyDescent="0.25">
      <c r="A8" s="44">
        <v>27473</v>
      </c>
      <c r="B8" s="44">
        <v>3</v>
      </c>
      <c r="C8" s="45" t="s">
        <v>149</v>
      </c>
      <c r="D8" s="20">
        <v>1281007</v>
      </c>
      <c r="E8" s="21" t="s">
        <v>176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334</v>
      </c>
      <c r="Q8" s="20" t="s">
        <v>160</v>
      </c>
      <c r="R8" s="47"/>
    </row>
    <row r="9" spans="1:18" hidden="1" x14ac:dyDescent="0.25">
      <c r="A9" s="44">
        <v>27473</v>
      </c>
      <c r="B9" s="44">
        <v>4</v>
      </c>
      <c r="C9" s="45" t="s">
        <v>149</v>
      </c>
      <c r="D9" s="20">
        <v>1281007</v>
      </c>
      <c r="E9" s="21" t="s">
        <v>176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334</v>
      </c>
      <c r="Q9" s="20" t="s">
        <v>160</v>
      </c>
      <c r="R9" s="47"/>
    </row>
    <row r="10" spans="1:18" hidden="1" x14ac:dyDescent="0.25">
      <c r="A10" s="44">
        <v>27473</v>
      </c>
      <c r="B10" s="44">
        <v>5</v>
      </c>
      <c r="C10" s="45" t="s">
        <v>149</v>
      </c>
      <c r="D10" s="20">
        <v>1281007</v>
      </c>
      <c r="E10" s="21" t="s">
        <v>176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334</v>
      </c>
      <c r="Q10" s="20" t="s">
        <v>160</v>
      </c>
      <c r="R10" s="47"/>
    </row>
    <row r="11" spans="1:18" hidden="1" x14ac:dyDescent="0.25">
      <c r="A11" s="44">
        <v>27473</v>
      </c>
      <c r="B11" s="44">
        <v>6</v>
      </c>
      <c r="C11" s="45" t="s">
        <v>149</v>
      </c>
      <c r="D11" s="20">
        <v>1281007</v>
      </c>
      <c r="E11" s="21" t="s">
        <v>176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334</v>
      </c>
      <c r="Q11" s="20" t="s">
        <v>160</v>
      </c>
      <c r="R11" s="47"/>
    </row>
    <row r="12" spans="1:18" hidden="1" x14ac:dyDescent="0.25">
      <c r="A12" s="44">
        <v>27473</v>
      </c>
      <c r="B12" s="44">
        <v>7</v>
      </c>
      <c r="C12" s="45" t="s">
        <v>149</v>
      </c>
      <c r="D12" s="20">
        <v>1281007</v>
      </c>
      <c r="E12" s="21" t="s">
        <v>176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334</v>
      </c>
      <c r="Q12" s="20" t="s">
        <v>160</v>
      </c>
      <c r="R12" s="47"/>
    </row>
    <row r="13" spans="1:18" hidden="1" x14ac:dyDescent="0.25">
      <c r="A13" s="44">
        <v>27473</v>
      </c>
      <c r="B13" s="44">
        <v>8</v>
      </c>
      <c r="C13" s="45" t="s">
        <v>149</v>
      </c>
      <c r="D13" s="20">
        <v>1281008</v>
      </c>
      <c r="E13" s="21" t="s">
        <v>177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334</v>
      </c>
      <c r="Q13" s="20" t="s">
        <v>160</v>
      </c>
      <c r="R13" s="47"/>
    </row>
    <row r="14" spans="1:18" hidden="1" x14ac:dyDescent="0.25">
      <c r="A14" s="44">
        <v>27416</v>
      </c>
      <c r="B14" s="44">
        <v>1</v>
      </c>
      <c r="C14" s="45" t="s">
        <v>150</v>
      </c>
      <c r="D14" s="20">
        <v>392291</v>
      </c>
      <c r="E14" s="21" t="s">
        <v>180</v>
      </c>
      <c r="F14" s="46">
        <v>1</v>
      </c>
      <c r="G14" s="58">
        <v>46211</v>
      </c>
      <c r="H14" s="24" t="s">
        <v>336</v>
      </c>
      <c r="I14" s="24" t="s">
        <v>489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490</v>
      </c>
      <c r="Q14" s="23">
        <v>493</v>
      </c>
      <c r="R14" s="47"/>
    </row>
    <row r="15" spans="1:18" hidden="1" x14ac:dyDescent="0.25">
      <c r="A15" s="44">
        <v>27618</v>
      </c>
      <c r="B15" s="44"/>
      <c r="C15" s="45" t="s">
        <v>342</v>
      </c>
      <c r="D15" s="20" t="s">
        <v>63</v>
      </c>
      <c r="E15" s="21" t="s">
        <v>343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334</v>
      </c>
      <c r="Q15" s="20" t="s">
        <v>161</v>
      </c>
      <c r="R15" s="47"/>
    </row>
    <row r="16" spans="1:18" hidden="1" x14ac:dyDescent="0.25">
      <c r="A16" s="44">
        <v>27476</v>
      </c>
      <c r="B16" s="44">
        <v>1</v>
      </c>
      <c r="C16" s="45" t="s">
        <v>147</v>
      </c>
      <c r="D16" s="20">
        <v>299529</v>
      </c>
      <c r="E16" s="21" t="s">
        <v>181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0">
        <v>46205</v>
      </c>
      <c r="M16" s="22">
        <v>46042</v>
      </c>
      <c r="N16" s="22">
        <v>46227</v>
      </c>
      <c r="O16" s="22"/>
      <c r="P16" s="22" t="s">
        <v>491</v>
      </c>
      <c r="Q16" s="20" t="s">
        <v>161</v>
      </c>
      <c r="R16" s="47"/>
    </row>
    <row r="17" spans="1:18" hidden="1" x14ac:dyDescent="0.25">
      <c r="A17" s="44">
        <v>27490</v>
      </c>
      <c r="B17" s="44">
        <v>1</v>
      </c>
      <c r="C17" s="45" t="s">
        <v>147</v>
      </c>
      <c r="D17" s="20">
        <v>299302</v>
      </c>
      <c r="E17" s="21" t="s">
        <v>182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334</v>
      </c>
      <c r="Q17" s="20">
        <v>496</v>
      </c>
      <c r="R17" s="47"/>
    </row>
    <row r="18" spans="1:18" hidden="1" x14ac:dyDescent="0.25">
      <c r="A18" s="44">
        <v>27416</v>
      </c>
      <c r="B18" s="44">
        <v>2</v>
      </c>
      <c r="C18" s="45" t="s">
        <v>150</v>
      </c>
      <c r="D18" s="20">
        <v>392292</v>
      </c>
      <c r="E18" s="21" t="s">
        <v>183</v>
      </c>
      <c r="F18" s="46">
        <v>1</v>
      </c>
      <c r="G18" s="58">
        <v>46218</v>
      </c>
      <c r="H18" s="22">
        <v>46219</v>
      </c>
      <c r="I18" s="22">
        <v>46217</v>
      </c>
      <c r="J18" s="61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490</v>
      </c>
      <c r="Q18" s="20">
        <v>493</v>
      </c>
      <c r="R18" s="47"/>
    </row>
    <row r="19" spans="1:18" hidden="1" x14ac:dyDescent="0.25">
      <c r="A19" s="20">
        <v>27521</v>
      </c>
      <c r="B19" s="20">
        <v>1</v>
      </c>
      <c r="C19" s="21" t="s">
        <v>147</v>
      </c>
      <c r="D19" s="20">
        <v>299303</v>
      </c>
      <c r="E19" s="21" t="s">
        <v>184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334</v>
      </c>
      <c r="Q19" s="20">
        <v>496</v>
      </c>
      <c r="R19" s="47"/>
    </row>
    <row r="20" spans="1:18" hidden="1" x14ac:dyDescent="0.25">
      <c r="A20" s="20">
        <v>26974</v>
      </c>
      <c r="B20" s="20">
        <v>3</v>
      </c>
      <c r="C20" s="21" t="s">
        <v>147</v>
      </c>
      <c r="D20" s="20">
        <v>299217</v>
      </c>
      <c r="E20" s="59" t="s">
        <v>185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hidden="1" x14ac:dyDescent="0.25">
      <c r="A21" s="20">
        <v>26970</v>
      </c>
      <c r="B21" s="20">
        <v>3</v>
      </c>
      <c r="C21" s="21" t="s">
        <v>147</v>
      </c>
      <c r="D21" s="20">
        <v>299209</v>
      </c>
      <c r="E21" s="59" t="s">
        <v>186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hidden="1" x14ac:dyDescent="0.25">
      <c r="A22" s="20">
        <v>26641</v>
      </c>
      <c r="B22" s="20">
        <v>2</v>
      </c>
      <c r="C22" s="21" t="s">
        <v>147</v>
      </c>
      <c r="D22" s="20">
        <v>299217</v>
      </c>
      <c r="E22" s="59" t="s">
        <v>185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hidden="1" x14ac:dyDescent="0.25">
      <c r="A23" s="20">
        <v>27547</v>
      </c>
      <c r="B23" s="20">
        <v>1</v>
      </c>
      <c r="C23" s="21" t="s">
        <v>151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162</v>
      </c>
      <c r="R23" s="47"/>
    </row>
    <row r="24" spans="1:18" hidden="1" x14ac:dyDescent="0.25">
      <c r="A24" s="20">
        <v>27547</v>
      </c>
      <c r="B24" s="20">
        <v>2</v>
      </c>
      <c r="C24" s="21" t="s">
        <v>151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162</v>
      </c>
      <c r="R24" s="47"/>
    </row>
    <row r="25" spans="1:18" hidden="1" x14ac:dyDescent="0.25">
      <c r="A25" s="20">
        <v>27567</v>
      </c>
      <c r="B25" s="20">
        <v>1</v>
      </c>
      <c r="C25" s="21" t="s">
        <v>338</v>
      </c>
      <c r="D25" s="20">
        <v>112036</v>
      </c>
      <c r="E25" s="21" t="s">
        <v>339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340</v>
      </c>
      <c r="R25" s="47"/>
    </row>
    <row r="26" spans="1:18" x14ac:dyDescent="0.25">
      <c r="A26" s="20">
        <v>27575</v>
      </c>
      <c r="B26" s="20">
        <v>1</v>
      </c>
      <c r="C26" s="21" t="s">
        <v>152</v>
      </c>
      <c r="D26" s="20">
        <v>774016</v>
      </c>
      <c r="E26" s="21" t="s">
        <v>187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>
        <v>46223</v>
      </c>
      <c r="L26" s="22">
        <v>46227</v>
      </c>
      <c r="M26" s="22">
        <v>46226</v>
      </c>
      <c r="N26" s="22">
        <v>46239</v>
      </c>
      <c r="O26" s="22"/>
      <c r="P26" s="22" t="s">
        <v>491</v>
      </c>
      <c r="Q26" s="20" t="s">
        <v>163</v>
      </c>
      <c r="R26" s="47"/>
    </row>
    <row r="27" spans="1:18" x14ac:dyDescent="0.25">
      <c r="A27" s="20">
        <v>27575</v>
      </c>
      <c r="B27" s="20">
        <v>2</v>
      </c>
      <c r="C27" s="21" t="s">
        <v>152</v>
      </c>
      <c r="D27" s="20">
        <v>774016</v>
      </c>
      <c r="E27" s="21" t="s">
        <v>187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>
        <v>46223</v>
      </c>
      <c r="L27" s="22">
        <v>46227</v>
      </c>
      <c r="M27" s="22">
        <v>46226</v>
      </c>
      <c r="N27" s="22">
        <v>46239</v>
      </c>
      <c r="O27" s="22"/>
      <c r="P27" s="22" t="s">
        <v>491</v>
      </c>
      <c r="Q27" s="20" t="s">
        <v>163</v>
      </c>
      <c r="R27" s="47"/>
    </row>
    <row r="28" spans="1:18" x14ac:dyDescent="0.25">
      <c r="A28" s="20">
        <v>27575</v>
      </c>
      <c r="B28" s="20">
        <v>3</v>
      </c>
      <c r="C28" s="21" t="s">
        <v>152</v>
      </c>
      <c r="D28" s="20">
        <v>774017</v>
      </c>
      <c r="E28" s="21" t="s">
        <v>188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46227</v>
      </c>
      <c r="M28" s="22">
        <v>46226</v>
      </c>
      <c r="N28" s="22">
        <v>46239</v>
      </c>
      <c r="O28" s="22"/>
      <c r="P28" s="22" t="s">
        <v>491</v>
      </c>
      <c r="Q28" s="20" t="s">
        <v>163</v>
      </c>
      <c r="R28" s="47"/>
    </row>
    <row r="29" spans="1:18" x14ac:dyDescent="0.25">
      <c r="A29" s="20">
        <v>27575</v>
      </c>
      <c r="B29" s="20">
        <v>4</v>
      </c>
      <c r="C29" s="21" t="s">
        <v>152</v>
      </c>
      <c r="D29" s="20">
        <v>774017</v>
      </c>
      <c r="E29" s="21" t="s">
        <v>188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46227</v>
      </c>
      <c r="M29" s="22">
        <v>46226</v>
      </c>
      <c r="N29" s="22">
        <v>46239</v>
      </c>
      <c r="O29" s="22"/>
      <c r="P29" s="22" t="s">
        <v>491</v>
      </c>
      <c r="Q29" s="20" t="s">
        <v>163</v>
      </c>
      <c r="R29" s="47"/>
    </row>
    <row r="30" spans="1:18" hidden="1" x14ac:dyDescent="0.25">
      <c r="A30" s="20">
        <v>27524</v>
      </c>
      <c r="B30" s="20">
        <v>1</v>
      </c>
      <c r="C30" s="21" t="s">
        <v>147</v>
      </c>
      <c r="D30" s="20">
        <v>299528</v>
      </c>
      <c r="E30" s="21" t="s">
        <v>189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161</v>
      </c>
      <c r="R30" s="47"/>
    </row>
    <row r="31" spans="1:18" hidden="1" x14ac:dyDescent="0.25">
      <c r="A31" s="20">
        <v>27587</v>
      </c>
      <c r="B31" s="20">
        <v>1</v>
      </c>
      <c r="C31" s="21" t="s">
        <v>156</v>
      </c>
      <c r="D31" s="20">
        <v>1608001</v>
      </c>
      <c r="E31" s="21" t="s">
        <v>190</v>
      </c>
      <c r="F31" s="46">
        <v>1</v>
      </c>
      <c r="G31" s="22">
        <v>46246</v>
      </c>
      <c r="H31" s="72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hidden="1" x14ac:dyDescent="0.25">
      <c r="A32" s="20">
        <v>27587</v>
      </c>
      <c r="B32" s="20">
        <v>2</v>
      </c>
      <c r="C32" s="21" t="s">
        <v>156</v>
      </c>
      <c r="D32" s="20">
        <v>1608002</v>
      </c>
      <c r="E32" s="21" t="s">
        <v>190</v>
      </c>
      <c r="F32" s="46">
        <v>1</v>
      </c>
      <c r="G32" s="22">
        <v>46246</v>
      </c>
      <c r="H32" s="72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hidden="1" x14ac:dyDescent="0.25">
      <c r="A33" s="20">
        <v>27587</v>
      </c>
      <c r="B33" s="20">
        <v>3</v>
      </c>
      <c r="C33" s="21" t="s">
        <v>156</v>
      </c>
      <c r="D33" s="20">
        <v>1608002</v>
      </c>
      <c r="E33" s="21" t="s">
        <v>190</v>
      </c>
      <c r="F33" s="46">
        <v>1</v>
      </c>
      <c r="G33" s="22">
        <v>46246</v>
      </c>
      <c r="H33" s="72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hidden="1" x14ac:dyDescent="0.25">
      <c r="A34" s="20">
        <v>27593</v>
      </c>
      <c r="B34" s="20">
        <v>1</v>
      </c>
      <c r="C34" s="21" t="s">
        <v>157</v>
      </c>
      <c r="D34" s="20">
        <v>1609001</v>
      </c>
      <c r="E34" s="21" t="s">
        <v>191</v>
      </c>
      <c r="F34" s="46">
        <v>1</v>
      </c>
      <c r="G34" s="22">
        <v>46253</v>
      </c>
      <c r="H34" s="72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164</v>
      </c>
      <c r="R34" s="47"/>
    </row>
    <row r="35" spans="1:18" hidden="1" x14ac:dyDescent="0.25">
      <c r="A35" s="20">
        <v>27599</v>
      </c>
      <c r="B35" s="20">
        <v>1</v>
      </c>
      <c r="C35" s="45" t="s">
        <v>147</v>
      </c>
      <c r="D35" s="20">
        <v>299374</v>
      </c>
      <c r="E35" s="21" t="s">
        <v>192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hidden="1" x14ac:dyDescent="0.25">
      <c r="A36" s="20">
        <v>27542</v>
      </c>
      <c r="B36" s="20">
        <v>1</v>
      </c>
      <c r="C36" s="45" t="s">
        <v>147</v>
      </c>
      <c r="D36" s="20">
        <v>299528</v>
      </c>
      <c r="E36" s="21" t="s">
        <v>189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161</v>
      </c>
      <c r="R36" s="47"/>
    </row>
    <row r="37" spans="1:18" hidden="1" x14ac:dyDescent="0.25">
      <c r="A37" s="20">
        <v>27600</v>
      </c>
      <c r="B37" s="20">
        <v>1</v>
      </c>
      <c r="C37" s="21" t="s">
        <v>155</v>
      </c>
      <c r="D37" s="20" t="s">
        <v>63</v>
      </c>
      <c r="E37" s="21" t="s">
        <v>193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hidden="1" x14ac:dyDescent="0.25">
      <c r="A38" s="20">
        <v>27600</v>
      </c>
      <c r="B38" s="20">
        <v>5</v>
      </c>
      <c r="C38" s="21" t="s">
        <v>155</v>
      </c>
      <c r="D38" s="20" t="s">
        <v>63</v>
      </c>
      <c r="E38" s="21" t="s">
        <v>194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hidden="1" x14ac:dyDescent="0.25">
      <c r="A39" s="20">
        <v>27600</v>
      </c>
      <c r="B39" s="20">
        <v>9</v>
      </c>
      <c r="C39" s="21" t="s">
        <v>155</v>
      </c>
      <c r="D39" s="20" t="s">
        <v>63</v>
      </c>
      <c r="E39" s="21" t="s">
        <v>193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hidden="1" x14ac:dyDescent="0.25">
      <c r="A40" s="20">
        <v>27600</v>
      </c>
      <c r="B40" s="20">
        <v>13</v>
      </c>
      <c r="C40" s="21" t="s">
        <v>155</v>
      </c>
      <c r="D40" s="20" t="s">
        <v>63</v>
      </c>
      <c r="E40" s="21" t="s">
        <v>194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hidden="1" x14ac:dyDescent="0.25">
      <c r="A41" s="20">
        <v>27600</v>
      </c>
      <c r="B41" s="20">
        <v>2</v>
      </c>
      <c r="C41" s="21" t="s">
        <v>155</v>
      </c>
      <c r="D41" s="20" t="s">
        <v>63</v>
      </c>
      <c r="E41" s="21" t="s">
        <v>193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hidden="1" x14ac:dyDescent="0.25">
      <c r="A42" s="20">
        <v>27600</v>
      </c>
      <c r="B42" s="20">
        <v>6</v>
      </c>
      <c r="C42" s="21" t="s">
        <v>155</v>
      </c>
      <c r="D42" s="20" t="s">
        <v>63</v>
      </c>
      <c r="E42" s="21" t="s">
        <v>194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hidden="1" x14ac:dyDescent="0.25">
      <c r="A43" s="20">
        <v>27600</v>
      </c>
      <c r="B43" s="20">
        <v>10</v>
      </c>
      <c r="C43" s="21" t="s">
        <v>155</v>
      </c>
      <c r="D43" s="20" t="s">
        <v>63</v>
      </c>
      <c r="E43" s="21" t="s">
        <v>193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hidden="1" x14ac:dyDescent="0.25">
      <c r="A44" s="20">
        <v>27600</v>
      </c>
      <c r="B44" s="20">
        <v>14</v>
      </c>
      <c r="C44" s="21" t="s">
        <v>155</v>
      </c>
      <c r="D44" s="20" t="s">
        <v>63</v>
      </c>
      <c r="E44" s="21" t="s">
        <v>194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hidden="1" x14ac:dyDescent="0.25">
      <c r="A45" s="20">
        <v>27496</v>
      </c>
      <c r="B45" s="20">
        <v>1</v>
      </c>
      <c r="C45" s="21" t="s">
        <v>147</v>
      </c>
      <c r="D45" s="20">
        <v>299208</v>
      </c>
      <c r="E45" s="21" t="s">
        <v>195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hidden="1" x14ac:dyDescent="0.25">
      <c r="A46" s="20">
        <v>27600</v>
      </c>
      <c r="B46" s="20">
        <v>3</v>
      </c>
      <c r="C46" s="21" t="s">
        <v>155</v>
      </c>
      <c r="D46" s="20" t="s">
        <v>63</v>
      </c>
      <c r="E46" s="21" t="s">
        <v>193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hidden="1" x14ac:dyDescent="0.25">
      <c r="A47" s="20">
        <v>27600</v>
      </c>
      <c r="B47" s="20">
        <v>7</v>
      </c>
      <c r="C47" s="21" t="s">
        <v>155</v>
      </c>
      <c r="D47" s="20" t="s">
        <v>63</v>
      </c>
      <c r="E47" s="21" t="s">
        <v>194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hidden="1" x14ac:dyDescent="0.25">
      <c r="A48" s="20">
        <v>27600</v>
      </c>
      <c r="B48" s="20">
        <v>11</v>
      </c>
      <c r="C48" s="21" t="s">
        <v>155</v>
      </c>
      <c r="D48" s="20" t="s">
        <v>63</v>
      </c>
      <c r="E48" s="21" t="s">
        <v>193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hidden="1" x14ac:dyDescent="0.25">
      <c r="A49" s="20">
        <v>27600</v>
      </c>
      <c r="B49" s="20">
        <v>15</v>
      </c>
      <c r="C49" s="21" t="s">
        <v>155</v>
      </c>
      <c r="D49" s="20" t="s">
        <v>63</v>
      </c>
      <c r="E49" s="21" t="s">
        <v>194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hidden="1" x14ac:dyDescent="0.25">
      <c r="A50" s="20">
        <v>27600</v>
      </c>
      <c r="B50" s="20">
        <v>4</v>
      </c>
      <c r="C50" s="21" t="s">
        <v>155</v>
      </c>
      <c r="D50" s="20" t="s">
        <v>63</v>
      </c>
      <c r="E50" s="21" t="s">
        <v>193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hidden="1" x14ac:dyDescent="0.25">
      <c r="A51" s="20">
        <v>27600</v>
      </c>
      <c r="B51" s="20">
        <v>8</v>
      </c>
      <c r="C51" s="21" t="s">
        <v>155</v>
      </c>
      <c r="D51" s="20" t="s">
        <v>63</v>
      </c>
      <c r="E51" s="21" t="s">
        <v>194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hidden="1" x14ac:dyDescent="0.25">
      <c r="A52" s="20">
        <v>27600</v>
      </c>
      <c r="B52" s="20">
        <v>12</v>
      </c>
      <c r="C52" s="21" t="s">
        <v>155</v>
      </c>
      <c r="D52" s="20" t="s">
        <v>63</v>
      </c>
      <c r="E52" s="21" t="s">
        <v>193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hidden="1" x14ac:dyDescent="0.25">
      <c r="A53" s="20">
        <v>27600</v>
      </c>
      <c r="B53" s="20">
        <v>16</v>
      </c>
      <c r="C53" s="21" t="s">
        <v>155</v>
      </c>
      <c r="D53" s="20" t="s">
        <v>63</v>
      </c>
      <c r="E53" s="21" t="s">
        <v>194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hidden="1" x14ac:dyDescent="0.25">
      <c r="A54" s="20">
        <v>27597</v>
      </c>
      <c r="B54" s="20">
        <v>1</v>
      </c>
      <c r="C54" s="21" t="s">
        <v>147</v>
      </c>
      <c r="D54" s="20">
        <v>299303</v>
      </c>
      <c r="E54" s="21" t="s">
        <v>196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>
    <filterColumn colId="2">
      <filters>
        <filter val="Piacentini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J127" sqref="J127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345</v>
      </c>
      <c r="G1" s="19" t="s">
        <v>169</v>
      </c>
      <c r="H1" s="19" t="s">
        <v>344</v>
      </c>
      <c r="I1" s="19" t="s">
        <v>170</v>
      </c>
      <c r="J1" s="19" t="s">
        <v>171</v>
      </c>
      <c r="K1" s="19" t="s">
        <v>74</v>
      </c>
      <c r="L1" s="19" t="s">
        <v>371</v>
      </c>
      <c r="M1" s="19" t="s">
        <v>59</v>
      </c>
    </row>
    <row r="2" spans="1:13" hidden="1" x14ac:dyDescent="0.25">
      <c r="A2" s="20">
        <v>27415</v>
      </c>
      <c r="B2" s="20">
        <v>1</v>
      </c>
      <c r="C2" s="73" t="s">
        <v>147</v>
      </c>
      <c r="D2" s="20">
        <v>152652</v>
      </c>
      <c r="E2" s="73" t="s">
        <v>346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203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3" t="s">
        <v>147</v>
      </c>
      <c r="D3" s="20">
        <v>152655</v>
      </c>
      <c r="E3" s="73" t="s">
        <v>347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334</v>
      </c>
      <c r="L3" s="20">
        <v>395</v>
      </c>
      <c r="M3" s="47"/>
    </row>
    <row r="4" spans="1:13" hidden="1" x14ac:dyDescent="0.25">
      <c r="A4" s="20">
        <v>27574</v>
      </c>
      <c r="B4" s="20">
        <v>2</v>
      </c>
      <c r="C4" s="73" t="s">
        <v>147</v>
      </c>
      <c r="D4" s="20">
        <v>152655</v>
      </c>
      <c r="E4" s="73" t="s">
        <v>347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334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147</v>
      </c>
      <c r="D5" s="20">
        <v>152654</v>
      </c>
      <c r="E5" s="73" t="s">
        <v>348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334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147</v>
      </c>
      <c r="D6" s="20">
        <v>152654</v>
      </c>
      <c r="E6" s="73" t="s">
        <v>348</v>
      </c>
      <c r="F6" s="22">
        <v>46234</v>
      </c>
      <c r="G6" s="22">
        <v>46213</v>
      </c>
      <c r="H6" s="22">
        <v>46226</v>
      </c>
      <c r="I6" s="22">
        <v>46220</v>
      </c>
      <c r="J6" s="91"/>
      <c r="K6" s="47" t="s">
        <v>203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147</v>
      </c>
      <c r="D7" s="20">
        <v>152654</v>
      </c>
      <c r="E7" s="73" t="s">
        <v>348</v>
      </c>
      <c r="F7" s="22">
        <v>46234</v>
      </c>
      <c r="G7" s="22">
        <v>46213</v>
      </c>
      <c r="H7" s="22">
        <v>46226</v>
      </c>
      <c r="I7" s="22">
        <v>46220</v>
      </c>
      <c r="J7" s="91"/>
      <c r="K7" s="47" t="s">
        <v>203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147</v>
      </c>
      <c r="D8" s="20">
        <v>152654</v>
      </c>
      <c r="E8" s="73" t="s">
        <v>348</v>
      </c>
      <c r="F8" s="22">
        <v>46234</v>
      </c>
      <c r="G8" s="22">
        <v>46213</v>
      </c>
      <c r="H8" s="22">
        <v>46226</v>
      </c>
      <c r="I8" s="22">
        <v>46220</v>
      </c>
      <c r="J8" s="91"/>
      <c r="K8" s="47" t="s">
        <v>203</v>
      </c>
      <c r="L8" s="20">
        <v>395</v>
      </c>
      <c r="M8" s="47"/>
    </row>
    <row r="9" spans="1:13" hidden="1" x14ac:dyDescent="0.25">
      <c r="A9" s="20">
        <v>27595</v>
      </c>
      <c r="B9" s="20">
        <v>1</v>
      </c>
      <c r="C9" s="73" t="s">
        <v>147</v>
      </c>
      <c r="D9" s="20">
        <v>152650</v>
      </c>
      <c r="E9" s="73" t="s">
        <v>349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334</v>
      </c>
      <c r="L9" s="20">
        <v>123</v>
      </c>
      <c r="M9" s="47"/>
    </row>
    <row r="10" spans="1:13" hidden="1" x14ac:dyDescent="0.25">
      <c r="A10" s="20">
        <v>27595</v>
      </c>
      <c r="B10" s="20">
        <v>2</v>
      </c>
      <c r="C10" s="73" t="s">
        <v>147</v>
      </c>
      <c r="D10" s="20">
        <v>152650</v>
      </c>
      <c r="E10" s="73" t="s">
        <v>349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334</v>
      </c>
      <c r="L10" s="20">
        <v>123</v>
      </c>
      <c r="M10" s="47"/>
    </row>
    <row r="11" spans="1:13" hidden="1" x14ac:dyDescent="0.25">
      <c r="A11" s="20">
        <v>27595</v>
      </c>
      <c r="B11" s="20">
        <v>3</v>
      </c>
      <c r="C11" s="73" t="s">
        <v>147</v>
      </c>
      <c r="D11" s="20">
        <v>152650</v>
      </c>
      <c r="E11" s="73" t="s">
        <v>349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334</v>
      </c>
      <c r="L11" s="20">
        <v>123</v>
      </c>
      <c r="M11" s="47"/>
    </row>
    <row r="12" spans="1:13" hidden="1" x14ac:dyDescent="0.25">
      <c r="A12" s="20">
        <v>27595</v>
      </c>
      <c r="B12" s="20">
        <v>4</v>
      </c>
      <c r="C12" s="73" t="s">
        <v>147</v>
      </c>
      <c r="D12" s="20">
        <v>152650</v>
      </c>
      <c r="E12" s="73" t="s">
        <v>349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334</v>
      </c>
      <c r="L12" s="20">
        <v>123</v>
      </c>
      <c r="M12" s="47"/>
    </row>
    <row r="13" spans="1:13" hidden="1" x14ac:dyDescent="0.25">
      <c r="A13" s="20">
        <v>27595</v>
      </c>
      <c r="B13" s="20">
        <v>5</v>
      </c>
      <c r="C13" s="73" t="s">
        <v>147</v>
      </c>
      <c r="D13" s="20">
        <v>152650</v>
      </c>
      <c r="E13" s="73" t="s">
        <v>349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334</v>
      </c>
      <c r="L13" s="20">
        <v>123</v>
      </c>
      <c r="M13" s="47"/>
    </row>
    <row r="14" spans="1:13" hidden="1" x14ac:dyDescent="0.25">
      <c r="A14" s="20">
        <v>27595</v>
      </c>
      <c r="B14" s="20">
        <v>6</v>
      </c>
      <c r="C14" s="73" t="s">
        <v>147</v>
      </c>
      <c r="D14" s="20">
        <v>152650</v>
      </c>
      <c r="E14" s="73" t="s">
        <v>349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334</v>
      </c>
      <c r="L14" s="20">
        <v>395</v>
      </c>
      <c r="M14" s="47"/>
    </row>
    <row r="15" spans="1:13" hidden="1" x14ac:dyDescent="0.25">
      <c r="A15" s="20">
        <v>27595</v>
      </c>
      <c r="B15" s="20">
        <v>7</v>
      </c>
      <c r="C15" s="73" t="s">
        <v>147</v>
      </c>
      <c r="D15" s="20">
        <v>152650</v>
      </c>
      <c r="E15" s="73" t="s">
        <v>349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334</v>
      </c>
      <c r="L15" s="20">
        <v>395</v>
      </c>
      <c r="M15" s="47"/>
    </row>
    <row r="16" spans="1:13" hidden="1" x14ac:dyDescent="0.25">
      <c r="A16" s="20">
        <v>27595</v>
      </c>
      <c r="B16" s="20">
        <v>8</v>
      </c>
      <c r="C16" s="73" t="s">
        <v>147</v>
      </c>
      <c r="D16" s="20">
        <v>152650</v>
      </c>
      <c r="E16" s="73" t="s">
        <v>349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334</v>
      </c>
      <c r="L16" s="20">
        <v>395</v>
      </c>
      <c r="M16" s="47"/>
    </row>
    <row r="17" spans="1:13" hidden="1" x14ac:dyDescent="0.25">
      <c r="A17" s="20">
        <v>27595</v>
      </c>
      <c r="B17" s="20">
        <v>9</v>
      </c>
      <c r="C17" s="73" t="s">
        <v>147</v>
      </c>
      <c r="D17" s="20">
        <v>152650</v>
      </c>
      <c r="E17" s="73" t="s">
        <v>349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334</v>
      </c>
      <c r="L17" s="20">
        <v>395</v>
      </c>
      <c r="M17" s="47"/>
    </row>
    <row r="18" spans="1:13" hidden="1" x14ac:dyDescent="0.25">
      <c r="A18" s="20">
        <v>27602</v>
      </c>
      <c r="B18" s="20">
        <v>1</v>
      </c>
      <c r="C18" s="73" t="s">
        <v>147</v>
      </c>
      <c r="D18" s="20">
        <v>152655</v>
      </c>
      <c r="E18" s="73" t="s">
        <v>347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334</v>
      </c>
      <c r="L18" s="20">
        <v>395</v>
      </c>
      <c r="M18" s="47"/>
    </row>
    <row r="19" spans="1:13" hidden="1" x14ac:dyDescent="0.25">
      <c r="A19" s="20">
        <v>27602</v>
      </c>
      <c r="B19" s="20">
        <v>2</v>
      </c>
      <c r="C19" s="73" t="s">
        <v>147</v>
      </c>
      <c r="D19" s="20">
        <v>152655</v>
      </c>
      <c r="E19" s="73" t="s">
        <v>347</v>
      </c>
      <c r="F19" s="22">
        <v>46240</v>
      </c>
      <c r="G19" s="22">
        <v>46220</v>
      </c>
      <c r="H19" s="22">
        <v>46226</v>
      </c>
      <c r="I19" s="22">
        <v>46227</v>
      </c>
      <c r="J19" s="92"/>
      <c r="K19" s="47" t="s">
        <v>203</v>
      </c>
      <c r="L19" s="20">
        <v>395</v>
      </c>
      <c r="M19" s="47"/>
    </row>
    <row r="20" spans="1:13" hidden="1" x14ac:dyDescent="0.25">
      <c r="A20" s="20">
        <v>27602</v>
      </c>
      <c r="B20" s="20">
        <v>3</v>
      </c>
      <c r="C20" s="73" t="s">
        <v>147</v>
      </c>
      <c r="D20" s="20">
        <v>152655</v>
      </c>
      <c r="E20" s="73" t="s">
        <v>347</v>
      </c>
      <c r="F20" s="22">
        <v>46240</v>
      </c>
      <c r="G20" s="22">
        <v>46220</v>
      </c>
      <c r="H20" s="22">
        <v>46226</v>
      </c>
      <c r="I20" s="22">
        <v>46227</v>
      </c>
      <c r="J20" s="91"/>
      <c r="K20" s="47" t="s">
        <v>203</v>
      </c>
      <c r="L20" s="20">
        <v>395</v>
      </c>
      <c r="M20" s="47"/>
    </row>
    <row r="21" spans="1:13" hidden="1" x14ac:dyDescent="0.25">
      <c r="A21" s="20">
        <v>27602</v>
      </c>
      <c r="B21" s="20">
        <v>4</v>
      </c>
      <c r="C21" s="73" t="s">
        <v>147</v>
      </c>
      <c r="D21" s="20">
        <v>152655</v>
      </c>
      <c r="E21" s="73" t="s">
        <v>347</v>
      </c>
      <c r="F21" s="22">
        <v>46240</v>
      </c>
      <c r="G21" s="22">
        <v>46220</v>
      </c>
      <c r="H21" s="22">
        <v>46226</v>
      </c>
      <c r="I21" s="22">
        <v>46227</v>
      </c>
      <c r="J21" s="91"/>
      <c r="K21" s="47" t="s">
        <v>203</v>
      </c>
      <c r="L21" s="20">
        <v>395</v>
      </c>
      <c r="M21" s="47"/>
    </row>
    <row r="22" spans="1:13" hidden="1" x14ac:dyDescent="0.25">
      <c r="A22" s="20">
        <v>27592</v>
      </c>
      <c r="B22" s="20">
        <v>1</v>
      </c>
      <c r="C22" s="73" t="s">
        <v>147</v>
      </c>
      <c r="D22" s="20">
        <v>152655</v>
      </c>
      <c r="E22" s="73" t="s">
        <v>347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3" t="s">
        <v>147</v>
      </c>
      <c r="D23" s="20">
        <v>152655</v>
      </c>
      <c r="E23" s="73" t="s">
        <v>347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hidden="1" x14ac:dyDescent="0.25">
      <c r="A24" s="20">
        <v>27591</v>
      </c>
      <c r="B24" s="20">
        <v>1</v>
      </c>
      <c r="C24" s="73" t="s">
        <v>147</v>
      </c>
      <c r="D24" s="20">
        <v>152650</v>
      </c>
      <c r="E24" s="73" t="s">
        <v>349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334</v>
      </c>
      <c r="L24" s="20">
        <v>395</v>
      </c>
      <c r="M24" s="47"/>
    </row>
    <row r="25" spans="1:13" hidden="1" x14ac:dyDescent="0.25">
      <c r="A25" s="20">
        <v>27591</v>
      </c>
      <c r="B25" s="20">
        <v>2</v>
      </c>
      <c r="C25" s="73" t="s">
        <v>147</v>
      </c>
      <c r="D25" s="20">
        <v>152650</v>
      </c>
      <c r="E25" s="73" t="s">
        <v>349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334</v>
      </c>
      <c r="L25" s="20">
        <v>395</v>
      </c>
      <c r="M25" s="47"/>
    </row>
    <row r="26" spans="1:13" hidden="1" x14ac:dyDescent="0.25">
      <c r="A26" s="20">
        <v>27591</v>
      </c>
      <c r="B26" s="20">
        <v>3</v>
      </c>
      <c r="C26" s="73" t="s">
        <v>147</v>
      </c>
      <c r="D26" s="20">
        <v>152650</v>
      </c>
      <c r="E26" s="73" t="s">
        <v>349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334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3" t="s">
        <v>147</v>
      </c>
      <c r="D27" s="20">
        <v>152650</v>
      </c>
      <c r="E27" s="73" t="s">
        <v>349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203</v>
      </c>
      <c r="L27" s="20">
        <v>395</v>
      </c>
      <c r="M27" s="47"/>
    </row>
    <row r="28" spans="1:13" hidden="1" x14ac:dyDescent="0.25">
      <c r="A28" s="20">
        <v>27591</v>
      </c>
      <c r="B28" s="20">
        <v>5</v>
      </c>
      <c r="C28" s="73" t="s">
        <v>147</v>
      </c>
      <c r="D28" s="20">
        <v>152650</v>
      </c>
      <c r="E28" s="73" t="s">
        <v>349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203</v>
      </c>
      <c r="L28" s="20">
        <v>395</v>
      </c>
      <c r="M28" s="47"/>
    </row>
    <row r="29" spans="1:13" hidden="1" x14ac:dyDescent="0.25">
      <c r="A29" s="20">
        <v>27594</v>
      </c>
      <c r="B29" s="20">
        <v>1</v>
      </c>
      <c r="C29" s="73" t="s">
        <v>147</v>
      </c>
      <c r="D29" s="20">
        <v>152650</v>
      </c>
      <c r="E29" s="73" t="s">
        <v>349</v>
      </c>
      <c r="F29" s="22">
        <v>46245</v>
      </c>
      <c r="G29" s="22">
        <v>46220</v>
      </c>
      <c r="H29" s="22"/>
      <c r="I29" s="22">
        <v>46227</v>
      </c>
      <c r="J29" s="91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3" t="s">
        <v>147</v>
      </c>
      <c r="D30" s="20">
        <v>152650</v>
      </c>
      <c r="E30" s="73" t="s">
        <v>349</v>
      </c>
      <c r="F30" s="22">
        <v>46245</v>
      </c>
      <c r="G30" s="22">
        <v>46220</v>
      </c>
      <c r="H30" s="22"/>
      <c r="I30" s="22">
        <v>46227</v>
      </c>
      <c r="J30" s="91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3" t="s">
        <v>147</v>
      </c>
      <c r="D31" s="20">
        <v>152650</v>
      </c>
      <c r="E31" s="73" t="s">
        <v>349</v>
      </c>
      <c r="F31" s="22">
        <v>46245</v>
      </c>
      <c r="G31" s="22">
        <v>46220</v>
      </c>
      <c r="H31" s="22"/>
      <c r="I31" s="22">
        <v>46227</v>
      </c>
      <c r="J31" s="91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3" t="s">
        <v>147</v>
      </c>
      <c r="D32" s="20">
        <v>152650</v>
      </c>
      <c r="E32" s="73" t="s">
        <v>349</v>
      </c>
      <c r="F32" s="22">
        <v>46245</v>
      </c>
      <c r="G32" s="22">
        <v>46220</v>
      </c>
      <c r="H32" s="22"/>
      <c r="I32" s="22">
        <v>46227</v>
      </c>
      <c r="J32" s="91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3" t="s">
        <v>147</v>
      </c>
      <c r="D33" s="20">
        <v>152650</v>
      </c>
      <c r="E33" s="73" t="s">
        <v>349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3" t="s">
        <v>147</v>
      </c>
      <c r="D34" s="20">
        <v>152650</v>
      </c>
      <c r="E34" s="73" t="s">
        <v>349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3" t="s">
        <v>147</v>
      </c>
      <c r="D35" s="20">
        <v>152650</v>
      </c>
      <c r="E35" s="73" t="s">
        <v>349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3" t="s">
        <v>147</v>
      </c>
      <c r="D36" s="20">
        <v>152650</v>
      </c>
      <c r="E36" s="73" t="s">
        <v>349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3" t="s">
        <v>147</v>
      </c>
      <c r="D37" s="20">
        <v>152650</v>
      </c>
      <c r="E37" s="73" t="s">
        <v>349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3" t="s">
        <v>147</v>
      </c>
      <c r="D38" s="20">
        <v>152650</v>
      </c>
      <c r="E38" s="73" t="s">
        <v>349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3" t="s">
        <v>147</v>
      </c>
      <c r="D39" s="20">
        <v>152650</v>
      </c>
      <c r="E39" s="73" t="s">
        <v>349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3" t="s">
        <v>147</v>
      </c>
      <c r="D40" s="20">
        <v>152650</v>
      </c>
      <c r="E40" s="73" t="s">
        <v>349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3" t="s">
        <v>147</v>
      </c>
      <c r="D41" s="20">
        <v>152650</v>
      </c>
      <c r="E41" s="73" t="s">
        <v>349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3" t="s">
        <v>147</v>
      </c>
      <c r="D42" s="20">
        <v>152653</v>
      </c>
      <c r="E42" s="73" t="s">
        <v>350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203</v>
      </c>
      <c r="L42" s="20">
        <v>395</v>
      </c>
      <c r="M42" s="47"/>
    </row>
    <row r="43" spans="1:13" hidden="1" x14ac:dyDescent="0.25">
      <c r="A43" s="20">
        <v>27606</v>
      </c>
      <c r="B43" s="20">
        <v>2</v>
      </c>
      <c r="C43" s="73" t="s">
        <v>147</v>
      </c>
      <c r="D43" s="20">
        <v>152653</v>
      </c>
      <c r="E43" s="73" t="s">
        <v>350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3" t="s">
        <v>147</v>
      </c>
      <c r="D44" s="20">
        <v>152653</v>
      </c>
      <c r="E44" s="73" t="s">
        <v>350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3" t="s">
        <v>147</v>
      </c>
      <c r="D45" s="20">
        <v>152653</v>
      </c>
      <c r="E45" s="73" t="s">
        <v>350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3" t="s">
        <v>147</v>
      </c>
      <c r="D46" s="20">
        <v>152653</v>
      </c>
      <c r="E46" s="73" t="s">
        <v>350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3" t="s">
        <v>147</v>
      </c>
      <c r="D47" s="20">
        <v>152653</v>
      </c>
      <c r="E47" s="73" t="s">
        <v>350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3" t="s">
        <v>147</v>
      </c>
      <c r="D48" s="20">
        <v>152653</v>
      </c>
      <c r="E48" s="73" t="s">
        <v>350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3" t="s">
        <v>147</v>
      </c>
      <c r="D49" s="20">
        <v>152653</v>
      </c>
      <c r="E49" s="73" t="s">
        <v>350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3" t="s">
        <v>147</v>
      </c>
      <c r="D50" s="20">
        <v>152653</v>
      </c>
      <c r="E50" s="73" t="s">
        <v>350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3" t="s">
        <v>147</v>
      </c>
      <c r="D51" s="20">
        <v>152650</v>
      </c>
      <c r="E51" s="73" t="s">
        <v>349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3" t="s">
        <v>147</v>
      </c>
      <c r="D52" s="20">
        <v>152650</v>
      </c>
      <c r="E52" s="73" t="s">
        <v>349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3" t="s">
        <v>147</v>
      </c>
      <c r="D53" s="20">
        <v>152650</v>
      </c>
      <c r="E53" s="73" t="s">
        <v>349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3" t="s">
        <v>147</v>
      </c>
      <c r="D54" s="20">
        <v>152650</v>
      </c>
      <c r="E54" s="73" t="s">
        <v>349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3" t="s">
        <v>147</v>
      </c>
      <c r="D55" s="20">
        <v>152650</v>
      </c>
      <c r="E55" s="73" t="s">
        <v>349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3" t="s">
        <v>147</v>
      </c>
      <c r="D56" s="20">
        <v>152650</v>
      </c>
      <c r="E56" s="73" t="s">
        <v>349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3" t="s">
        <v>147</v>
      </c>
      <c r="D57" s="20">
        <v>152650</v>
      </c>
      <c r="E57" s="73" t="s">
        <v>349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3" t="s">
        <v>147</v>
      </c>
      <c r="D58" s="20">
        <v>152650</v>
      </c>
      <c r="E58" s="73" t="s">
        <v>349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3" t="s">
        <v>147</v>
      </c>
      <c r="D59" s="20">
        <v>152650</v>
      </c>
      <c r="E59" s="73" t="s">
        <v>349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3" t="s">
        <v>147</v>
      </c>
      <c r="D60" s="20">
        <v>152650</v>
      </c>
      <c r="E60" s="73" t="s">
        <v>349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hidden="1" x14ac:dyDescent="0.25">
      <c r="A61" s="20">
        <v>27545</v>
      </c>
      <c r="B61" s="20">
        <v>3</v>
      </c>
      <c r="C61" s="73" t="s">
        <v>370</v>
      </c>
      <c r="D61" s="20">
        <v>1425040</v>
      </c>
      <c r="E61" s="73" t="s">
        <v>351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203</v>
      </c>
      <c r="L61" s="20">
        <v>395</v>
      </c>
      <c r="M61" s="47"/>
    </row>
    <row r="62" spans="1:13" hidden="1" x14ac:dyDescent="0.25">
      <c r="A62" s="20">
        <v>27545</v>
      </c>
      <c r="B62" s="20">
        <v>4</v>
      </c>
      <c r="C62" s="73" t="s">
        <v>370</v>
      </c>
      <c r="D62" s="20">
        <v>1425040</v>
      </c>
      <c r="E62" s="73" t="s">
        <v>351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203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3" t="s">
        <v>370</v>
      </c>
      <c r="D63" s="20">
        <v>1425040</v>
      </c>
      <c r="E63" s="73" t="s">
        <v>351</v>
      </c>
      <c r="F63" s="22">
        <v>46244</v>
      </c>
      <c r="G63" s="24">
        <v>46213</v>
      </c>
      <c r="H63" s="24">
        <v>46226</v>
      </c>
      <c r="I63" s="24">
        <v>46220</v>
      </c>
      <c r="J63" s="91"/>
      <c r="K63" s="47" t="s">
        <v>203</v>
      </c>
      <c r="L63" s="23">
        <v>395</v>
      </c>
      <c r="M63" s="47"/>
    </row>
    <row r="64" spans="1:13" hidden="1" x14ac:dyDescent="0.25">
      <c r="A64" s="20">
        <v>27545</v>
      </c>
      <c r="B64" s="20">
        <v>16</v>
      </c>
      <c r="C64" s="73" t="s">
        <v>370</v>
      </c>
      <c r="D64" s="20">
        <v>1425040</v>
      </c>
      <c r="E64" s="73" t="s">
        <v>351</v>
      </c>
      <c r="F64" s="22">
        <v>46244</v>
      </c>
      <c r="G64" s="24">
        <v>46213</v>
      </c>
      <c r="H64" s="24">
        <v>46226</v>
      </c>
      <c r="I64" s="24">
        <v>46220</v>
      </c>
      <c r="J64" s="91"/>
      <c r="K64" s="47" t="s">
        <v>203</v>
      </c>
      <c r="L64" s="23">
        <v>395</v>
      </c>
      <c r="M64" s="47"/>
    </row>
    <row r="65" spans="1:13" hidden="1" x14ac:dyDescent="0.25">
      <c r="A65" s="20">
        <v>27545</v>
      </c>
      <c r="B65" s="20">
        <v>14</v>
      </c>
      <c r="C65" s="73" t="s">
        <v>370</v>
      </c>
      <c r="D65" s="20">
        <v>1425049</v>
      </c>
      <c r="E65" s="73" t="s">
        <v>352</v>
      </c>
      <c r="F65" s="22">
        <v>46244</v>
      </c>
      <c r="G65" s="24">
        <v>46213</v>
      </c>
      <c r="H65" s="24">
        <v>46216</v>
      </c>
      <c r="I65" s="24">
        <v>46220</v>
      </c>
      <c r="J65" s="92">
        <v>46220</v>
      </c>
      <c r="K65" s="47" t="s">
        <v>203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3" t="s">
        <v>370</v>
      </c>
      <c r="D66" s="20">
        <v>1425031</v>
      </c>
      <c r="E66" s="73" t="s">
        <v>353</v>
      </c>
      <c r="F66" s="22">
        <v>46295</v>
      </c>
      <c r="G66" s="24">
        <v>46275</v>
      </c>
      <c r="H66" s="23"/>
      <c r="I66" s="24">
        <v>46290</v>
      </c>
      <c r="J66" s="91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3" t="s">
        <v>370</v>
      </c>
      <c r="D67" s="20">
        <v>1425031</v>
      </c>
      <c r="E67" s="73" t="s">
        <v>353</v>
      </c>
      <c r="F67" s="22">
        <v>46295</v>
      </c>
      <c r="G67" s="24">
        <v>46275</v>
      </c>
      <c r="H67" s="23"/>
      <c r="I67" s="24">
        <v>46290</v>
      </c>
      <c r="J67" s="91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3" t="s">
        <v>370</v>
      </c>
      <c r="D68" s="20">
        <v>1425032</v>
      </c>
      <c r="E68" s="73" t="s">
        <v>354</v>
      </c>
      <c r="F68" s="22">
        <v>46295</v>
      </c>
      <c r="G68" s="24">
        <v>46275</v>
      </c>
      <c r="H68" s="23"/>
      <c r="I68" s="24">
        <v>46290</v>
      </c>
      <c r="J68" s="91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3" t="s">
        <v>370</v>
      </c>
      <c r="D69" s="20">
        <v>1425032</v>
      </c>
      <c r="E69" s="73" t="s">
        <v>354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3" t="s">
        <v>370</v>
      </c>
      <c r="D70" s="20">
        <v>1425034</v>
      </c>
      <c r="E70" s="73" t="s">
        <v>355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3" t="s">
        <v>370</v>
      </c>
      <c r="D71" s="20">
        <v>1425035</v>
      </c>
      <c r="E71" s="73" t="s">
        <v>356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3" t="s">
        <v>370</v>
      </c>
      <c r="D72" s="20">
        <v>1425031</v>
      </c>
      <c r="E72" s="73" t="s">
        <v>353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3" t="s">
        <v>370</v>
      </c>
      <c r="D73" s="20">
        <v>1425032</v>
      </c>
      <c r="E73" s="73" t="s">
        <v>354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3" t="s">
        <v>370</v>
      </c>
      <c r="D74" s="20">
        <v>1425039</v>
      </c>
      <c r="E74" s="73" t="s">
        <v>357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3" t="s">
        <v>370</v>
      </c>
      <c r="D75" s="20">
        <v>1425046</v>
      </c>
      <c r="E75" s="73" t="s">
        <v>358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3" t="s">
        <v>370</v>
      </c>
      <c r="D76" s="20">
        <v>1425038</v>
      </c>
      <c r="E76" s="73" t="s">
        <v>359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3" t="s">
        <v>370</v>
      </c>
      <c r="D77" s="20">
        <v>1425031</v>
      </c>
      <c r="E77" s="73" t="s">
        <v>353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3" t="s">
        <v>370</v>
      </c>
      <c r="D78" s="20">
        <v>1425031</v>
      </c>
      <c r="E78" s="73" t="s">
        <v>353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3" t="s">
        <v>370</v>
      </c>
      <c r="D79" s="20">
        <v>1425031</v>
      </c>
      <c r="E79" s="73" t="s">
        <v>353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3" t="s">
        <v>370</v>
      </c>
      <c r="D80" s="20">
        <v>1425031</v>
      </c>
      <c r="E80" s="73" t="s">
        <v>353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3" t="s">
        <v>370</v>
      </c>
      <c r="D81" s="20">
        <v>1425039</v>
      </c>
      <c r="E81" s="73" t="s">
        <v>357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3" t="s">
        <v>370</v>
      </c>
      <c r="D82" s="20">
        <v>1425034</v>
      </c>
      <c r="E82" s="73" t="s">
        <v>355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3" t="s">
        <v>370</v>
      </c>
      <c r="D83" s="20">
        <v>1425034</v>
      </c>
      <c r="E83" s="73" t="s">
        <v>355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3" t="s">
        <v>370</v>
      </c>
      <c r="D84" s="20">
        <v>1425032</v>
      </c>
      <c r="E84" s="73" t="s">
        <v>354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3" t="s">
        <v>370</v>
      </c>
      <c r="D85" s="20">
        <v>1425032</v>
      </c>
      <c r="E85" s="73" t="s">
        <v>354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3" t="s">
        <v>370</v>
      </c>
      <c r="D86" s="20">
        <v>1425032</v>
      </c>
      <c r="E86" s="73" t="s">
        <v>354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3" t="s">
        <v>370</v>
      </c>
      <c r="D87" s="20">
        <v>1425032</v>
      </c>
      <c r="E87" s="73" t="s">
        <v>354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3" t="s">
        <v>370</v>
      </c>
      <c r="D88" s="20">
        <v>1425032</v>
      </c>
      <c r="E88" s="73" t="s">
        <v>354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3" t="s">
        <v>370</v>
      </c>
      <c r="D89" s="20">
        <v>1425032</v>
      </c>
      <c r="E89" s="73" t="s">
        <v>354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3" t="s">
        <v>370</v>
      </c>
      <c r="D90" s="20">
        <v>1425030</v>
      </c>
      <c r="E90" s="73" t="s">
        <v>360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3" t="s">
        <v>370</v>
      </c>
      <c r="D91" s="20">
        <v>1425030</v>
      </c>
      <c r="E91" s="73" t="s">
        <v>360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3" t="s">
        <v>370</v>
      </c>
      <c r="D92" s="20">
        <v>1425030</v>
      </c>
      <c r="E92" s="73" t="s">
        <v>360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3" t="s">
        <v>370</v>
      </c>
      <c r="D93" s="20">
        <v>1425030</v>
      </c>
      <c r="E93" s="73" t="s">
        <v>360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3" t="s">
        <v>370</v>
      </c>
      <c r="D94" s="20">
        <v>1425030</v>
      </c>
      <c r="E94" s="73" t="s">
        <v>360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3" t="s">
        <v>370</v>
      </c>
      <c r="D95" s="20">
        <v>1425035</v>
      </c>
      <c r="E95" s="73" t="s">
        <v>356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3" t="s">
        <v>370</v>
      </c>
      <c r="D96" s="20">
        <v>1425035</v>
      </c>
      <c r="E96" s="73" t="s">
        <v>356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3" t="s">
        <v>370</v>
      </c>
      <c r="D97" s="20">
        <v>1425046</v>
      </c>
      <c r="E97" s="73" t="s">
        <v>358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3" t="s">
        <v>370</v>
      </c>
      <c r="D98" s="20">
        <v>1425031</v>
      </c>
      <c r="E98" s="73" t="s">
        <v>353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3" t="s">
        <v>370</v>
      </c>
      <c r="D99" s="20">
        <v>1425050</v>
      </c>
      <c r="E99" s="73" t="s">
        <v>361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3" t="s">
        <v>370</v>
      </c>
      <c r="D100" s="20">
        <v>1425050</v>
      </c>
      <c r="E100" s="73" t="s">
        <v>361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3" t="s">
        <v>370</v>
      </c>
      <c r="D101" s="20">
        <v>1425051</v>
      </c>
      <c r="E101" s="73" t="s">
        <v>362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3" t="s">
        <v>370</v>
      </c>
      <c r="D102" s="20">
        <v>1425051</v>
      </c>
      <c r="E102" s="73" t="s">
        <v>362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3" t="s">
        <v>370</v>
      </c>
      <c r="D103" s="20">
        <v>1425052</v>
      </c>
      <c r="E103" s="73" t="s">
        <v>363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3" t="s">
        <v>370</v>
      </c>
      <c r="D104" s="20">
        <v>1425053</v>
      </c>
      <c r="E104" s="73" t="s">
        <v>364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3" t="s">
        <v>370</v>
      </c>
      <c r="D105" s="20">
        <v>1425054</v>
      </c>
      <c r="E105" s="73" t="s">
        <v>365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3" t="s">
        <v>370</v>
      </c>
      <c r="D106" s="20">
        <v>1425055</v>
      </c>
      <c r="E106" s="73" t="s">
        <v>366</v>
      </c>
      <c r="F106" s="22">
        <v>46295</v>
      </c>
      <c r="G106" s="24">
        <v>46275</v>
      </c>
      <c r="H106" s="23"/>
      <c r="I106" s="24">
        <v>46290</v>
      </c>
      <c r="J106" s="91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3" t="s">
        <v>370</v>
      </c>
      <c r="D107" s="20">
        <v>1425056</v>
      </c>
      <c r="E107" s="73" t="s">
        <v>367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3" t="s">
        <v>370</v>
      </c>
      <c r="D108" s="20">
        <v>1425057</v>
      </c>
      <c r="E108" s="73" t="s">
        <v>368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3" t="s">
        <v>370</v>
      </c>
      <c r="D109" s="20">
        <v>1425030</v>
      </c>
      <c r="E109" s="73" t="s">
        <v>360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3" t="s">
        <v>370</v>
      </c>
      <c r="D110" s="20">
        <v>1425058</v>
      </c>
      <c r="E110" s="73" t="s">
        <v>369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3" t="s">
        <v>370</v>
      </c>
      <c r="D111" s="20">
        <v>1425052</v>
      </c>
      <c r="E111" s="73" t="s">
        <v>363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3" t="s">
        <v>370</v>
      </c>
      <c r="D112" s="20">
        <v>1425052</v>
      </c>
      <c r="E112" s="73" t="s">
        <v>363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3" t="s">
        <v>370</v>
      </c>
      <c r="D113" s="20">
        <v>1425030</v>
      </c>
      <c r="E113" s="73" t="s">
        <v>360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</sheetData>
  <autoFilter ref="A1:I113" xr:uid="{276B14C1-1A52-4B27-91DF-D329FDD63C7A}">
    <filterColumn colId="3">
      <filters>
        <filter val="152654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2026-07-23T19:37:52Z</dcterms:modified>
</cp:coreProperties>
</file>